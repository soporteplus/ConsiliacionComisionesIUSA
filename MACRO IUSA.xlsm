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f6013373d3e2ef/PROYECTOS_PLUS/MACROS/MACROS COMISIONES/"/>
    </mc:Choice>
  </mc:AlternateContent>
  <xr:revisionPtr revIDLastSave="314" documentId="13_ncr:1_{A67EB91E-65C6-44B3-8660-3F968D67541A}" xr6:coauthVersionLast="47" xr6:coauthVersionMax="47" xr10:uidLastSave="{7971ED53-50A4-431F-8B47-C231DDC20E39}"/>
  <bookViews>
    <workbookView xWindow="28680" yWindow="-120" windowWidth="29040" windowHeight="15840" firstSheet="1" activeTab="1" xr2:uid="{5531C704-A31C-418F-A209-50FAA04DF92B}"/>
  </bookViews>
  <sheets>
    <sheet name="Sucursales" sheetId="14" state="hidden" r:id="rId1"/>
    <sheet name="Inicio" sheetId="1" r:id="rId2"/>
    <sheet name="08 AGOSTO_Dif_Conceptos" sheetId="524" r:id="rId3"/>
    <sheet name="08 AGOSTO_Dif_Cobros" sheetId="525" r:id="rId4"/>
    <sheet name="03.06.2022" sheetId="282" state="hidden" r:id="rId5"/>
    <sheet name="02.06.2022" sheetId="280" state="hidden" r:id="rId6"/>
    <sheet name="01.06.2022" sheetId="278" state="hidden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62" i="282" l="1"/>
  <c r="R62" i="282" s="1"/>
  <c r="N61" i="282"/>
  <c r="N59" i="282"/>
  <c r="N56" i="282"/>
  <c r="N54" i="282"/>
  <c r="N51" i="282"/>
  <c r="N49" i="282"/>
  <c r="N47" i="282"/>
  <c r="N43" i="282"/>
  <c r="N40" i="282"/>
  <c r="N37" i="282"/>
  <c r="N34" i="282"/>
  <c r="N32" i="282"/>
  <c r="N27" i="282"/>
  <c r="N23" i="282"/>
  <c r="N21" i="282"/>
  <c r="N19" i="282"/>
  <c r="N10" i="282"/>
  <c r="N8" i="282"/>
  <c r="Q45" i="280"/>
  <c r="R45" i="280" s="1"/>
  <c r="N44" i="280"/>
  <c r="N41" i="280"/>
  <c r="N39" i="280"/>
  <c r="N36" i="280"/>
  <c r="N32" i="280"/>
  <c r="N28" i="280"/>
  <c r="N26" i="280"/>
  <c r="N24" i="280"/>
  <c r="N22" i="280"/>
  <c r="N20" i="280"/>
  <c r="N18" i="280"/>
  <c r="N15" i="280"/>
  <c r="N13" i="280"/>
  <c r="N8" i="280"/>
  <c r="N5" i="280"/>
  <c r="Q247" i="278"/>
  <c r="R247" i="278" s="1"/>
  <c r="N246" i="278"/>
  <c r="N241" i="278"/>
  <c r="N239" i="278"/>
  <c r="N234" i="278"/>
  <c r="N221" i="278"/>
  <c r="N210" i="278"/>
  <c r="N202" i="278"/>
  <c r="N199" i="278"/>
  <c r="N197" i="278"/>
  <c r="N167" i="278"/>
  <c r="N150" i="278"/>
  <c r="N120" i="278"/>
  <c r="N104" i="278"/>
  <c r="N96" i="278"/>
  <c r="N76" i="278"/>
  <c r="N59" i="278"/>
  <c r="N50" i="278"/>
  <c r="N42" i="278"/>
  <c r="N32" i="278"/>
  <c r="N27" i="278"/>
  <c r="N15" i="278"/>
  <c r="N9" i="278"/>
  <c r="D1" i="1"/>
  <c r="N247" i="278" l="1"/>
  <c r="S247" i="278" s="1"/>
  <c r="N45" i="280"/>
  <c r="S45" i="280" s="1"/>
  <c r="N62" i="282"/>
  <c r="S62" i="28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D42FE2-E6BD-4E75-B1AC-4C74ED94BA6C}" name="Transacciones_Comercializadora Picaros de la Mixteca" type="6" refreshedVersion="0" background="1">
    <textPr prompt="0" sourceFile="D:\SOPORTE\Descargas\Transacciones_Comercializadora Picaros de la Mixteca.csv">
      <textFields>
        <textField/>
      </textFields>
    </textPr>
  </connection>
</connections>
</file>

<file path=xl/sharedStrings.xml><?xml version="1.0" encoding="utf-8"?>
<sst xmlns="http://schemas.openxmlformats.org/spreadsheetml/2006/main" count="3170" uniqueCount="738">
  <si>
    <t>Comisión</t>
  </si>
  <si>
    <t>Fecha por conciliar:</t>
  </si>
  <si>
    <t>Usuario:</t>
  </si>
  <si>
    <t>Picaros</t>
  </si>
  <si>
    <t>Contraseña:</t>
  </si>
  <si>
    <t>PMIu$a21</t>
  </si>
  <si>
    <t>Dia Inicio:</t>
  </si>
  <si>
    <t>Mes:</t>
  </si>
  <si>
    <t>Año:</t>
  </si>
  <si>
    <t>Dia Fin:</t>
  </si>
  <si>
    <t>Ruta:</t>
  </si>
  <si>
    <t>Archivo MNGR:</t>
  </si>
  <si>
    <t>Archivo IUSA:</t>
  </si>
  <si>
    <t>Transacciones_Comercializadora Picaros de la Mixteca.xls</t>
  </si>
  <si>
    <t>Ubicación Descargas:</t>
  </si>
  <si>
    <t>Hoja IUSA:</t>
  </si>
  <si>
    <t xml:space="preserve">Transacciones_Comercializadora </t>
  </si>
  <si>
    <t>Datos a buscar:</t>
  </si>
  <si>
    <t>Sucursal</t>
  </si>
  <si>
    <t>Fecha</t>
  </si>
  <si>
    <t>RPU</t>
  </si>
  <si>
    <t>Comision_PVenta_Monto</t>
  </si>
  <si>
    <t>Comision_PVenta_Iva</t>
  </si>
  <si>
    <t>Fin Datos a buscar:</t>
  </si>
  <si>
    <t>Ingreso</t>
  </si>
  <si>
    <t>Ubicación IUSA:</t>
  </si>
  <si>
    <t>Venta</t>
  </si>
  <si>
    <t>SUPER PLUS 14</t>
  </si>
  <si>
    <t>SUPER PLUS 16</t>
  </si>
  <si>
    <t>SUPER PLUS 05</t>
  </si>
  <si>
    <t>SUPER PLUS 04</t>
  </si>
  <si>
    <t>SUPER PLUS 06</t>
  </si>
  <si>
    <t>SUPER PLUS 09</t>
  </si>
  <si>
    <t>SUPER PLUS 08</t>
  </si>
  <si>
    <t>SUPER PLUS 22</t>
  </si>
  <si>
    <t>SUPER PLUS 10</t>
  </si>
  <si>
    <t>SUPER PLUS 12</t>
  </si>
  <si>
    <t>SUPER PLUS 03</t>
  </si>
  <si>
    <t>SUPER PLUS 01</t>
  </si>
  <si>
    <t>SUPER PLUS 11</t>
  </si>
  <si>
    <t>SUPER PLUS 02</t>
  </si>
  <si>
    <t>SUPER PLUS 36</t>
  </si>
  <si>
    <t>SUPER PLUS 13</t>
  </si>
  <si>
    <t>SUPER PLUS 40</t>
  </si>
  <si>
    <t>SUPER PLUS 07</t>
  </si>
  <si>
    <t>SUPER PLUS 15</t>
  </si>
  <si>
    <t>SUPER PLUS 17</t>
  </si>
  <si>
    <t>SUPER PLUS 18</t>
  </si>
  <si>
    <t>SUPER PLUS 19</t>
  </si>
  <si>
    <t>SUPER PLUS 20</t>
  </si>
  <si>
    <t>SUPER PLUS 21</t>
  </si>
  <si>
    <t>SUPER PLUS 23</t>
  </si>
  <si>
    <t>SUPER PLUS 24</t>
  </si>
  <si>
    <t>SUPER PLUS 25</t>
  </si>
  <si>
    <t>SUPER PLUS 26</t>
  </si>
  <si>
    <t>SUPER PLUS 27</t>
  </si>
  <si>
    <t>SUPER PLUS 28</t>
  </si>
  <si>
    <t>SUPER PLUS 29</t>
  </si>
  <si>
    <t>SUPER PLUS 30</t>
  </si>
  <si>
    <t>SUPER PLUS 31</t>
  </si>
  <si>
    <t>SUPER PLUS 32</t>
  </si>
  <si>
    <t>SUPER PLUS 33</t>
  </si>
  <si>
    <t>SUPER PLUS 34</t>
  </si>
  <si>
    <t>SUPER PLUS 35</t>
  </si>
  <si>
    <t>SUPER PLUS 37</t>
  </si>
  <si>
    <t>SUPER PLUS 38</t>
  </si>
  <si>
    <t>SUPER PLUS 39</t>
  </si>
  <si>
    <t>Proyecto</t>
  </si>
  <si>
    <t>Id_Cadena_Comercial</t>
  </si>
  <si>
    <t>Cadena_Comercial</t>
  </si>
  <si>
    <t>Id_Franquicia</t>
  </si>
  <si>
    <t>Franquicia</t>
  </si>
  <si>
    <t>Id_Sucursal</t>
  </si>
  <si>
    <t>Identificador_PV</t>
  </si>
  <si>
    <t>Folio</t>
  </si>
  <si>
    <t>Tipo</t>
  </si>
  <si>
    <t>Tipo_Alt</t>
  </si>
  <si>
    <t>Comision_Cobrada_Monto</t>
  </si>
  <si>
    <t>Comision_Cobrada_Iva</t>
  </si>
  <si>
    <t>IdDiv</t>
  </si>
  <si>
    <t>Division</t>
  </si>
  <si>
    <t>CUO</t>
  </si>
  <si>
    <t>Multipagos</t>
  </si>
  <si>
    <t>Energia CFE</t>
  </si>
  <si>
    <t>COMERCIALIZADORA PICAROS DE LA MIXTECA SA DE CV</t>
  </si>
  <si>
    <t>PICAROS DE LA MIXTECA - OAXACA</t>
  </si>
  <si>
    <t>31/05/2022 05:56:30 a. m.</t>
  </si>
  <si>
    <t>PAGO 0422</t>
  </si>
  <si>
    <t>PAGO</t>
  </si>
  <si>
    <t>SURESTE</t>
  </si>
  <si>
    <t>31/05/2022 06:16:57 a. m.</t>
  </si>
  <si>
    <t>31/05/2022 06:51:00 a. m.</t>
  </si>
  <si>
    <t>31/05/2022 06:51:50 a. m.</t>
  </si>
  <si>
    <t>31/05/2022 06:56:33 a. m.</t>
  </si>
  <si>
    <t>31/05/2022 07:08:18 a. m.</t>
  </si>
  <si>
    <t>31/05/2022 07:12:09 a. m.</t>
  </si>
  <si>
    <t>31/05/2022 07:14:39 a. m.</t>
  </si>
  <si>
    <t>31/05/2022 07:16:48 a. m.</t>
  </si>
  <si>
    <t>31/05/2022 07:17:49 a. m.</t>
  </si>
  <si>
    <t>31/05/2022 07:20:26 a. m.</t>
  </si>
  <si>
    <t>31/05/2022 07:20:42 a. m.</t>
  </si>
  <si>
    <t>31/05/2022 07:22:00 a. m.</t>
  </si>
  <si>
    <t>31/05/2022 07:24:54 a. m.</t>
  </si>
  <si>
    <t>31/05/2022 07:25:51 a. m.</t>
  </si>
  <si>
    <t>31/05/2022 07:36:47 a. m.</t>
  </si>
  <si>
    <t>31/05/2022 07:39:24 a. m.</t>
  </si>
  <si>
    <t>31/05/2022 07:40:42 a. m.</t>
  </si>
  <si>
    <t>31/05/2022 07:41:50 a. m.</t>
  </si>
  <si>
    <t>31/05/2022 07:41:57 a. m.</t>
  </si>
  <si>
    <t>31/05/2022 07:42:50 a. m.</t>
  </si>
  <si>
    <t>31/05/2022 07:45:58 a. m.</t>
  </si>
  <si>
    <t>31/05/2022 07:47:11 a. m.</t>
  </si>
  <si>
    <t>31/05/2022 07:49:32 a. m.</t>
  </si>
  <si>
    <t>31/05/2022 07:51:12 a. m.</t>
  </si>
  <si>
    <t>31/05/2022 07:52:07 a. m.</t>
  </si>
  <si>
    <t>31/05/2022 07:53:38 a. m.</t>
  </si>
  <si>
    <t>31/05/2022 07:54:02 a. m.</t>
  </si>
  <si>
    <t>31/05/2022 07:54:40 a. m.</t>
  </si>
  <si>
    <t>31/05/2022 07:55:00 a. m.</t>
  </si>
  <si>
    <t>31/05/2022 07:59:04 a. m.</t>
  </si>
  <si>
    <t>31/05/2022 07:59:25 a. m.</t>
  </si>
  <si>
    <t>31/05/2022 08:02:18 a. m.</t>
  </si>
  <si>
    <t>31/05/2022 08:02:46 a. m.</t>
  </si>
  <si>
    <t>31/05/2022 08:03:51 a. m.</t>
  </si>
  <si>
    <t>31/05/2022 08:04:17 a. m.</t>
  </si>
  <si>
    <t>31/05/2022 08:04:28 a. m.</t>
  </si>
  <si>
    <t>31/05/2022 08:05:22 a. m.</t>
  </si>
  <si>
    <t>31/05/2022 08:06:01 a. m.</t>
  </si>
  <si>
    <t>31/05/2022 08:06:12 a. m.</t>
  </si>
  <si>
    <t>31/05/2022 08:06:27 a. m.</t>
  </si>
  <si>
    <t>31/05/2022 08:10:28 a. m.</t>
  </si>
  <si>
    <t>31/05/2022 08:11:33 a. m.</t>
  </si>
  <si>
    <t>31/05/2022 08:13:09 a. m.</t>
  </si>
  <si>
    <t>31/05/2022 08:15:22 a. m.</t>
  </si>
  <si>
    <t>31/05/2022 08:16:17 a. m.</t>
  </si>
  <si>
    <t>31/05/2022 08:18:06 a. m.</t>
  </si>
  <si>
    <t>31/05/2022 08:19:17 a. m.</t>
  </si>
  <si>
    <t>31/05/2022 08:21:27 a. m.</t>
  </si>
  <si>
    <t>31/05/2022 08:22:04 a. m.</t>
  </si>
  <si>
    <t>31/05/2022 08:23:02 a. m.</t>
  </si>
  <si>
    <t>31/05/2022 08:24:31 a. m.</t>
  </si>
  <si>
    <t>31/05/2022 08:25:37 a. m.</t>
  </si>
  <si>
    <t>31/05/2022 08:28:23 a. m.</t>
  </si>
  <si>
    <t>31/05/2022 08:30:18 a. m.</t>
  </si>
  <si>
    <t>31/05/2022 08:31:45 a. m.</t>
  </si>
  <si>
    <t>31/05/2022 08:32:14 a. m.</t>
  </si>
  <si>
    <t>31/05/2022 08:32:34 a. m.</t>
  </si>
  <si>
    <t>31/05/2022 08:33:17 a. m.</t>
  </si>
  <si>
    <t>31/05/2022 08:33:22 a. m.</t>
  </si>
  <si>
    <t>31/05/2022 08:34:40 a. m.</t>
  </si>
  <si>
    <t>31/05/2022 08:34:54 a. m.</t>
  </si>
  <si>
    <t>31/05/2022 08:36:04 a. m.</t>
  </si>
  <si>
    <t>31/05/2022 08:37:31 a. m.</t>
  </si>
  <si>
    <t>31/05/2022 08:40:10 a. m.</t>
  </si>
  <si>
    <t>31/05/2022 08:41:20 a. m.</t>
  </si>
  <si>
    <t>31/05/2022 08:43:44 a. m.</t>
  </si>
  <si>
    <t>31/05/2022 08:44:15 a. m.</t>
  </si>
  <si>
    <t>31/05/2022 08:45:10 a. m.</t>
  </si>
  <si>
    <t>31/05/2022 08:45:15 a. m.</t>
  </si>
  <si>
    <t>31/05/2022 08:45:52 a. m.</t>
  </si>
  <si>
    <t>31/05/2022 08:47:46 a. m.</t>
  </si>
  <si>
    <t>31/05/2022 08:51:48 a. m.</t>
  </si>
  <si>
    <t>31/05/2022 08:53:14 a. m.</t>
  </si>
  <si>
    <t>31/05/2022 08:54:30 a. m.</t>
  </si>
  <si>
    <t>31/05/2022 08:56:28 a. m.</t>
  </si>
  <si>
    <t>31/05/2022 09:00:19 a. m.</t>
  </si>
  <si>
    <t>31/05/2022 09:04:07 a. m.</t>
  </si>
  <si>
    <t>31/05/2022 09:04:30 a. m.</t>
  </si>
  <si>
    <t>31/05/2022 09:04:35 a. m.</t>
  </si>
  <si>
    <t>31/05/2022 09:05:19 a. m.</t>
  </si>
  <si>
    <t>31/05/2022 09:08:42 a. m.</t>
  </si>
  <si>
    <t>31/05/2022 09:10:21 a. m.</t>
  </si>
  <si>
    <t>31/05/2022 09:10:34 a. m.</t>
  </si>
  <si>
    <t>31/05/2022 09:12:15 a. m.</t>
  </si>
  <si>
    <t>31/05/2022 09:12:41 a. m.</t>
  </si>
  <si>
    <t>31/05/2022 09:12:49 a. m.</t>
  </si>
  <si>
    <t>31/05/2022 09:14:02 a. m.</t>
  </si>
  <si>
    <t>31/05/2022 09:14:50 a. m.</t>
  </si>
  <si>
    <t>31/05/2022 09:21:12 a. m.</t>
  </si>
  <si>
    <t>31/05/2022 09:27:21 a. m.</t>
  </si>
  <si>
    <t>31/05/2022 09:27:42 a. m.</t>
  </si>
  <si>
    <t>31/05/2022 09:28:24 a. m.</t>
  </si>
  <si>
    <t>31/05/2022 09:30:22 a. m.</t>
  </si>
  <si>
    <t>31/05/2022 09:32:03 a. m.</t>
  </si>
  <si>
    <t>31/05/2022 09:32:44 a. m.</t>
  </si>
  <si>
    <t>31/05/2022 09:34:48 a. m.</t>
  </si>
  <si>
    <t>31/05/2022 09:34:54 a. m.</t>
  </si>
  <si>
    <t>31/05/2022 09:36:51 a. m.</t>
  </si>
  <si>
    <t>31/05/2022 09:37:06 a. m.</t>
  </si>
  <si>
    <t>31/05/2022 09:37:11 a. m.</t>
  </si>
  <si>
    <t>31/05/2022 09:38:48 a. m.</t>
  </si>
  <si>
    <t>31/05/2022 09:40:10 a. m.</t>
  </si>
  <si>
    <t>31/05/2022 09:41:07 a. m.</t>
  </si>
  <si>
    <t>31/05/2022 09:44:59 a. m.</t>
  </si>
  <si>
    <t>31/05/2022 09:45:07 a. m.</t>
  </si>
  <si>
    <t>31/05/2022 09:45:37 a. m.</t>
  </si>
  <si>
    <t>31/05/2022 09:47:24 a. m.</t>
  </si>
  <si>
    <t>31/05/2022 09:48:10 a. m.</t>
  </si>
  <si>
    <t>31/05/2022 09:50:14 a. m.</t>
  </si>
  <si>
    <t>31/05/2022 09:51:02 a. m.</t>
  </si>
  <si>
    <t>31/05/2022 09:54:02 a. m.</t>
  </si>
  <si>
    <t>31/05/2022 09:54:22 a. m.</t>
  </si>
  <si>
    <t>31/05/2022 09:58:55 a. m.</t>
  </si>
  <si>
    <t>31/05/2022 10:03:50 a. m.</t>
  </si>
  <si>
    <t>31/05/2022 10:04:45 a. m.</t>
  </si>
  <si>
    <t>31/05/2022 10:06:11 a. m.</t>
  </si>
  <si>
    <t>31/05/2022 10:09:40 a. m.</t>
  </si>
  <si>
    <t>31/05/2022 10:11:15 a. m.</t>
  </si>
  <si>
    <t>31/05/2022 10:12:08 a. m.</t>
  </si>
  <si>
    <t>31/05/2022 10:24:56 a. m.</t>
  </si>
  <si>
    <t>31/05/2022 10:26:22 a. m.</t>
  </si>
  <si>
    <t>31/05/2022 10:29:11 a. m.</t>
  </si>
  <si>
    <t>31/05/2022 10:34:23 a. m.</t>
  </si>
  <si>
    <t>31/05/2022 10:38:22 a. m.</t>
  </si>
  <si>
    <t>31/05/2022 10:39:31 a. m.</t>
  </si>
  <si>
    <t>31/05/2022 10:40:49 a. m.</t>
  </si>
  <si>
    <t>31/05/2022 10:41:46 a. m.</t>
  </si>
  <si>
    <t>31/05/2022 10:42:17 a. m.</t>
  </si>
  <si>
    <t>31/05/2022 10:43:57 a. m.</t>
  </si>
  <si>
    <t>31/05/2022 10:46:23 a. m.</t>
  </si>
  <si>
    <t>31/05/2022 10:57:17 a. m.</t>
  </si>
  <si>
    <t>31/05/2022 11:05:10 a. m.</t>
  </si>
  <si>
    <t>31/05/2022 11:16:42 a. m.</t>
  </si>
  <si>
    <t>31/05/2022 11:22:18 a. m.</t>
  </si>
  <si>
    <t>31/05/2022 11:25:02 a. m.</t>
  </si>
  <si>
    <t>31/05/2022 11:30:58 a. m.</t>
  </si>
  <si>
    <t>31/05/2022 11:38:58 a. m.</t>
  </si>
  <si>
    <t>31/05/2022 11:54:54 a. m.</t>
  </si>
  <si>
    <t>31/05/2022 12:02:36 p. m.</t>
  </si>
  <si>
    <t>31/05/2022 12:11:00 p. m.</t>
  </si>
  <si>
    <t>31/05/2022 12:11:14 p. m.</t>
  </si>
  <si>
    <t>31/05/2022 12:14:12 p. m.</t>
  </si>
  <si>
    <t>31/05/2022 12:17:51 p. m.</t>
  </si>
  <si>
    <t>31/05/2022 12:21:32 p. m.</t>
  </si>
  <si>
    <t>31/05/2022 12:31:58 p. m.</t>
  </si>
  <si>
    <t>31/05/2022 12:34:32 p. m.</t>
  </si>
  <si>
    <t>31/05/2022 12:36:01 p. m.</t>
  </si>
  <si>
    <t>31/05/2022 12:37:15 p. m.</t>
  </si>
  <si>
    <t>31/05/2022 12:37:47 p. m.</t>
  </si>
  <si>
    <t>31/05/2022 12:41:26 p. m.</t>
  </si>
  <si>
    <t>31/05/2022 01:08:37 p. m.</t>
  </si>
  <si>
    <t>31/05/2022 01:11:10 p. m.</t>
  </si>
  <si>
    <t>31/05/2022 01:12:35 p. m.</t>
  </si>
  <si>
    <t>31/05/2022 01:31:46 p. m.</t>
  </si>
  <si>
    <t>31/05/2022 01:37:54 p. m.</t>
  </si>
  <si>
    <t>31/05/2022 01:42:47 p. m.</t>
  </si>
  <si>
    <t>31/05/2022 01:50:18 p. m.</t>
  </si>
  <si>
    <t>31/05/2022 01:52:19 p. m.</t>
  </si>
  <si>
    <t>31/05/2022 02:08:35 p. m.</t>
  </si>
  <si>
    <t>31/05/2022 02:10:45 p. m.</t>
  </si>
  <si>
    <t>31/05/2022 02:12:44 p. m.</t>
  </si>
  <si>
    <t>31/05/2022 02:26:55 p. m.</t>
  </si>
  <si>
    <t>31/05/2022 02:27:00 p. m.</t>
  </si>
  <si>
    <t>31/05/2022 02:28:51 p. m.</t>
  </si>
  <si>
    <t>31/05/2022 02:30:20 p. m.</t>
  </si>
  <si>
    <t>31/05/2022 02:30:47 p. m.</t>
  </si>
  <si>
    <t>31/05/2022 02:37:18 p. m.</t>
  </si>
  <si>
    <t>31/05/2022 02:48:07 p. m.</t>
  </si>
  <si>
    <t>31/05/2022 02:50:52 p. m.</t>
  </si>
  <si>
    <t>31/05/2022 02:52:28 p. m.</t>
  </si>
  <si>
    <t>31/05/2022 02:56:11 p. m.</t>
  </si>
  <si>
    <t>31/05/2022 03:03:28 p. m.</t>
  </si>
  <si>
    <t>31/05/2022 03:09:43 p. m.</t>
  </si>
  <si>
    <t>31/05/2022 03:11:44 p. m.</t>
  </si>
  <si>
    <t>31/05/2022 03:22:03 p. m.</t>
  </si>
  <si>
    <t>31/05/2022 03:27:56 p. m.</t>
  </si>
  <si>
    <t>31/05/2022 03:50:58 p. m.</t>
  </si>
  <si>
    <t>31/05/2022 03:53:12 p. m.</t>
  </si>
  <si>
    <t>31/05/2022 04:25:05 p. m.</t>
  </si>
  <si>
    <t>31/05/2022 04:37:44 p. m.</t>
  </si>
  <si>
    <t>31/05/2022 04:44:59 p. m.</t>
  </si>
  <si>
    <t>31/05/2022 04:45:52 p. m.</t>
  </si>
  <si>
    <t>31/05/2022 05:08:02 p. m.</t>
  </si>
  <si>
    <t>31/05/2022 05:09:25 p. m.</t>
  </si>
  <si>
    <t>31/05/2022 05:10:13 p. m.</t>
  </si>
  <si>
    <t>31/05/2022 05:16:58 p. m.</t>
  </si>
  <si>
    <t>31/05/2022 05:19:49 p. m.</t>
  </si>
  <si>
    <t>31/05/2022 05:23:53 p. m.</t>
  </si>
  <si>
    <t>31/05/2022 05:48:29 p. m.</t>
  </si>
  <si>
    <t>31/05/2022 05:59:49 p. m.</t>
  </si>
  <si>
    <t>31/05/2022 06:15:03 p. m.</t>
  </si>
  <si>
    <t>31/05/2022 06:15:24 p. m.</t>
  </si>
  <si>
    <t>31/05/2022 06:31:06 p. m.</t>
  </si>
  <si>
    <t>31/05/2022 06:32:01 p. m.</t>
  </si>
  <si>
    <t>31/05/2022 06:51:51 p. m.</t>
  </si>
  <si>
    <t>31/05/2022 06:53:04 p. m.</t>
  </si>
  <si>
    <t>31/05/2022 06:54:23 p. m.</t>
  </si>
  <si>
    <t>31/05/2022 06:57:09 p. m.</t>
  </si>
  <si>
    <t>31/05/2022 07:10:17 p. m.</t>
  </si>
  <si>
    <t>31/05/2022 07:13:42 p. m.</t>
  </si>
  <si>
    <t>31/05/2022 07:17:05 p. m.</t>
  </si>
  <si>
    <t>31/05/2022 07:27:32 p. m.</t>
  </si>
  <si>
    <t>31/05/2022 07:28:29 p. m.</t>
  </si>
  <si>
    <t>31/05/2022 07:28:52 p. m.</t>
  </si>
  <si>
    <t>31/05/2022 07:29:45 p. m.</t>
  </si>
  <si>
    <t>31/05/2022 07:33:48 p. m.</t>
  </si>
  <si>
    <t>31/05/2022 07:35:13 p. m.</t>
  </si>
  <si>
    <t>31/05/2022 07:37:46 p. m.</t>
  </si>
  <si>
    <t>31/05/2022 08:22:43 p. m.</t>
  </si>
  <si>
    <t>31/05/2022 08:27:00 p. m.</t>
  </si>
  <si>
    <t>31/05/2022 08:30:48 p. m.</t>
  </si>
  <si>
    <t>31/05/2022 08:35:45 p. m.</t>
  </si>
  <si>
    <t>31/05/2022 08:39:31 p. m.</t>
  </si>
  <si>
    <t>31/05/2022 08:48:40 p. m.</t>
  </si>
  <si>
    <t>31/05/2022 09:02:14 p. m.</t>
  </si>
  <si>
    <t>31/05/2022 09:26:19 p. m.</t>
  </si>
  <si>
    <t>31/05/2022 09:30:16 p. m.</t>
  </si>
  <si>
    <t>31/05/2022 09:30:47 p. m.</t>
  </si>
  <si>
    <t>31/05/2022 10:25:30 p. m.</t>
  </si>
  <si>
    <t>31/05/2022 11:16:07 p. m.</t>
  </si>
  <si>
    <t>E697910500920</t>
  </si>
  <si>
    <t>E697150895171</t>
  </si>
  <si>
    <t>E697020530996</t>
  </si>
  <si>
    <t>E697860800340</t>
  </si>
  <si>
    <t>E697781200094</t>
  </si>
  <si>
    <t>E697050113010</t>
  </si>
  <si>
    <t>E697141184840</t>
  </si>
  <si>
    <t>E697111092436</t>
  </si>
  <si>
    <t>E697140971040</t>
  </si>
  <si>
    <t>E697130880691</t>
  </si>
  <si>
    <t>E697870600012</t>
  </si>
  <si>
    <t>E697710100251</t>
  </si>
  <si>
    <t>E697150693609</t>
  </si>
  <si>
    <t>E697890700102</t>
  </si>
  <si>
    <t>E697750600019</t>
  </si>
  <si>
    <t>E697720900018</t>
  </si>
  <si>
    <t>E697761100361</t>
  </si>
  <si>
    <t>E697101193790</t>
  </si>
  <si>
    <t>E697180811835</t>
  </si>
  <si>
    <t>E697140970086</t>
  </si>
  <si>
    <t>E697021253546</t>
  </si>
  <si>
    <t>E697150494002</t>
  </si>
  <si>
    <t>E697951220583</t>
  </si>
  <si>
    <t>E697980631843</t>
  </si>
  <si>
    <t>E697140386881</t>
  </si>
  <si>
    <t>E697150900477</t>
  </si>
  <si>
    <t>E697880400747</t>
  </si>
  <si>
    <t>E697060220248</t>
  </si>
  <si>
    <t>E697060523313</t>
  </si>
  <si>
    <t>E697080695056</t>
  </si>
  <si>
    <t>E697100795079</t>
  </si>
  <si>
    <t>E697090998014</t>
  </si>
  <si>
    <t>E697940400776</t>
  </si>
  <si>
    <t>E697150990221</t>
  </si>
  <si>
    <t>E697980734839</t>
  </si>
  <si>
    <t>E697050253491</t>
  </si>
  <si>
    <t>E697821000263</t>
  </si>
  <si>
    <t>E697120194454</t>
  </si>
  <si>
    <t>E697100893950</t>
  </si>
  <si>
    <t>E697800300356</t>
  </si>
  <si>
    <t>E697041150344</t>
  </si>
  <si>
    <t>E697770104930</t>
  </si>
  <si>
    <t>E697000832139</t>
  </si>
  <si>
    <t>E697180812734</t>
  </si>
  <si>
    <t>E697110293454</t>
  </si>
  <si>
    <t>E697070251702</t>
  </si>
  <si>
    <t>E697031034281</t>
  </si>
  <si>
    <t>E697100791472</t>
  </si>
  <si>
    <t>E697910400887</t>
  </si>
  <si>
    <t>E697940100071</t>
  </si>
  <si>
    <t>E697030435622</t>
  </si>
  <si>
    <t>E697960820054</t>
  </si>
  <si>
    <t>E697021051188</t>
  </si>
  <si>
    <t>E697000831558</t>
  </si>
  <si>
    <t>E697120591810</t>
  </si>
  <si>
    <t>E697061134795</t>
  </si>
  <si>
    <t>E697940551251</t>
  </si>
  <si>
    <t>E697011251693</t>
  </si>
  <si>
    <t>E697010152292</t>
  </si>
  <si>
    <t>E697991133055</t>
  </si>
  <si>
    <t>E697080236931</t>
  </si>
  <si>
    <t>E697140472761</t>
  </si>
  <si>
    <t>E697131285371</t>
  </si>
  <si>
    <t>E697080693371</t>
  </si>
  <si>
    <t>E697971003775</t>
  </si>
  <si>
    <t>E697820300425</t>
  </si>
  <si>
    <t>E697030230231</t>
  </si>
  <si>
    <t>E697980331751</t>
  </si>
  <si>
    <t>E697780500167</t>
  </si>
  <si>
    <t>E697120190726</t>
  </si>
  <si>
    <t>E697851100521</t>
  </si>
  <si>
    <t>E697060332763</t>
  </si>
  <si>
    <t>E697141083105</t>
  </si>
  <si>
    <t>E697060221902</t>
  </si>
  <si>
    <t>E697141081676</t>
  </si>
  <si>
    <t>E697130682538</t>
  </si>
  <si>
    <t>E697140680339</t>
  </si>
  <si>
    <t>E697910700112</t>
  </si>
  <si>
    <t>E697030930712</t>
  </si>
  <si>
    <t>E697010533911</t>
  </si>
  <si>
    <t>E697030531168</t>
  </si>
  <si>
    <t>E697150396604</t>
  </si>
  <si>
    <t>E697140973115</t>
  </si>
  <si>
    <t>E697870600071</t>
  </si>
  <si>
    <t>E705150980627</t>
  </si>
  <si>
    <t>E697130884351</t>
  </si>
  <si>
    <t>E697151193545</t>
  </si>
  <si>
    <t>E697130880780</t>
  </si>
  <si>
    <t>E697111192279</t>
  </si>
  <si>
    <t>E697930902641</t>
  </si>
  <si>
    <t>E697121093279</t>
  </si>
  <si>
    <t>E697190712941</t>
  </si>
  <si>
    <t>E697970605925</t>
  </si>
  <si>
    <t>E697110597348</t>
  </si>
  <si>
    <t>E697080591706</t>
  </si>
  <si>
    <t>E697150493316</t>
  </si>
  <si>
    <t>E697100191327</t>
  </si>
  <si>
    <t>E697120993616</t>
  </si>
  <si>
    <t>E697140971180</t>
  </si>
  <si>
    <t>E697820300387</t>
  </si>
  <si>
    <t>E697070743672</t>
  </si>
  <si>
    <t>E697060120561</t>
  </si>
  <si>
    <t>E697180511700</t>
  </si>
  <si>
    <t>E697011155805</t>
  </si>
  <si>
    <t>E697940881413</t>
  </si>
  <si>
    <t>E697000930157</t>
  </si>
  <si>
    <t>E697030932812</t>
  </si>
  <si>
    <t>E697860400813</t>
  </si>
  <si>
    <t>E697090995961</t>
  </si>
  <si>
    <t>E697001032128</t>
  </si>
  <si>
    <t>E697040654071</t>
  </si>
  <si>
    <t>E697020833174</t>
  </si>
  <si>
    <t>E697120793625</t>
  </si>
  <si>
    <t>E697100490316</t>
  </si>
  <si>
    <t>E697120798911</t>
  </si>
  <si>
    <t>E697961122342</t>
  </si>
  <si>
    <t>E697010351848</t>
  </si>
  <si>
    <t>E697091298814</t>
  </si>
  <si>
    <t>E697150891567</t>
  </si>
  <si>
    <t>E697000831094</t>
  </si>
  <si>
    <t>E697000332012</t>
  </si>
  <si>
    <t>E697150702268</t>
  </si>
  <si>
    <t>E697101294537</t>
  </si>
  <si>
    <t>E697080592346</t>
  </si>
  <si>
    <t>E697031031886</t>
  </si>
  <si>
    <t>E697101291082</t>
  </si>
  <si>
    <t>E697021151123</t>
  </si>
  <si>
    <t>E697141282191</t>
  </si>
  <si>
    <t>E697060932248</t>
  </si>
  <si>
    <t>E697150895970</t>
  </si>
  <si>
    <t>E697050711189</t>
  </si>
  <si>
    <t>E697180811134</t>
  </si>
  <si>
    <t>E697140384772</t>
  </si>
  <si>
    <t>E697141280563</t>
  </si>
  <si>
    <t>E697141185307</t>
  </si>
  <si>
    <t>E697140973174</t>
  </si>
  <si>
    <t>E697950120364</t>
  </si>
  <si>
    <t>E697150951501</t>
  </si>
  <si>
    <t>E697141082290</t>
  </si>
  <si>
    <t>E697101294308</t>
  </si>
  <si>
    <t>E697020630532</t>
  </si>
  <si>
    <t>E697091296749</t>
  </si>
  <si>
    <t>E697041153416</t>
  </si>
  <si>
    <t>E697131185074</t>
  </si>
  <si>
    <t>E697140585719</t>
  </si>
  <si>
    <t>E697141082320</t>
  </si>
  <si>
    <t>E697140585158</t>
  </si>
  <si>
    <t>E697131281324</t>
  </si>
  <si>
    <t>E697060737631</t>
  </si>
  <si>
    <t>E697090198735</t>
  </si>
  <si>
    <t>E697131183187</t>
  </si>
  <si>
    <t>E697140883124</t>
  </si>
  <si>
    <t>E697140682650</t>
  </si>
  <si>
    <t>E697860700744</t>
  </si>
  <si>
    <t>E697740200021</t>
  </si>
  <si>
    <t>E697870400978</t>
  </si>
  <si>
    <t>E697150593647</t>
  </si>
  <si>
    <t>E697140781615</t>
  </si>
  <si>
    <t>E697130984232</t>
  </si>
  <si>
    <t>E697110398264</t>
  </si>
  <si>
    <t>E697081093513</t>
  </si>
  <si>
    <t>E697031034028</t>
  </si>
  <si>
    <t>E697150293732</t>
  </si>
  <si>
    <t>E697060930954</t>
  </si>
  <si>
    <t>E697110993791</t>
  </si>
  <si>
    <t>E697150592331</t>
  </si>
  <si>
    <t>E697060332623</t>
  </si>
  <si>
    <t>E697080890266</t>
  </si>
  <si>
    <t>E697060123731</t>
  </si>
  <si>
    <t>E697140775194</t>
  </si>
  <si>
    <t>E697111291285</t>
  </si>
  <si>
    <t>E697060737640</t>
  </si>
  <si>
    <t>E697860400325</t>
  </si>
  <si>
    <t>E697130981489</t>
  </si>
  <si>
    <t>E697130981501</t>
  </si>
  <si>
    <t>E697100591864</t>
  </si>
  <si>
    <t>E699110793204</t>
  </si>
  <si>
    <t>E699090573865</t>
  </si>
  <si>
    <t>E699050911601</t>
  </si>
  <si>
    <t>E697011251758</t>
  </si>
  <si>
    <t>E697971203651</t>
  </si>
  <si>
    <t>E697020335387</t>
  </si>
  <si>
    <t>E697950821711</t>
  </si>
  <si>
    <t>E697141183835</t>
  </si>
  <si>
    <t>E697100797853</t>
  </si>
  <si>
    <t>E697060225428</t>
  </si>
  <si>
    <t>E697081091065</t>
  </si>
  <si>
    <t>E697081091901</t>
  </si>
  <si>
    <t>E697931003641</t>
  </si>
  <si>
    <t>E697881100291</t>
  </si>
  <si>
    <t>E697140681033</t>
  </si>
  <si>
    <t>E697020135922</t>
  </si>
  <si>
    <t>E697001034198</t>
  </si>
  <si>
    <t>E697891100524</t>
  </si>
  <si>
    <t>E697800900248</t>
  </si>
  <si>
    <t>E697861100198</t>
  </si>
  <si>
    <t>E697011150641</t>
  </si>
  <si>
    <t>E697051113552</t>
  </si>
  <si>
    <t>E697150701041</t>
  </si>
  <si>
    <t>E697081190861</t>
  </si>
  <si>
    <t>E697980931596</t>
  </si>
  <si>
    <t>E697120292316</t>
  </si>
  <si>
    <t>E697020735938</t>
  </si>
  <si>
    <t>E697050910891</t>
  </si>
  <si>
    <t>E697981231776</t>
  </si>
  <si>
    <t>E697150894752</t>
  </si>
  <si>
    <t>E697860700191</t>
  </si>
  <si>
    <t>E697040950592</t>
  </si>
  <si>
    <t>E697110399503</t>
  </si>
  <si>
    <t>E697841000219</t>
  </si>
  <si>
    <t>E697130882065</t>
  </si>
  <si>
    <t>E705050110579</t>
  </si>
  <si>
    <t>E697081291552</t>
  </si>
  <si>
    <t>E697120704231</t>
  </si>
  <si>
    <t>E697040551353</t>
  </si>
  <si>
    <t>E697871000141</t>
  </si>
  <si>
    <t>E697080794941</t>
  </si>
  <si>
    <t>E697150891460</t>
  </si>
  <si>
    <t>E697060930253</t>
  </si>
  <si>
    <t>E697130480901</t>
  </si>
  <si>
    <t>E697900501162</t>
  </si>
  <si>
    <t>Total SUPER PLUS 01</t>
  </si>
  <si>
    <t>Total SUPER PLUS 02</t>
  </si>
  <si>
    <t>Total SUPER PLUS 03</t>
  </si>
  <si>
    <t>Total SUPER PLUS 04</t>
  </si>
  <si>
    <t>Total SUPER PLUS 05</t>
  </si>
  <si>
    <t>Total SUPER PLUS 06</t>
  </si>
  <si>
    <t>Total SUPER PLUS 07</t>
  </si>
  <si>
    <t>Total SUPER PLUS 08</t>
  </si>
  <si>
    <t>Total SUPER PLUS 09</t>
  </si>
  <si>
    <t>Total SUPER PLUS 10</t>
  </si>
  <si>
    <t>Total SUPER PLUS 11</t>
  </si>
  <si>
    <t>Total SUPER PLUS 12</t>
  </si>
  <si>
    <t>Total SUPER PLUS 13</t>
  </si>
  <si>
    <t>Total SUPER PLUS 14</t>
  </si>
  <si>
    <t>Total SUPER PLUS 19</t>
  </si>
  <si>
    <t>Total SUPER PLUS 21</t>
  </si>
  <si>
    <t>Total SUPER PLUS 23</t>
  </si>
  <si>
    <t>Total SUPER PLUS 26</t>
  </si>
  <si>
    <t>Total SUPER PLUS 27</t>
  </si>
  <si>
    <t>Total SUPER PLUS 32</t>
  </si>
  <si>
    <t>Total SUPER PLUS 39</t>
  </si>
  <si>
    <t>Total SUPER PLUS 40</t>
  </si>
  <si>
    <t>Total general</t>
  </si>
  <si>
    <t>01/06/2022 08:43:17 a. m.</t>
  </si>
  <si>
    <t>01/06/2022 09:27:45 a. m.</t>
  </si>
  <si>
    <t>PAGO 0522</t>
  </si>
  <si>
    <t>01/06/2022 09:40:33 a. m.</t>
  </si>
  <si>
    <t>01/06/2022 09:58:24 a. m.</t>
  </si>
  <si>
    <t>01/06/2022 10:02:02 a. m.</t>
  </si>
  <si>
    <t>01/06/2022 10:35:29 a. m.</t>
  </si>
  <si>
    <t>01/06/2022 10:54:27 a. m.</t>
  </si>
  <si>
    <t>01/06/2022 11:19:36 a. m.</t>
  </si>
  <si>
    <t>01/06/2022 11:45:20 a. m.</t>
  </si>
  <si>
    <t>01/06/2022 11:57:28 a. m.</t>
  </si>
  <si>
    <t>01/06/2022 12:14:56 p. m.</t>
  </si>
  <si>
    <t>01/06/2022 12:28:22 p. m.</t>
  </si>
  <si>
    <t>01/06/2022 01:02:38 p. m.</t>
  </si>
  <si>
    <t>01/06/2022 01:15:49 p. m.</t>
  </si>
  <si>
    <t>01/06/2022 01:49:41 p. m.</t>
  </si>
  <si>
    <t>01/06/2022 02:15:57 p. m.</t>
  </si>
  <si>
    <t>01/06/2022 02:17:18 p. m.</t>
  </si>
  <si>
    <t>01/06/2022 02:20:27 p. m.</t>
  </si>
  <si>
    <t>01/06/2022 03:03:12 p. m.</t>
  </si>
  <si>
    <t>01/06/2022 03:55:19 p. m.</t>
  </si>
  <si>
    <t>01/06/2022 04:59:29 p. m.</t>
  </si>
  <si>
    <t>01/06/2022 05:43:00 p. m.</t>
  </si>
  <si>
    <t>01/06/2022 05:45:47 p. m.</t>
  </si>
  <si>
    <t>01/06/2022 06:18:12 p. m.</t>
  </si>
  <si>
    <t>01/06/2022 07:16:21 p. m.</t>
  </si>
  <si>
    <t>01/06/2022 08:22:20 p. m.</t>
  </si>
  <si>
    <t>E697770700061</t>
  </si>
  <si>
    <t>E697950620260</t>
  </si>
  <si>
    <t>E697180812017</t>
  </si>
  <si>
    <t>E697110595515</t>
  </si>
  <si>
    <t>E697991231821</t>
  </si>
  <si>
    <t>E697770100144</t>
  </si>
  <si>
    <t>E697120891139</t>
  </si>
  <si>
    <t>E697040653083</t>
  </si>
  <si>
    <t>E697130382241</t>
  </si>
  <si>
    <t>E697130788964</t>
  </si>
  <si>
    <t>E697040353110</t>
  </si>
  <si>
    <t>E697011254137</t>
  </si>
  <si>
    <t>E697100795176</t>
  </si>
  <si>
    <t>E697890500847</t>
  </si>
  <si>
    <t>E697141083865</t>
  </si>
  <si>
    <t>E697150490473</t>
  </si>
  <si>
    <t>E697141081897</t>
  </si>
  <si>
    <t>E697071051065</t>
  </si>
  <si>
    <t>E697080454555</t>
  </si>
  <si>
    <t>E697120292022</t>
  </si>
  <si>
    <t>E697131092581</t>
  </si>
  <si>
    <t>E697150491933</t>
  </si>
  <si>
    <t>E697030833733</t>
  </si>
  <si>
    <t>E697141284755</t>
  </si>
  <si>
    <t>E697180912101</t>
  </si>
  <si>
    <t>E697070553105</t>
  </si>
  <si>
    <t>02/06/2022 07:18:07 a. m.</t>
  </si>
  <si>
    <t>02/06/2022 07:52:09 a. m.</t>
  </si>
  <si>
    <t>02/06/2022 08:02:14 a. m.</t>
  </si>
  <si>
    <t>02/06/2022 08:08:41 a. m.</t>
  </si>
  <si>
    <t>02/06/2022 08:10:03 a. m.</t>
  </si>
  <si>
    <t>02/06/2022 09:12:27 a. m.</t>
  </si>
  <si>
    <t>02/06/2022 10:29:02 a. m.</t>
  </si>
  <si>
    <t>02/06/2022 11:49:08 a. m.</t>
  </si>
  <si>
    <t>02/06/2022 11:51:39 a. m.</t>
  </si>
  <si>
    <t>02/06/2022 12:03:51 p. m.</t>
  </si>
  <si>
    <t>02/06/2022 12:13:02 p. m.</t>
  </si>
  <si>
    <t>02/06/2022 01:19:17 p. m.</t>
  </si>
  <si>
    <t>02/06/2022 01:32:37 p. m.</t>
  </si>
  <si>
    <t>02/06/2022 01:43:41 p. m.</t>
  </si>
  <si>
    <t>02/06/2022 01:57:18 p. m.</t>
  </si>
  <si>
    <t>02/06/2022 02:02:04 p. m.</t>
  </si>
  <si>
    <t>02/06/2022 02:04:07 p. m.</t>
  </si>
  <si>
    <t>02/06/2022 02:23:11 p. m.</t>
  </si>
  <si>
    <t>02/06/2022 02:56:46 p. m.</t>
  </si>
  <si>
    <t>02/06/2022 03:28:40 p. m.</t>
  </si>
  <si>
    <t>02/06/2022 03:40:35 p. m.</t>
  </si>
  <si>
    <t>02/06/2022 03:46:50 p. m.</t>
  </si>
  <si>
    <t>02/06/2022 03:48:11 p. m.</t>
  </si>
  <si>
    <t>02/06/2022 03:58:36 p. m.</t>
  </si>
  <si>
    <t>02/06/2022 04:10:25 p. m.</t>
  </si>
  <si>
    <t>02/06/2022 04:17:32 p. m.</t>
  </si>
  <si>
    <t>02/06/2022 05:29:11 p. m.</t>
  </si>
  <si>
    <t>02/06/2022 05:56:40 p. m.</t>
  </si>
  <si>
    <t>02/06/2022 05:59:26 p. m.</t>
  </si>
  <si>
    <t>02/06/2022 06:28:30 p. m.</t>
  </si>
  <si>
    <t>02/06/2022 06:30:51 p. m.</t>
  </si>
  <si>
    <t>02/06/2022 07:37:31 p. m.</t>
  </si>
  <si>
    <t>02/06/2022 07:37:59 p. m.</t>
  </si>
  <si>
    <t>02/06/2022 07:38:54 p. m.</t>
  </si>
  <si>
    <t>02/06/2022 07:40:22 p. m.</t>
  </si>
  <si>
    <t>02/06/2022 07:57:11 p. m.</t>
  </si>
  <si>
    <t>02/06/2022 08:37:17 p. m.</t>
  </si>
  <si>
    <t>02/06/2022 08:43:42 p. m.</t>
  </si>
  <si>
    <t>02/06/2022 09:44:32 p. m.</t>
  </si>
  <si>
    <t>02/06/2022 09:46:00 p. m.</t>
  </si>
  <si>
    <t>E697960121105</t>
  </si>
  <si>
    <t>E697951220567</t>
  </si>
  <si>
    <t>E697901000167</t>
  </si>
  <si>
    <t>E697021154319</t>
  </si>
  <si>
    <t>E697050511074</t>
  </si>
  <si>
    <t>E697000104982</t>
  </si>
  <si>
    <t>E697090996313</t>
  </si>
  <si>
    <t>E697180610465</t>
  </si>
  <si>
    <t>E697931103301</t>
  </si>
  <si>
    <t>E697050112757</t>
  </si>
  <si>
    <t>E697001231848</t>
  </si>
  <si>
    <t>E697081092509</t>
  </si>
  <si>
    <t>E697970305891</t>
  </si>
  <si>
    <t>E697920504940</t>
  </si>
  <si>
    <t>E697981230079</t>
  </si>
  <si>
    <t>E697061134884</t>
  </si>
  <si>
    <t>E697150290598</t>
  </si>
  <si>
    <t>E697000930360</t>
  </si>
  <si>
    <t>E697950521121</t>
  </si>
  <si>
    <t>E697100590621</t>
  </si>
  <si>
    <t>E697841200501</t>
  </si>
  <si>
    <t>E697130381023</t>
  </si>
  <si>
    <t>E697050251013</t>
  </si>
  <si>
    <t>E697090995376</t>
  </si>
  <si>
    <t>E697130481401</t>
  </si>
  <si>
    <t>E697861200150</t>
  </si>
  <si>
    <t>E697120390938</t>
  </si>
  <si>
    <t>E697740500024</t>
  </si>
  <si>
    <t>E697021050025</t>
  </si>
  <si>
    <t>E697771200177</t>
  </si>
  <si>
    <t>E697840700276</t>
  </si>
  <si>
    <t>E697001032586</t>
  </si>
  <si>
    <t>E696850800311</t>
  </si>
  <si>
    <t>E697741200067</t>
  </si>
  <si>
    <t>E697140584925</t>
  </si>
  <si>
    <t>E697070953316</t>
  </si>
  <si>
    <t>E697130881735</t>
  </si>
  <si>
    <t>E697150396752</t>
  </si>
  <si>
    <t>E697040653636</t>
  </si>
  <si>
    <t>E699000101111</t>
  </si>
  <si>
    <t>Total SUPER PLUS 16</t>
  </si>
  <si>
    <t>Total SUPER PLUS 36</t>
  </si>
  <si>
    <t>D:\SOPORTE\Descargas</t>
  </si>
  <si>
    <t>D:\SOPORTE\Descargas\COMISION_IUSA</t>
  </si>
  <si>
    <t>Archivo MNGR_COM:</t>
  </si>
  <si>
    <t>08 AGOSTO</t>
  </si>
  <si>
    <t>ENCARGADO TEMP 1</t>
  </si>
  <si>
    <t>RECIBO CFE IUSA</t>
  </si>
  <si>
    <t>RECIBO VE TV/SKY</t>
  </si>
  <si>
    <t>YENIFER HERNANDEZ MARQUEZ</t>
  </si>
  <si>
    <t>CAMBIO DE CONCEPTO A MTCENTER</t>
  </si>
  <si>
    <t>GENERAR</t>
  </si>
  <si>
    <t>GABRIELA MARLEN ROJAS OLEA</t>
  </si>
  <si>
    <t>FATIMA CORDERO BARRAGAN</t>
  </si>
  <si>
    <t>GENERADO</t>
  </si>
  <si>
    <t>CAMBIO DE CONCEPTO A CFE IUSA</t>
  </si>
  <si>
    <t>SE GENERO CON $2.5 DE MAS.</t>
  </si>
  <si>
    <t>SANDRA REYES CRUZ</t>
  </si>
  <si>
    <t>ROSALIA PEREZ ORTEGA</t>
  </si>
  <si>
    <t>RECIBO CFE MTCENTER</t>
  </si>
  <si>
    <t>YESENIA SIERRA HERRERA</t>
  </si>
  <si>
    <t>ITZEL JIMENEZ CORTES</t>
  </si>
  <si>
    <t>ALEJANDRO MARTINEZ CRUZ</t>
  </si>
  <si>
    <t>EDUARDO DAVID CRUZ MUÑOZ</t>
  </si>
  <si>
    <t>SERVICIOS_31.08.2022</t>
  </si>
  <si>
    <t>COMISIONES_31.08.2022</t>
  </si>
  <si>
    <t>30/08/2022</t>
  </si>
  <si>
    <t>697021253546</t>
  </si>
  <si>
    <t>11:07:52 p. m.</t>
  </si>
  <si>
    <t>697960320019</t>
  </si>
  <si>
    <t>SE GENERO CON $2.9999999999859E-03 DE MAS.</t>
  </si>
  <si>
    <t>YESENIA LOPEZ GARCiA</t>
  </si>
  <si>
    <t>697080452901</t>
  </si>
  <si>
    <t>697910801270</t>
  </si>
  <si>
    <t>697061031201</t>
  </si>
  <si>
    <t>697150950601</t>
  </si>
  <si>
    <t>697070250587</t>
  </si>
  <si>
    <t>697901200930</t>
  </si>
  <si>
    <t>SE GENERO CON $9.99999999976353E-04 DE MAS.</t>
  </si>
  <si>
    <t>697770106061</t>
  </si>
  <si>
    <t>697130181857</t>
  </si>
  <si>
    <t>697040851951</t>
  </si>
  <si>
    <t>697940881022</t>
  </si>
  <si>
    <t>697991133489</t>
  </si>
  <si>
    <t>697830800621</t>
  </si>
  <si>
    <t>696150571906</t>
  </si>
  <si>
    <t>696950730107</t>
  </si>
  <si>
    <t>016970206330512206180000004000</t>
  </si>
  <si>
    <t>501255929397</t>
  </si>
  <si>
    <t>017061108900102208200000001103</t>
  </si>
  <si>
    <t>SE GENERO CON $0.007000000000005 DE MAS.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</si>
</sst>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2" borderId="2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2" fontId="0" fillId="0" borderId="0" xfId="0" applyNumberFormat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0" fillId="0" borderId="0" xfId="0" applyFon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285750</xdr:colOff>
          <xdr:row>11</xdr:row>
          <xdr:rowOff>76200</xdr:rowOff>
        </xdr:to>
        <xdr:sp macro="" textlink="">
          <xdr:nvSpPr>
            <xdr:cNvPr id="2049" name="BTNInic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C7A7A-4E62-463D-B3C7-BBBD7FC26974}">
  <sheetPr codeName="Hoja14"/>
  <dimension ref="A1:B40"/>
  <sheetViews>
    <sheetView workbookViewId="0"/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38</v>
      </c>
      <c r="B1">
        <v>11</v>
      </c>
    </row>
    <row r="2" spans="1:2" x14ac:dyDescent="0.25">
      <c r="A2" t="s">
        <v>40</v>
      </c>
      <c r="B2">
        <v>21</v>
      </c>
    </row>
    <row r="3" spans="1:2" x14ac:dyDescent="0.25">
      <c r="A3" t="s">
        <v>37</v>
      </c>
      <c r="B3">
        <v>31</v>
      </c>
    </row>
    <row r="4" spans="1:2" x14ac:dyDescent="0.25">
      <c r="A4" t="s">
        <v>30</v>
      </c>
      <c r="B4">
        <v>41</v>
      </c>
    </row>
    <row r="5" spans="1:2" x14ac:dyDescent="0.25">
      <c r="A5" t="s">
        <v>29</v>
      </c>
      <c r="B5">
        <v>51</v>
      </c>
    </row>
    <row r="6" spans="1:2" x14ac:dyDescent="0.25">
      <c r="A6" t="s">
        <v>31</v>
      </c>
      <c r="B6">
        <v>61</v>
      </c>
    </row>
    <row r="7" spans="1:2" x14ac:dyDescent="0.25">
      <c r="A7" t="s">
        <v>44</v>
      </c>
      <c r="B7">
        <v>71</v>
      </c>
    </row>
    <row r="8" spans="1:2" x14ac:dyDescent="0.25">
      <c r="A8" t="s">
        <v>33</v>
      </c>
      <c r="B8">
        <v>81</v>
      </c>
    </row>
    <row r="9" spans="1:2" x14ac:dyDescent="0.25">
      <c r="A9" t="s">
        <v>32</v>
      </c>
      <c r="B9">
        <v>91</v>
      </c>
    </row>
    <row r="10" spans="1:2" x14ac:dyDescent="0.25">
      <c r="A10" t="s">
        <v>35</v>
      </c>
      <c r="B10">
        <v>101</v>
      </c>
    </row>
    <row r="11" spans="1:2" x14ac:dyDescent="0.25">
      <c r="A11" t="s">
        <v>39</v>
      </c>
      <c r="B11">
        <v>111</v>
      </c>
    </row>
    <row r="12" spans="1:2" x14ac:dyDescent="0.25">
      <c r="A12" t="s">
        <v>36</v>
      </c>
      <c r="B12">
        <v>121</v>
      </c>
    </row>
    <row r="13" spans="1:2" x14ac:dyDescent="0.25">
      <c r="A13" t="s">
        <v>42</v>
      </c>
      <c r="B13">
        <v>131</v>
      </c>
    </row>
    <row r="14" spans="1:2" x14ac:dyDescent="0.25">
      <c r="A14" t="s">
        <v>27</v>
      </c>
      <c r="B14">
        <v>141</v>
      </c>
    </row>
    <row r="15" spans="1:2" x14ac:dyDescent="0.25">
      <c r="A15" t="s">
        <v>45</v>
      </c>
      <c r="B15">
        <v>151</v>
      </c>
    </row>
    <row r="16" spans="1:2" x14ac:dyDescent="0.25">
      <c r="A16" t="s">
        <v>28</v>
      </c>
      <c r="B16">
        <v>161</v>
      </c>
    </row>
    <row r="17" spans="1:2" x14ac:dyDescent="0.25">
      <c r="A17" t="s">
        <v>46</v>
      </c>
      <c r="B17">
        <v>171</v>
      </c>
    </row>
    <row r="18" spans="1:2" x14ac:dyDescent="0.25">
      <c r="A18" t="s">
        <v>47</v>
      </c>
      <c r="B18">
        <v>181</v>
      </c>
    </row>
    <row r="19" spans="1:2" x14ac:dyDescent="0.25">
      <c r="A19" t="s">
        <v>48</v>
      </c>
      <c r="B19">
        <v>191</v>
      </c>
    </row>
    <row r="20" spans="1:2" x14ac:dyDescent="0.25">
      <c r="A20" t="s">
        <v>49</v>
      </c>
      <c r="B20">
        <v>201</v>
      </c>
    </row>
    <row r="21" spans="1:2" x14ac:dyDescent="0.25">
      <c r="A21" t="s">
        <v>50</v>
      </c>
      <c r="B21">
        <v>211</v>
      </c>
    </row>
    <row r="22" spans="1:2" x14ac:dyDescent="0.25">
      <c r="A22" t="s">
        <v>34</v>
      </c>
      <c r="B22">
        <v>271</v>
      </c>
    </row>
    <row r="23" spans="1:2" x14ac:dyDescent="0.25">
      <c r="A23" t="s">
        <v>51</v>
      </c>
      <c r="B23">
        <v>231</v>
      </c>
    </row>
    <row r="24" spans="1:2" x14ac:dyDescent="0.25">
      <c r="A24" t="s">
        <v>52</v>
      </c>
      <c r="B24">
        <v>241</v>
      </c>
    </row>
    <row r="25" spans="1:2" x14ac:dyDescent="0.25">
      <c r="A25" t="s">
        <v>53</v>
      </c>
      <c r="B25">
        <v>251</v>
      </c>
    </row>
    <row r="26" spans="1:2" x14ac:dyDescent="0.25">
      <c r="A26" t="s">
        <v>54</v>
      </c>
      <c r="B26">
        <v>261</v>
      </c>
    </row>
    <row r="27" spans="1:2" x14ac:dyDescent="0.25">
      <c r="A27" t="s">
        <v>55</v>
      </c>
      <c r="B27">
        <v>271</v>
      </c>
    </row>
    <row r="28" spans="1:2" x14ac:dyDescent="0.25">
      <c r="A28" t="s">
        <v>56</v>
      </c>
      <c r="B28">
        <v>281</v>
      </c>
    </row>
    <row r="29" spans="1:2" x14ac:dyDescent="0.25">
      <c r="A29" t="s">
        <v>57</v>
      </c>
      <c r="B29">
        <v>291</v>
      </c>
    </row>
    <row r="30" spans="1:2" x14ac:dyDescent="0.25">
      <c r="A30" t="s">
        <v>58</v>
      </c>
      <c r="B30">
        <v>301</v>
      </c>
    </row>
    <row r="31" spans="1:2" x14ac:dyDescent="0.25">
      <c r="A31" t="s">
        <v>59</v>
      </c>
      <c r="B31">
        <v>311</v>
      </c>
    </row>
    <row r="32" spans="1:2" x14ac:dyDescent="0.25">
      <c r="A32" t="s">
        <v>60</v>
      </c>
      <c r="B32">
        <v>321</v>
      </c>
    </row>
    <row r="33" spans="1:2" x14ac:dyDescent="0.25">
      <c r="A33" t="s">
        <v>61</v>
      </c>
      <c r="B33">
        <v>331</v>
      </c>
    </row>
    <row r="34" spans="1:2" x14ac:dyDescent="0.25">
      <c r="A34" t="s">
        <v>62</v>
      </c>
      <c r="B34">
        <v>341</v>
      </c>
    </row>
    <row r="35" spans="1:2" x14ac:dyDescent="0.25">
      <c r="A35" t="s">
        <v>63</v>
      </c>
      <c r="B35">
        <v>351</v>
      </c>
    </row>
    <row r="36" spans="1:2" x14ac:dyDescent="0.25">
      <c r="A36" t="s">
        <v>41</v>
      </c>
      <c r="B36">
        <v>361</v>
      </c>
    </row>
    <row r="37" spans="1:2" x14ac:dyDescent="0.25">
      <c r="A37" t="s">
        <v>64</v>
      </c>
      <c r="B37">
        <v>371</v>
      </c>
    </row>
    <row r="38" spans="1:2" x14ac:dyDescent="0.25">
      <c r="A38" t="s">
        <v>65</v>
      </c>
      <c r="B38">
        <v>381</v>
      </c>
    </row>
    <row r="39" spans="1:2" x14ac:dyDescent="0.25">
      <c r="A39" t="s">
        <v>66</v>
      </c>
      <c r="B39">
        <v>391</v>
      </c>
    </row>
    <row r="40" spans="1:2" x14ac:dyDescent="0.25">
      <c r="A40" t="s">
        <v>43</v>
      </c>
      <c r="B40">
        <v>401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55E-1F31-49BD-9557-60DA9B2980ED}">
  <sheetPr codeName="Hoja1"/>
  <dimension ref="A1:O28"/>
  <sheetViews>
    <sheetView tabSelected="1" workbookViewId="0">
      <selection activeCell="C33" sqref="C33"/>
    </sheetView>
  </sheetViews>
  <sheetFormatPr baseColWidth="10" defaultRowHeight="15" x14ac:dyDescent="0.25"/>
  <cols>
    <col min="1" max="1" width="17.42578125" bestFit="1" customWidth="1"/>
    <col min="2" max="2" width="23.85546875" bestFit="1" customWidth="1"/>
    <col min="3" max="3" width="19.5703125" bestFit="1" customWidth="1"/>
    <col min="4" max="4" width="20.42578125" bestFit="1" customWidth="1"/>
    <col min="5" max="5" width="13" bestFit="1" customWidth="1"/>
    <col min="6" max="6" width="52.5703125" bestFit="1" customWidth="1"/>
  </cols>
  <sheetData>
    <row r="1" spans="1:6" ht="15.75" thickBot="1" x14ac:dyDescent="0.3">
      <c r="A1" s="2" t="s">
        <v>0</v>
      </c>
      <c r="B1" s="3">
        <v>4.9400000000000004</v>
      </c>
      <c r="C1" s="4" t="s">
        <v>1</v>
      </c>
      <c r="D1" s="5">
        <f ca="1">TODAY()</f>
        <v>44804</v>
      </c>
      <c r="E1" s="6"/>
      <c r="F1" s="6"/>
    </row>
    <row r="2" spans="1:6" ht="15.75" thickBot="1" x14ac:dyDescent="0.3">
      <c r="A2" s="2" t="s">
        <v>2</v>
      </c>
      <c r="B2" s="3" t="s">
        <v>3</v>
      </c>
      <c r="C2" s="4" t="s">
        <v>4</v>
      </c>
      <c r="D2" s="5" t="s">
        <v>5</v>
      </c>
      <c r="E2" s="6"/>
      <c r="F2" s="6"/>
    </row>
    <row r="3" spans="1:6" ht="15.75" thickBot="1" x14ac:dyDescent="0.3">
      <c r="A3" s="2" t="s">
        <v>6</v>
      </c>
      <c r="B3" s="3">
        <v>15</v>
      </c>
      <c r="C3" s="4" t="s">
        <v>7</v>
      </c>
      <c r="D3" s="1">
        <v>8</v>
      </c>
      <c r="E3" s="2" t="s">
        <v>8</v>
      </c>
      <c r="F3" s="3">
        <v>2022</v>
      </c>
    </row>
    <row r="4" spans="1:6" ht="15.75" thickBot="1" x14ac:dyDescent="0.3">
      <c r="A4" s="2" t="s">
        <v>9</v>
      </c>
      <c r="B4" s="3">
        <v>21</v>
      </c>
      <c r="C4" s="4" t="s">
        <v>7</v>
      </c>
      <c r="D4" s="1">
        <v>8</v>
      </c>
      <c r="E4" s="2" t="s">
        <v>8</v>
      </c>
      <c r="F4" s="3">
        <v>2022</v>
      </c>
    </row>
    <row r="5" spans="1:6" ht="15.75" thickBot="1" x14ac:dyDescent="0.3">
      <c r="A5" s="2" t="s">
        <v>10</v>
      </c>
      <c r="B5" s="3" t="s">
        <v>692</v>
      </c>
      <c r="C5" s="4" t="s">
        <v>11</v>
      </c>
      <c r="D5" s="1" t="s">
        <v>711</v>
      </c>
      <c r="E5" s="4" t="s">
        <v>12</v>
      </c>
      <c r="F5" s="1" t="s">
        <v>13</v>
      </c>
    </row>
    <row r="6" spans="1:6" ht="15.75" thickBot="1" x14ac:dyDescent="0.3">
      <c r="A6" s="2"/>
      <c r="B6" s="3" t="s">
        <v>26</v>
      </c>
      <c r="C6" s="4" t="s">
        <v>14</v>
      </c>
      <c r="D6" s="1" t="s">
        <v>689</v>
      </c>
      <c r="E6" s="4" t="s">
        <v>15</v>
      </c>
      <c r="F6" s="1" t="s">
        <v>16</v>
      </c>
    </row>
    <row r="7" spans="1:6" ht="15.75" thickBot="1" x14ac:dyDescent="0.3">
      <c r="A7" s="2" t="s">
        <v>17</v>
      </c>
      <c r="B7" s="3" t="s">
        <v>18</v>
      </c>
      <c r="C7" s="4" t="s">
        <v>25</v>
      </c>
      <c r="D7" s="1" t="s">
        <v>690</v>
      </c>
      <c r="E7" s="2"/>
      <c r="F7" s="3"/>
    </row>
    <row r="8" spans="1:6" ht="15.75" thickBot="1" x14ac:dyDescent="0.3">
      <c r="A8" s="2"/>
      <c r="B8" s="3" t="s">
        <v>19</v>
      </c>
      <c r="C8" s="4" t="s">
        <v>691</v>
      </c>
      <c r="D8" s="1" t="s">
        <v>712</v>
      </c>
      <c r="E8" s="2"/>
      <c r="F8" s="3"/>
    </row>
    <row r="9" spans="1:6" ht="15.75" thickBot="1" x14ac:dyDescent="0.3">
      <c r="A9" s="2"/>
      <c r="B9" s="3" t="s">
        <v>20</v>
      </c>
    </row>
    <row r="10" spans="1:6" ht="15.75" thickBot="1" x14ac:dyDescent="0.3">
      <c r="A10" s="2"/>
      <c r="B10" s="3" t="s">
        <v>21</v>
      </c>
    </row>
    <row r="11" spans="1:6" ht="15.75" thickBot="1" x14ac:dyDescent="0.3">
      <c r="A11" s="2"/>
      <c r="B11" s="3" t="s">
        <v>22</v>
      </c>
    </row>
    <row r="12" spans="1:6" ht="15.75" thickBot="1" x14ac:dyDescent="0.3">
      <c r="A12" s="2" t="s">
        <v>23</v>
      </c>
      <c r="B12" s="3" t="s">
        <v>24</v>
      </c>
    </row>
    <row r="13" spans="1:6" x14ac:dyDescent="0.25">
      <c r="E13" s="16"/>
    </row>
    <row r="14" spans="1:6" x14ac:dyDescent="0.25">
      <c r="D14" s="15"/>
    </row>
    <row r="16" spans="1:6" x14ac:dyDescent="0.25">
      <c r="D16" s="16"/>
    </row>
    <row r="17" spans="4:15" x14ac:dyDescent="0.25">
      <c r="D17" s="15"/>
    </row>
    <row r="18" spans="4:15" x14ac:dyDescent="0.25">
      <c r="H18" s="15"/>
    </row>
    <row r="26" spans="4:15" x14ac:dyDescent="0.25">
      <c r="D26" s="15"/>
      <c r="K26" s="15"/>
    </row>
    <row r="27" spans="4:15" x14ac:dyDescent="0.25">
      <c r="O27" s="15"/>
    </row>
    <row r="28" spans="4:15" x14ac:dyDescent="0.25">
      <c r="D28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cio">
          <controlPr defaultSize="0" autoLine="0" r:id="rId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285750</xdr:colOff>
                <xdr:row>11</xdr:row>
                <xdr:rowOff>76200</xdr:rowOff>
              </to>
            </anchor>
          </controlPr>
        </control>
      </mc:Choice>
      <mc:Fallback>
        <control shapeId="2049" r:id="rId4" name="BTN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9F890-1C74-41A8-8E4D-792C286EBA46}">
  <sheetPr codeName="Hoja19"/>
  <dimension ref="A2:H20"/>
  <sheetViews>
    <sheetView workbookViewId="0"/>
  </sheetViews>
  <sheetFormatPr baseColWidth="10" defaultRowHeight="15" x14ac:dyDescent="0.25"/>
  <sheetData>
    <row r="2" spans="1:8" x14ac:dyDescent="0.25">
      <c r="A2">
        <v>41</v>
      </c>
      <c r="B2" s="18">
        <v>44803</v>
      </c>
      <c r="C2">
        <v>0.79737268518518523</v>
      </c>
      <c r="D2" t="s">
        <v>704</v>
      </c>
      <c r="E2" t="s">
        <v>694</v>
      </c>
      <c r="F2" s="17" t="s">
        <v>714</v>
      </c>
      <c r="G2">
        <v>-134.50299999999999</v>
      </c>
      <c r="H2" t="s">
        <v>717</v>
      </c>
    </row>
    <row r="3" spans="1:8" x14ac:dyDescent="0.25">
      <c r="A3">
        <v>61</v>
      </c>
      <c r="B3" s="18">
        <v>44799</v>
      </c>
      <c r="C3">
        <v>0.61172453703703711</v>
      </c>
      <c r="D3" t="s">
        <v>705</v>
      </c>
      <c r="E3" t="s">
        <v>706</v>
      </c>
      <c r="F3" s="17" t="s">
        <v>723</v>
      </c>
      <c r="G3">
        <v>-113.5</v>
      </c>
      <c r="H3" t="s">
        <v>702</v>
      </c>
    </row>
    <row r="4" spans="1:8" x14ac:dyDescent="0.25">
      <c r="A4">
        <v>121</v>
      </c>
      <c r="B4" s="18">
        <v>44799</v>
      </c>
      <c r="C4">
        <v>0.37753472222222223</v>
      </c>
      <c r="D4" t="s">
        <v>693</v>
      </c>
      <c r="E4" t="s">
        <v>694</v>
      </c>
      <c r="F4" s="17" t="s">
        <v>720</v>
      </c>
      <c r="G4">
        <v>-316.50099999999998</v>
      </c>
      <c r="H4" t="s">
        <v>725</v>
      </c>
    </row>
    <row r="5" spans="1:8" x14ac:dyDescent="0.25">
      <c r="A5">
        <v>131</v>
      </c>
      <c r="B5" s="18">
        <v>44799</v>
      </c>
      <c r="C5">
        <v>0.43990740740740741</v>
      </c>
      <c r="D5" t="s">
        <v>707</v>
      </c>
      <c r="E5" t="s">
        <v>695</v>
      </c>
      <c r="F5" s="17" t="s">
        <v>724</v>
      </c>
      <c r="G5">
        <v>-99.5</v>
      </c>
      <c r="H5" t="s">
        <v>702</v>
      </c>
    </row>
    <row r="6" spans="1:8" x14ac:dyDescent="0.25">
      <c r="A6">
        <v>261</v>
      </c>
      <c r="B6" s="18">
        <v>44799</v>
      </c>
      <c r="C6">
        <v>0.76364583333333336</v>
      </c>
      <c r="D6" t="s">
        <v>709</v>
      </c>
      <c r="E6" t="s">
        <v>694</v>
      </c>
      <c r="F6" s="17" t="s">
        <v>722</v>
      </c>
      <c r="G6">
        <v>-94</v>
      </c>
      <c r="H6" t="s">
        <v>703</v>
      </c>
    </row>
    <row r="7" spans="1:8" x14ac:dyDescent="0.25">
      <c r="A7">
        <v>61</v>
      </c>
      <c r="B7" s="18">
        <v>44799</v>
      </c>
      <c r="C7">
        <v>0.61172453703703711</v>
      </c>
      <c r="D7" t="s">
        <v>705</v>
      </c>
      <c r="E7" t="s">
        <v>706</v>
      </c>
      <c r="F7" s="17" t="s">
        <v>723</v>
      </c>
      <c r="G7">
        <v>-113.5</v>
      </c>
      <c r="H7" t="s">
        <v>702</v>
      </c>
    </row>
    <row r="8" spans="1:8" x14ac:dyDescent="0.25">
      <c r="A8">
        <v>121</v>
      </c>
      <c r="B8" s="18">
        <v>44799</v>
      </c>
      <c r="C8">
        <v>0.37753472222222223</v>
      </c>
      <c r="D8" t="s">
        <v>693</v>
      </c>
      <c r="E8" t="s">
        <v>694</v>
      </c>
      <c r="F8" s="17" t="s">
        <v>720</v>
      </c>
      <c r="G8">
        <v>-316.50099999999998</v>
      </c>
      <c r="H8" t="s">
        <v>725</v>
      </c>
    </row>
    <row r="9" spans="1:8" x14ac:dyDescent="0.25">
      <c r="A9">
        <v>131</v>
      </c>
      <c r="B9" s="18">
        <v>44799</v>
      </c>
      <c r="C9">
        <v>0.43990740740740741</v>
      </c>
      <c r="D9" t="s">
        <v>707</v>
      </c>
      <c r="E9" t="s">
        <v>695</v>
      </c>
      <c r="F9" s="17" t="s">
        <v>724</v>
      </c>
      <c r="G9">
        <v>-99.5</v>
      </c>
      <c r="H9" t="s">
        <v>702</v>
      </c>
    </row>
    <row r="10" spans="1:8" x14ac:dyDescent="0.25">
      <c r="A10">
        <v>261</v>
      </c>
      <c r="B10" s="18">
        <v>44799</v>
      </c>
      <c r="C10">
        <v>0.76364583333333336</v>
      </c>
      <c r="D10" t="s">
        <v>709</v>
      </c>
      <c r="E10" t="s">
        <v>694</v>
      </c>
      <c r="F10" s="17" t="s">
        <v>722</v>
      </c>
      <c r="G10">
        <v>-94</v>
      </c>
      <c r="H10" t="s">
        <v>703</v>
      </c>
    </row>
    <row r="11" spans="1:8" x14ac:dyDescent="0.25">
      <c r="A11">
        <v>41</v>
      </c>
      <c r="B11" s="18">
        <v>44788</v>
      </c>
      <c r="C11">
        <v>0.43334490740740739</v>
      </c>
      <c r="D11" t="s">
        <v>699</v>
      </c>
      <c r="E11" t="s">
        <v>694</v>
      </c>
      <c r="F11" s="17" t="s">
        <v>734</v>
      </c>
      <c r="G11">
        <v>-316</v>
      </c>
      <c r="H11" t="s">
        <v>697</v>
      </c>
    </row>
    <row r="12" spans="1:8" x14ac:dyDescent="0.25">
      <c r="A12">
        <v>41</v>
      </c>
      <c r="B12" s="18">
        <v>44788</v>
      </c>
      <c r="C12">
        <v>0.92684027777777789</v>
      </c>
      <c r="D12" t="s">
        <v>710</v>
      </c>
      <c r="E12" t="s">
        <v>694</v>
      </c>
      <c r="F12" s="17" t="s">
        <v>726</v>
      </c>
      <c r="G12">
        <v>-114</v>
      </c>
      <c r="H12" t="s">
        <v>703</v>
      </c>
    </row>
    <row r="13" spans="1:8" x14ac:dyDescent="0.25">
      <c r="A13">
        <v>91</v>
      </c>
      <c r="B13" s="18">
        <v>44794</v>
      </c>
      <c r="C13">
        <v>0.25627314814814817</v>
      </c>
      <c r="D13" t="s">
        <v>693</v>
      </c>
      <c r="E13" t="s">
        <v>694</v>
      </c>
      <c r="F13" s="17" t="s">
        <v>728</v>
      </c>
      <c r="G13">
        <v>-217</v>
      </c>
      <c r="H13" t="s">
        <v>703</v>
      </c>
    </row>
    <row r="14" spans="1:8" x14ac:dyDescent="0.25">
      <c r="A14">
        <v>111</v>
      </c>
      <c r="B14" s="18">
        <v>44792</v>
      </c>
      <c r="C14">
        <v>0.31111111111111112</v>
      </c>
      <c r="D14" t="s">
        <v>700</v>
      </c>
      <c r="E14" t="s">
        <v>694</v>
      </c>
      <c r="F14" s="17" t="s">
        <v>735</v>
      </c>
      <c r="G14">
        <v>-357.5</v>
      </c>
      <c r="H14" t="s">
        <v>697</v>
      </c>
    </row>
    <row r="15" spans="1:8" x14ac:dyDescent="0.25">
      <c r="A15">
        <v>131</v>
      </c>
      <c r="B15" s="18">
        <v>44788</v>
      </c>
      <c r="C15">
        <v>0.54820601851851858</v>
      </c>
      <c r="D15" t="s">
        <v>707</v>
      </c>
      <c r="E15" t="s">
        <v>694</v>
      </c>
      <c r="F15" s="17" t="s">
        <v>729</v>
      </c>
      <c r="G15">
        <v>-370</v>
      </c>
      <c r="H15" t="s">
        <v>703</v>
      </c>
    </row>
    <row r="16" spans="1:8" x14ac:dyDescent="0.25">
      <c r="A16">
        <v>131</v>
      </c>
      <c r="B16" s="18">
        <v>44788</v>
      </c>
      <c r="C16">
        <v>0.55314814814814817</v>
      </c>
      <c r="D16" t="s">
        <v>707</v>
      </c>
      <c r="E16" t="s">
        <v>694</v>
      </c>
      <c r="F16" s="17" t="s">
        <v>730</v>
      </c>
      <c r="G16">
        <v>-92</v>
      </c>
      <c r="H16" t="s">
        <v>703</v>
      </c>
    </row>
    <row r="17" spans="1:8" x14ac:dyDescent="0.25">
      <c r="A17">
        <v>131</v>
      </c>
      <c r="B17" s="18">
        <v>44788</v>
      </c>
      <c r="C17">
        <v>0.5587847222222222</v>
      </c>
      <c r="D17" t="s">
        <v>707</v>
      </c>
      <c r="E17" t="s">
        <v>694</v>
      </c>
      <c r="F17" s="17" t="s">
        <v>731</v>
      </c>
      <c r="G17">
        <v>-226</v>
      </c>
      <c r="H17" t="s">
        <v>703</v>
      </c>
    </row>
    <row r="18" spans="1:8" x14ac:dyDescent="0.25">
      <c r="A18">
        <v>161</v>
      </c>
      <c r="B18" s="18">
        <v>44788</v>
      </c>
      <c r="C18">
        <v>0.42894675925925929</v>
      </c>
      <c r="D18" t="s">
        <v>708</v>
      </c>
      <c r="E18" t="s">
        <v>694</v>
      </c>
      <c r="F18" s="17" t="s">
        <v>732</v>
      </c>
      <c r="G18">
        <v>-406</v>
      </c>
      <c r="H18" t="s">
        <v>703</v>
      </c>
    </row>
    <row r="19" spans="1:8" x14ac:dyDescent="0.25">
      <c r="A19">
        <v>161</v>
      </c>
      <c r="B19" s="18">
        <v>44793</v>
      </c>
      <c r="C19">
        <v>0.73774305555555564</v>
      </c>
      <c r="D19" t="s">
        <v>708</v>
      </c>
      <c r="E19" t="s">
        <v>694</v>
      </c>
      <c r="F19" s="17" t="s">
        <v>733</v>
      </c>
      <c r="G19">
        <v>-99.507000000000005</v>
      </c>
      <c r="H19" t="s">
        <v>737</v>
      </c>
    </row>
    <row r="20" spans="1:8" x14ac:dyDescent="0.25">
      <c r="A20">
        <v>251</v>
      </c>
      <c r="B20" s="18">
        <v>44792</v>
      </c>
      <c r="C20">
        <v>0.89498842592592587</v>
      </c>
      <c r="D20" t="s">
        <v>718</v>
      </c>
      <c r="E20" t="s">
        <v>694</v>
      </c>
      <c r="F20" s="17" t="s">
        <v>736</v>
      </c>
      <c r="G20">
        <v>-118</v>
      </c>
      <c r="H20" t="s">
        <v>697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F300D-2A63-44F5-B94C-AEFEA64CA2AA}">
  <sheetPr codeName="Hoja20"/>
  <dimension ref="A2:J7"/>
  <sheetViews>
    <sheetView workbookViewId="0">
      <selection activeCell="G22" sqref="G22"/>
    </sheetView>
  </sheetViews>
  <sheetFormatPr baseColWidth="10" defaultRowHeight="15" x14ac:dyDescent="0.25"/>
  <sheetData>
    <row r="2" spans="1:10" x14ac:dyDescent="0.25">
      <c r="A2">
        <v>321</v>
      </c>
      <c r="B2" t="s">
        <v>713</v>
      </c>
      <c r="C2" t="s">
        <v>715</v>
      </c>
      <c r="E2" t="s">
        <v>694</v>
      </c>
      <c r="F2" s="17" t="s">
        <v>716</v>
      </c>
      <c r="G2">
        <v>-2559.5</v>
      </c>
      <c r="H2" t="s">
        <v>698</v>
      </c>
      <c r="I2">
        <v>2559.5</v>
      </c>
      <c r="J2" s="18">
        <v>44804</v>
      </c>
    </row>
    <row r="3" spans="1:10" x14ac:dyDescent="0.25">
      <c r="A3">
        <v>91</v>
      </c>
      <c r="B3" s="18">
        <v>44798</v>
      </c>
      <c r="C3">
        <v>0.60077546296296302</v>
      </c>
      <c r="D3" t="s">
        <v>696</v>
      </c>
      <c r="E3" t="s">
        <v>694</v>
      </c>
      <c r="F3" s="17" t="s">
        <v>719</v>
      </c>
      <c r="G3">
        <v>-167.5</v>
      </c>
      <c r="H3" t="s">
        <v>701</v>
      </c>
      <c r="I3">
        <v>100</v>
      </c>
      <c r="J3" s="18">
        <v>44804</v>
      </c>
    </row>
    <row r="4" spans="1:10" x14ac:dyDescent="0.25">
      <c r="A4">
        <v>121</v>
      </c>
      <c r="B4" s="18">
        <v>44799</v>
      </c>
      <c r="C4">
        <v>0.5088773148148148</v>
      </c>
      <c r="D4" t="s">
        <v>693</v>
      </c>
      <c r="E4" t="s">
        <v>694</v>
      </c>
      <c r="F4" s="17" t="s">
        <v>721</v>
      </c>
      <c r="G4">
        <v>-272.5</v>
      </c>
      <c r="H4" t="s">
        <v>698</v>
      </c>
      <c r="I4">
        <v>3</v>
      </c>
      <c r="J4" s="18">
        <v>44804</v>
      </c>
    </row>
    <row r="5" spans="1:10" x14ac:dyDescent="0.25">
      <c r="A5">
        <v>91</v>
      </c>
      <c r="B5" s="18">
        <v>44798</v>
      </c>
      <c r="C5">
        <v>0.60077546296296302</v>
      </c>
      <c r="D5" t="s">
        <v>696</v>
      </c>
      <c r="E5" t="s">
        <v>694</v>
      </c>
      <c r="F5" s="17" t="s">
        <v>719</v>
      </c>
      <c r="G5">
        <v>-167.5</v>
      </c>
      <c r="H5" t="s">
        <v>701</v>
      </c>
      <c r="I5">
        <v>100</v>
      </c>
      <c r="J5" s="18">
        <v>44804</v>
      </c>
    </row>
    <row r="6" spans="1:10" x14ac:dyDescent="0.25">
      <c r="A6">
        <v>121</v>
      </c>
      <c r="B6" s="18">
        <v>44799</v>
      </c>
      <c r="C6">
        <v>0.5088773148148148</v>
      </c>
      <c r="D6" t="s">
        <v>693</v>
      </c>
      <c r="E6" t="s">
        <v>694</v>
      </c>
      <c r="F6" s="17" t="s">
        <v>721</v>
      </c>
      <c r="G6">
        <v>-272.5</v>
      </c>
      <c r="H6" t="s">
        <v>698</v>
      </c>
      <c r="I6">
        <v>3</v>
      </c>
      <c r="J6" s="18">
        <v>44804</v>
      </c>
    </row>
    <row r="7" spans="1:10" x14ac:dyDescent="0.25">
      <c r="A7">
        <v>91</v>
      </c>
      <c r="B7" s="18">
        <v>44789</v>
      </c>
      <c r="C7">
        <v>0.73151620370370374</v>
      </c>
      <c r="D7" t="s">
        <v>693</v>
      </c>
      <c r="E7" t="s">
        <v>694</v>
      </c>
      <c r="F7" s="17" t="s">
        <v>727</v>
      </c>
      <c r="G7">
        <v>-255</v>
      </c>
      <c r="H7" t="s">
        <v>701</v>
      </c>
      <c r="I7">
        <v>0.5</v>
      </c>
      <c r="J7" s="18">
        <v>44804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317A-6D56-42A5-93FB-E52888D30C9D}">
  <sheetPr codeName="Hoja5"/>
  <dimension ref="A3:V62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28833292</v>
      </c>
      <c r="K4" t="s">
        <v>627</v>
      </c>
      <c r="L4" t="s">
        <v>87</v>
      </c>
      <c r="M4" t="s">
        <v>88</v>
      </c>
      <c r="N4">
        <v>263.5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647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28834946</v>
      </c>
      <c r="K5" t="s">
        <v>640</v>
      </c>
      <c r="L5" t="s">
        <v>87</v>
      </c>
      <c r="M5" t="s">
        <v>88</v>
      </c>
      <c r="N5">
        <v>44.5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648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28834961</v>
      </c>
      <c r="K6" t="s">
        <v>641</v>
      </c>
      <c r="L6" t="s">
        <v>87</v>
      </c>
      <c r="M6" t="s">
        <v>88</v>
      </c>
      <c r="N6">
        <v>170.5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649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28835797</v>
      </c>
      <c r="K7" t="s">
        <v>646</v>
      </c>
      <c r="L7" t="s">
        <v>87</v>
      </c>
      <c r="M7" t="s">
        <v>88</v>
      </c>
      <c r="N7">
        <v>44.5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650</v>
      </c>
      <c r="T7">
        <v>6</v>
      </c>
      <c r="U7" t="s">
        <v>89</v>
      </c>
    </row>
    <row r="8" spans="1:22" outlineLevel="1" x14ac:dyDescent="0.25">
      <c r="H8" s="9" t="s">
        <v>531</v>
      </c>
      <c r="N8">
        <f>SUBTOTAL(9,N4:N7)</f>
        <v>523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8653</v>
      </c>
      <c r="H9" t="s">
        <v>37</v>
      </c>
      <c r="I9">
        <v>1000008653</v>
      </c>
      <c r="J9">
        <v>28833232</v>
      </c>
      <c r="K9" t="s">
        <v>626</v>
      </c>
      <c r="L9" t="s">
        <v>87</v>
      </c>
      <c r="M9" t="s">
        <v>88</v>
      </c>
      <c r="N9">
        <v>190.5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651</v>
      </c>
      <c r="T9">
        <v>6</v>
      </c>
      <c r="U9" t="s">
        <v>89</v>
      </c>
    </row>
    <row r="10" spans="1:22" outlineLevel="1" x14ac:dyDescent="0.25">
      <c r="H10" s="9" t="s">
        <v>533</v>
      </c>
      <c r="N10">
        <f>SUBTOTAL(9,N9:N9)</f>
        <v>190.5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28830043</v>
      </c>
      <c r="K11" t="s">
        <v>610</v>
      </c>
      <c r="L11" t="s">
        <v>87</v>
      </c>
      <c r="M11" t="s">
        <v>88</v>
      </c>
      <c r="N11">
        <v>320.5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652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28830049</v>
      </c>
      <c r="K12" t="s">
        <v>611</v>
      </c>
      <c r="L12" t="s">
        <v>87</v>
      </c>
      <c r="M12" t="s">
        <v>88</v>
      </c>
      <c r="N12">
        <v>112.5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653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8654</v>
      </c>
      <c r="H13" t="s">
        <v>30</v>
      </c>
      <c r="I13">
        <v>1000008654</v>
      </c>
      <c r="J13">
        <v>28830957</v>
      </c>
      <c r="K13" t="s">
        <v>613</v>
      </c>
      <c r="L13" t="s">
        <v>87</v>
      </c>
      <c r="M13" t="s">
        <v>88</v>
      </c>
      <c r="N13">
        <v>89.5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654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8654</v>
      </c>
      <c r="H14" t="s">
        <v>30</v>
      </c>
      <c r="I14">
        <v>1000008654</v>
      </c>
      <c r="J14">
        <v>28831759</v>
      </c>
      <c r="K14" t="s">
        <v>616</v>
      </c>
      <c r="L14" t="s">
        <v>87</v>
      </c>
      <c r="M14" t="s">
        <v>88</v>
      </c>
      <c r="N14">
        <v>87.5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655</v>
      </c>
      <c r="T14">
        <v>6</v>
      </c>
      <c r="U14" t="s">
        <v>89</v>
      </c>
    </row>
    <row r="15" spans="1:22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8654</v>
      </c>
      <c r="H15" t="s">
        <v>30</v>
      </c>
      <c r="I15">
        <v>1000008654</v>
      </c>
      <c r="J15">
        <v>28832366</v>
      </c>
      <c r="K15" t="s">
        <v>618</v>
      </c>
      <c r="L15" t="s">
        <v>87</v>
      </c>
      <c r="M15" t="s">
        <v>88</v>
      </c>
      <c r="N15">
        <v>84.5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656</v>
      </c>
      <c r="T15">
        <v>6</v>
      </c>
      <c r="U15" t="s">
        <v>89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8654</v>
      </c>
      <c r="H16" t="s">
        <v>30</v>
      </c>
      <c r="I16">
        <v>1000008654</v>
      </c>
      <c r="J16">
        <v>28834072</v>
      </c>
      <c r="K16" t="s">
        <v>634</v>
      </c>
      <c r="L16" t="s">
        <v>87</v>
      </c>
      <c r="M16" t="s">
        <v>88</v>
      </c>
      <c r="N16">
        <v>3095.5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657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8654</v>
      </c>
      <c r="H17" t="s">
        <v>30</v>
      </c>
      <c r="I17">
        <v>1000008654</v>
      </c>
      <c r="J17">
        <v>28834089</v>
      </c>
      <c r="K17" t="s">
        <v>635</v>
      </c>
      <c r="L17" t="s">
        <v>556</v>
      </c>
      <c r="M17" t="s">
        <v>88</v>
      </c>
      <c r="N17">
        <v>111.5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658</v>
      </c>
      <c r="T17">
        <v>6</v>
      </c>
      <c r="U17" t="s">
        <v>89</v>
      </c>
    </row>
    <row r="18" spans="1:21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8654</v>
      </c>
      <c r="H18" t="s">
        <v>30</v>
      </c>
      <c r="I18">
        <v>1000008654</v>
      </c>
      <c r="J18">
        <v>28834328</v>
      </c>
      <c r="K18" t="s">
        <v>636</v>
      </c>
      <c r="L18" t="s">
        <v>87</v>
      </c>
      <c r="M18" t="s">
        <v>88</v>
      </c>
      <c r="N18">
        <v>163.5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659</v>
      </c>
      <c r="T18">
        <v>6</v>
      </c>
      <c r="U18" t="s">
        <v>89</v>
      </c>
    </row>
    <row r="19" spans="1:21" outlineLevel="1" x14ac:dyDescent="0.25">
      <c r="H19" s="9" t="s">
        <v>534</v>
      </c>
      <c r="N19">
        <f>SUBTOTAL(9,N11:N18)</f>
        <v>4065</v>
      </c>
    </row>
    <row r="20" spans="1:21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8655</v>
      </c>
      <c r="H20" t="s">
        <v>29</v>
      </c>
      <c r="I20">
        <v>1000008655</v>
      </c>
      <c r="J20">
        <v>28832836</v>
      </c>
      <c r="K20" t="s">
        <v>624</v>
      </c>
      <c r="L20" t="s">
        <v>87</v>
      </c>
      <c r="M20" t="s">
        <v>88</v>
      </c>
      <c r="N20">
        <v>127.5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660</v>
      </c>
      <c r="T20">
        <v>6</v>
      </c>
      <c r="U20" t="s">
        <v>89</v>
      </c>
    </row>
    <row r="21" spans="1:21" outlineLevel="1" x14ac:dyDescent="0.25">
      <c r="H21" s="9" t="s">
        <v>535</v>
      </c>
      <c r="N21">
        <f>SUBTOTAL(9,N20:N20)</f>
        <v>127.5</v>
      </c>
    </row>
    <row r="22" spans="1:21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8657</v>
      </c>
      <c r="H22" t="s">
        <v>44</v>
      </c>
      <c r="I22">
        <v>1000008657</v>
      </c>
      <c r="J22">
        <v>28833885</v>
      </c>
      <c r="K22" t="s">
        <v>633</v>
      </c>
      <c r="L22" t="s">
        <v>87</v>
      </c>
      <c r="M22" t="s">
        <v>88</v>
      </c>
      <c r="N22">
        <v>154.5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661</v>
      </c>
      <c r="T22">
        <v>6</v>
      </c>
      <c r="U22" t="s">
        <v>89</v>
      </c>
    </row>
    <row r="23" spans="1:21" outlineLevel="1" x14ac:dyDescent="0.25">
      <c r="H23" s="9" t="s">
        <v>537</v>
      </c>
      <c r="N23">
        <f>SUBTOTAL(9,N22:N22)</f>
        <v>154.5</v>
      </c>
    </row>
    <row r="24" spans="1:21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8658</v>
      </c>
      <c r="H24" t="s">
        <v>33</v>
      </c>
      <c r="I24">
        <v>1000008658</v>
      </c>
      <c r="J24">
        <v>28830021</v>
      </c>
      <c r="K24" t="s">
        <v>609</v>
      </c>
      <c r="L24" t="s">
        <v>87</v>
      </c>
      <c r="M24" t="s">
        <v>88</v>
      </c>
      <c r="N24">
        <v>228.5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662</v>
      </c>
      <c r="T24">
        <v>6</v>
      </c>
      <c r="U24" t="s">
        <v>89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8658</v>
      </c>
      <c r="H25" t="s">
        <v>33</v>
      </c>
      <c r="I25">
        <v>1000008658</v>
      </c>
      <c r="J25">
        <v>28833454</v>
      </c>
      <c r="K25" t="s">
        <v>631</v>
      </c>
      <c r="L25" t="s">
        <v>87</v>
      </c>
      <c r="M25" t="s">
        <v>88</v>
      </c>
      <c r="N25">
        <v>144.5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663</v>
      </c>
      <c r="T25">
        <v>6</v>
      </c>
      <c r="U25" t="s">
        <v>89</v>
      </c>
    </row>
    <row r="26" spans="1:21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8658</v>
      </c>
      <c r="H26" t="s">
        <v>33</v>
      </c>
      <c r="I26">
        <v>1000008658</v>
      </c>
      <c r="J26">
        <v>28834344</v>
      </c>
      <c r="K26" t="s">
        <v>637</v>
      </c>
      <c r="L26" t="s">
        <v>87</v>
      </c>
      <c r="M26" t="s">
        <v>88</v>
      </c>
      <c r="N26">
        <v>158.5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664</v>
      </c>
      <c r="T26">
        <v>6</v>
      </c>
      <c r="U26" t="s">
        <v>89</v>
      </c>
    </row>
    <row r="27" spans="1:21" outlineLevel="1" x14ac:dyDescent="0.25">
      <c r="H27" s="9" t="s">
        <v>538</v>
      </c>
      <c r="N27">
        <f>SUBTOTAL(9,N24:N26)</f>
        <v>531.5</v>
      </c>
    </row>
    <row r="28" spans="1:21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8659</v>
      </c>
      <c r="H28" t="s">
        <v>32</v>
      </c>
      <c r="I28">
        <v>1000008659</v>
      </c>
      <c r="J28">
        <v>28832661</v>
      </c>
      <c r="K28" t="s">
        <v>621</v>
      </c>
      <c r="L28" t="s">
        <v>87</v>
      </c>
      <c r="M28" t="s">
        <v>88</v>
      </c>
      <c r="N28">
        <v>364.5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665</v>
      </c>
      <c r="T28">
        <v>6</v>
      </c>
      <c r="U28" t="s">
        <v>89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8659</v>
      </c>
      <c r="H29" t="s">
        <v>32</v>
      </c>
      <c r="I29">
        <v>1000008659</v>
      </c>
      <c r="J29">
        <v>28832694</v>
      </c>
      <c r="K29" t="s">
        <v>622</v>
      </c>
      <c r="L29" t="s">
        <v>87</v>
      </c>
      <c r="M29" t="s">
        <v>88</v>
      </c>
      <c r="N29">
        <v>314.5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666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8659</v>
      </c>
      <c r="H30" t="s">
        <v>32</v>
      </c>
      <c r="I30">
        <v>1000008659</v>
      </c>
      <c r="J30">
        <v>28832707</v>
      </c>
      <c r="K30" t="s">
        <v>623</v>
      </c>
      <c r="L30" t="s">
        <v>87</v>
      </c>
      <c r="M30" t="s">
        <v>88</v>
      </c>
      <c r="N30">
        <v>121.5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667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8659</v>
      </c>
      <c r="H31" t="s">
        <v>32</v>
      </c>
      <c r="I31">
        <v>1000008659</v>
      </c>
      <c r="J31">
        <v>28834940</v>
      </c>
      <c r="K31" t="s">
        <v>639</v>
      </c>
      <c r="L31" t="s">
        <v>87</v>
      </c>
      <c r="M31" t="s">
        <v>88</v>
      </c>
      <c r="N31">
        <v>216.5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668</v>
      </c>
      <c r="T31">
        <v>6</v>
      </c>
      <c r="U31" t="s">
        <v>89</v>
      </c>
    </row>
    <row r="32" spans="1:21" outlineLevel="1" x14ac:dyDescent="0.25">
      <c r="H32" s="9" t="s">
        <v>539</v>
      </c>
      <c r="N32">
        <f>SUBTOTAL(9,N28:N31)</f>
        <v>1017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8660</v>
      </c>
      <c r="H33" t="s">
        <v>35</v>
      </c>
      <c r="I33">
        <v>1000008660</v>
      </c>
      <c r="J33">
        <v>28833048</v>
      </c>
      <c r="K33" t="s">
        <v>625</v>
      </c>
      <c r="L33" t="s">
        <v>556</v>
      </c>
      <c r="M33" t="s">
        <v>88</v>
      </c>
      <c r="N33">
        <v>264.5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669</v>
      </c>
      <c r="T33">
        <v>6</v>
      </c>
      <c r="U33" t="s">
        <v>89</v>
      </c>
    </row>
    <row r="34" spans="1:21" outlineLevel="1" x14ac:dyDescent="0.25">
      <c r="H34" s="9" t="s">
        <v>540</v>
      </c>
      <c r="N34">
        <f>SUBTOTAL(9,N33:N33)</f>
        <v>264.5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8661</v>
      </c>
      <c r="H35" t="s">
        <v>39</v>
      </c>
      <c r="I35">
        <v>1000008661</v>
      </c>
      <c r="J35">
        <v>28832481</v>
      </c>
      <c r="K35" t="s">
        <v>619</v>
      </c>
      <c r="L35" t="s">
        <v>87</v>
      </c>
      <c r="M35" t="s">
        <v>88</v>
      </c>
      <c r="N35">
        <v>399.5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670</v>
      </c>
      <c r="T35">
        <v>6</v>
      </c>
      <c r="U35" t="s">
        <v>89</v>
      </c>
    </row>
    <row r="36" spans="1:21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8661</v>
      </c>
      <c r="H36" t="s">
        <v>39</v>
      </c>
      <c r="I36">
        <v>1000008661</v>
      </c>
      <c r="J36">
        <v>28835105</v>
      </c>
      <c r="K36" t="s">
        <v>642</v>
      </c>
      <c r="L36" t="s">
        <v>87</v>
      </c>
      <c r="M36" t="s">
        <v>88</v>
      </c>
      <c r="N36">
        <v>76.5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671</v>
      </c>
      <c r="T36">
        <v>6</v>
      </c>
      <c r="U36" t="s">
        <v>89</v>
      </c>
    </row>
    <row r="37" spans="1:21" outlineLevel="1" x14ac:dyDescent="0.25">
      <c r="H37" s="9" t="s">
        <v>541</v>
      </c>
      <c r="N37">
        <f>SUBTOTAL(9,N35:N36)</f>
        <v>476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8662</v>
      </c>
      <c r="H38" t="s">
        <v>36</v>
      </c>
      <c r="I38">
        <v>1000008662</v>
      </c>
      <c r="J38">
        <v>28833491</v>
      </c>
      <c r="K38" t="s">
        <v>632</v>
      </c>
      <c r="L38" t="s">
        <v>556</v>
      </c>
      <c r="M38" t="s">
        <v>88</v>
      </c>
      <c r="N38">
        <v>236.5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672</v>
      </c>
      <c r="T38">
        <v>6</v>
      </c>
      <c r="U38" t="s">
        <v>89</v>
      </c>
    </row>
    <row r="39" spans="1:21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8662</v>
      </c>
      <c r="H39" t="s">
        <v>36</v>
      </c>
      <c r="I39">
        <v>1000008662</v>
      </c>
      <c r="J39">
        <v>28835791</v>
      </c>
      <c r="K39" t="s">
        <v>645</v>
      </c>
      <c r="L39" t="s">
        <v>87</v>
      </c>
      <c r="M39" t="s">
        <v>88</v>
      </c>
      <c r="N39">
        <v>96.5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673</v>
      </c>
      <c r="T39">
        <v>6</v>
      </c>
      <c r="U39" t="s">
        <v>89</v>
      </c>
    </row>
    <row r="40" spans="1:21" outlineLevel="1" x14ac:dyDescent="0.25">
      <c r="H40" s="9" t="s">
        <v>542</v>
      </c>
      <c r="N40">
        <f>SUBTOTAL(9,N38:N39)</f>
        <v>333</v>
      </c>
    </row>
    <row r="41" spans="1:21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8663</v>
      </c>
      <c r="H41" t="s">
        <v>42</v>
      </c>
      <c r="I41">
        <v>1000008663</v>
      </c>
      <c r="J41">
        <v>28831660</v>
      </c>
      <c r="K41" t="s">
        <v>614</v>
      </c>
      <c r="L41" t="s">
        <v>87</v>
      </c>
      <c r="M41" t="s">
        <v>88</v>
      </c>
      <c r="N41">
        <v>174.5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674</v>
      </c>
      <c r="T41">
        <v>6</v>
      </c>
      <c r="U41" t="s">
        <v>89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8663</v>
      </c>
      <c r="H42" t="s">
        <v>42</v>
      </c>
      <c r="I42">
        <v>1000008663</v>
      </c>
      <c r="J42">
        <v>28831838</v>
      </c>
      <c r="K42" t="s">
        <v>617</v>
      </c>
      <c r="L42" t="s">
        <v>556</v>
      </c>
      <c r="M42" t="s">
        <v>88</v>
      </c>
      <c r="N42">
        <v>344.5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675</v>
      </c>
      <c r="T42">
        <v>6</v>
      </c>
      <c r="U42" t="s">
        <v>89</v>
      </c>
    </row>
    <row r="43" spans="1:21" outlineLevel="1" x14ac:dyDescent="0.25">
      <c r="H43" s="9" t="s">
        <v>543</v>
      </c>
      <c r="N43">
        <f>SUBTOTAL(9,N41:N42)</f>
        <v>519</v>
      </c>
    </row>
    <row r="44" spans="1:21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8664</v>
      </c>
      <c r="H44" t="s">
        <v>27</v>
      </c>
      <c r="I44">
        <v>1000008664</v>
      </c>
      <c r="J44">
        <v>28831679</v>
      </c>
      <c r="K44" t="s">
        <v>615</v>
      </c>
      <c r="L44" t="s">
        <v>556</v>
      </c>
      <c r="M44" t="s">
        <v>88</v>
      </c>
      <c r="N44">
        <v>186.5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676</v>
      </c>
      <c r="T44">
        <v>6</v>
      </c>
      <c r="U44" t="s">
        <v>89</v>
      </c>
    </row>
    <row r="45" spans="1:21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8664</v>
      </c>
      <c r="H45" t="s">
        <v>27</v>
      </c>
      <c r="I45">
        <v>1000008664</v>
      </c>
      <c r="J45">
        <v>28833327</v>
      </c>
      <c r="K45" t="s">
        <v>628</v>
      </c>
      <c r="L45" t="s">
        <v>556</v>
      </c>
      <c r="M45" t="s">
        <v>88</v>
      </c>
      <c r="N45">
        <v>351.5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677</v>
      </c>
      <c r="T45">
        <v>6</v>
      </c>
      <c r="U45" t="s">
        <v>89</v>
      </c>
    </row>
    <row r="46" spans="1:21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8664</v>
      </c>
      <c r="H46" t="s">
        <v>27</v>
      </c>
      <c r="I46">
        <v>1000008664</v>
      </c>
      <c r="J46">
        <v>28833336</v>
      </c>
      <c r="K46" t="s">
        <v>629</v>
      </c>
      <c r="L46" t="s">
        <v>556</v>
      </c>
      <c r="M46" t="s">
        <v>88</v>
      </c>
      <c r="N46">
        <v>44.5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678</v>
      </c>
      <c r="T46">
        <v>6</v>
      </c>
      <c r="U46" t="s">
        <v>89</v>
      </c>
    </row>
    <row r="47" spans="1:21" outlineLevel="1" x14ac:dyDescent="0.25">
      <c r="H47" s="9" t="s">
        <v>544</v>
      </c>
      <c r="N47">
        <f>SUBTOTAL(9,N44:N46)</f>
        <v>582.5</v>
      </c>
    </row>
    <row r="48" spans="1:21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8666</v>
      </c>
      <c r="H48" t="s">
        <v>28</v>
      </c>
      <c r="I48">
        <v>1000008666</v>
      </c>
      <c r="J48">
        <v>28833401</v>
      </c>
      <c r="K48" t="s">
        <v>630</v>
      </c>
      <c r="L48" t="s">
        <v>87</v>
      </c>
      <c r="M48" t="s">
        <v>88</v>
      </c>
      <c r="N48">
        <v>186.5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679</v>
      </c>
      <c r="T48">
        <v>6</v>
      </c>
      <c r="U48" t="s">
        <v>89</v>
      </c>
    </row>
    <row r="49" spans="1:22" outlineLevel="1" x14ac:dyDescent="0.25">
      <c r="H49" s="9" t="s">
        <v>687</v>
      </c>
      <c r="N49">
        <f>SUBTOTAL(9,N48:N48)</f>
        <v>186.5</v>
      </c>
    </row>
    <row r="50" spans="1:22" outlineLevel="2" x14ac:dyDescent="0.25">
      <c r="A50" s="13" t="s">
        <v>82</v>
      </c>
      <c r="B50" s="13" t="s">
        <v>83</v>
      </c>
      <c r="C50" s="13">
        <v>30</v>
      </c>
      <c r="D50" s="13" t="s">
        <v>84</v>
      </c>
      <c r="E50" s="13">
        <v>184</v>
      </c>
      <c r="F50" s="13" t="s">
        <v>85</v>
      </c>
      <c r="G50" s="13">
        <v>8669</v>
      </c>
      <c r="H50" s="13" t="s">
        <v>48</v>
      </c>
      <c r="I50" s="13">
        <v>1000008669</v>
      </c>
      <c r="J50" s="13">
        <v>28835491</v>
      </c>
      <c r="K50" s="13" t="s">
        <v>644</v>
      </c>
      <c r="L50" s="13" t="s">
        <v>87</v>
      </c>
      <c r="M50" s="13" t="s">
        <v>88</v>
      </c>
      <c r="N50" s="13">
        <v>360.5</v>
      </c>
      <c r="O50" s="13">
        <v>14.22</v>
      </c>
      <c r="P50" s="13">
        <v>2.2799999999999998</v>
      </c>
      <c r="Q50" s="13">
        <v>4.2561999999999998</v>
      </c>
      <c r="R50" s="13">
        <v>0.68100000000000005</v>
      </c>
      <c r="S50" s="13" t="s">
        <v>686</v>
      </c>
      <c r="T50" s="13">
        <v>6</v>
      </c>
      <c r="U50" s="13" t="s">
        <v>89</v>
      </c>
      <c r="V50" s="13"/>
    </row>
    <row r="51" spans="1:22" outlineLevel="1" x14ac:dyDescent="0.25">
      <c r="A51" s="13"/>
      <c r="B51" s="13"/>
      <c r="C51" s="13"/>
      <c r="D51" s="13"/>
      <c r="E51" s="13"/>
      <c r="F51" s="13"/>
      <c r="G51" s="13"/>
      <c r="H51" s="14" t="s">
        <v>545</v>
      </c>
      <c r="I51" s="13"/>
      <c r="J51" s="13"/>
      <c r="K51" s="13"/>
      <c r="L51" s="13"/>
      <c r="M51" s="13"/>
      <c r="N51" s="13">
        <f>SUBTOTAL(9,N50:N50)</f>
        <v>360.5</v>
      </c>
      <c r="O51" s="13"/>
      <c r="P51" s="13"/>
      <c r="Q51" s="13"/>
      <c r="R51" s="13"/>
      <c r="S51" s="13"/>
      <c r="T51" s="13"/>
      <c r="U51" s="13"/>
      <c r="V51" s="13"/>
    </row>
    <row r="52" spans="1:22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8676</v>
      </c>
      <c r="H52" t="s">
        <v>54</v>
      </c>
      <c r="I52">
        <v>1000008676</v>
      </c>
      <c r="J52">
        <v>28834936</v>
      </c>
      <c r="K52" t="s">
        <v>638</v>
      </c>
      <c r="L52" t="s">
        <v>87</v>
      </c>
      <c r="M52" t="s">
        <v>88</v>
      </c>
      <c r="N52">
        <v>65.5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680</v>
      </c>
      <c r="T52">
        <v>6</v>
      </c>
      <c r="U52" t="s">
        <v>89</v>
      </c>
    </row>
    <row r="53" spans="1:22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8676</v>
      </c>
      <c r="H53" t="s">
        <v>54</v>
      </c>
      <c r="I53">
        <v>1000008676</v>
      </c>
      <c r="J53">
        <v>28835440</v>
      </c>
      <c r="K53" t="s">
        <v>643</v>
      </c>
      <c r="L53" t="s">
        <v>87</v>
      </c>
      <c r="M53" t="s">
        <v>88</v>
      </c>
      <c r="N53">
        <v>81.5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681</v>
      </c>
      <c r="T53">
        <v>6</v>
      </c>
      <c r="U53" t="s">
        <v>89</v>
      </c>
    </row>
    <row r="54" spans="1:22" outlineLevel="1" x14ac:dyDescent="0.25">
      <c r="H54" s="9" t="s">
        <v>548</v>
      </c>
      <c r="N54">
        <f>SUBTOTAL(9,N52:N53)</f>
        <v>147</v>
      </c>
    </row>
    <row r="55" spans="1:22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9566</v>
      </c>
      <c r="H55" t="s">
        <v>55</v>
      </c>
      <c r="I55">
        <v>1000009566</v>
      </c>
      <c r="J55">
        <v>28832562</v>
      </c>
      <c r="K55" t="s">
        <v>620</v>
      </c>
      <c r="L55" t="s">
        <v>87</v>
      </c>
      <c r="M55" t="s">
        <v>88</v>
      </c>
      <c r="N55">
        <v>244.5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682</v>
      </c>
      <c r="T55">
        <v>6</v>
      </c>
      <c r="U55" t="s">
        <v>89</v>
      </c>
    </row>
    <row r="56" spans="1:22" outlineLevel="1" x14ac:dyDescent="0.25">
      <c r="H56" s="9" t="s">
        <v>549</v>
      </c>
      <c r="N56">
        <f>SUBTOTAL(9,N55:N55)</f>
        <v>244.5</v>
      </c>
    </row>
    <row r="57" spans="1:22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8679</v>
      </c>
      <c r="H57" t="s">
        <v>60</v>
      </c>
      <c r="I57">
        <v>1000008679</v>
      </c>
      <c r="J57">
        <v>28829945</v>
      </c>
      <c r="K57" t="s">
        <v>607</v>
      </c>
      <c r="L57" t="s">
        <v>87</v>
      </c>
      <c r="M57" t="s">
        <v>88</v>
      </c>
      <c r="N57">
        <v>44.5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683</v>
      </c>
      <c r="T57">
        <v>6</v>
      </c>
      <c r="U57" t="s">
        <v>89</v>
      </c>
    </row>
    <row r="58" spans="1:22" outlineLevel="2" x14ac:dyDescent="0.25">
      <c r="A58" s="8" t="s">
        <v>82</v>
      </c>
      <c r="B58" s="8" t="s">
        <v>83</v>
      </c>
      <c r="C58" s="8">
        <v>30</v>
      </c>
      <c r="D58" s="8" t="s">
        <v>84</v>
      </c>
      <c r="E58" s="8">
        <v>184</v>
      </c>
      <c r="F58" s="8" t="s">
        <v>85</v>
      </c>
      <c r="G58" s="8">
        <v>8679</v>
      </c>
      <c r="H58" s="8" t="s">
        <v>60</v>
      </c>
      <c r="I58" s="8">
        <v>1000008679</v>
      </c>
      <c r="J58" s="8">
        <v>28829990</v>
      </c>
      <c r="K58" s="8" t="s">
        <v>608</v>
      </c>
      <c r="L58" s="8" t="s">
        <v>87</v>
      </c>
      <c r="M58" s="8" t="s">
        <v>88</v>
      </c>
      <c r="N58" s="8">
        <v>232.5</v>
      </c>
      <c r="O58" s="8">
        <v>14.22</v>
      </c>
      <c r="P58" s="8">
        <v>2.2799999999999998</v>
      </c>
      <c r="Q58" s="8">
        <v>4.2561999999999998</v>
      </c>
      <c r="R58" s="8">
        <v>0.68100000000000005</v>
      </c>
      <c r="S58" s="8" t="s">
        <v>685</v>
      </c>
      <c r="T58" s="8">
        <v>6</v>
      </c>
      <c r="U58" s="8" t="s">
        <v>89</v>
      </c>
      <c r="V58" s="8"/>
    </row>
    <row r="59" spans="1:22" outlineLevel="1" x14ac:dyDescent="0.25">
      <c r="A59" s="8"/>
      <c r="B59" s="8"/>
      <c r="C59" s="8"/>
      <c r="D59" s="8"/>
      <c r="E59" s="8"/>
      <c r="F59" s="8"/>
      <c r="G59" s="8"/>
      <c r="H59" s="10" t="s">
        <v>550</v>
      </c>
      <c r="I59" s="8"/>
      <c r="J59" s="8"/>
      <c r="K59" s="8"/>
      <c r="L59" s="8"/>
      <c r="M59" s="8"/>
      <c r="N59" s="8">
        <f>SUBTOTAL(9,N57:N58)</f>
        <v>277</v>
      </c>
      <c r="O59" s="8"/>
      <c r="P59" s="8"/>
      <c r="Q59" s="8"/>
      <c r="R59" s="8"/>
      <c r="S59" s="8"/>
      <c r="T59" s="8"/>
      <c r="U59" s="8"/>
      <c r="V59" s="8"/>
    </row>
    <row r="60" spans="1:22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8681</v>
      </c>
      <c r="H60" t="s">
        <v>41</v>
      </c>
      <c r="I60">
        <v>1000008681</v>
      </c>
      <c r="J60">
        <v>28830334</v>
      </c>
      <c r="K60" t="s">
        <v>612</v>
      </c>
      <c r="L60" t="s">
        <v>87</v>
      </c>
      <c r="M60" t="s">
        <v>88</v>
      </c>
      <c r="N60">
        <v>183.5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684</v>
      </c>
      <c r="T60">
        <v>6</v>
      </c>
      <c r="U60" t="s">
        <v>89</v>
      </c>
    </row>
    <row r="61" spans="1:22" outlineLevel="1" x14ac:dyDescent="0.25">
      <c r="H61" s="9" t="s">
        <v>688</v>
      </c>
      <c r="N61">
        <f>SUBTOTAL(9,N60:N60)</f>
        <v>183.5</v>
      </c>
    </row>
    <row r="62" spans="1:22" x14ac:dyDescent="0.25">
      <c r="H62" s="9" t="s">
        <v>553</v>
      </c>
      <c r="N62">
        <f>SUBTOTAL(9,N4:N60)</f>
        <v>10183</v>
      </c>
      <c r="Q62">
        <f>COUNT(O3:O61)</f>
        <v>40</v>
      </c>
      <c r="R62">
        <f>Q62*4.94</f>
        <v>197.60000000000002</v>
      </c>
      <c r="S62" s="12">
        <f>N62-R62</f>
        <v>9985.4</v>
      </c>
    </row>
  </sheetData>
  <sortState xmlns:xlrd2="http://schemas.microsoft.com/office/spreadsheetml/2017/richdata2" ref="A4:V60">
    <sortCondition ref="H4:H60"/>
    <sortCondition ref="K4:K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087A-D053-4A66-8D43-E2342408AD16}">
  <sheetPr codeName="Hoja7"/>
  <dimension ref="A3:V45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28829367</v>
      </c>
      <c r="K4" t="s">
        <v>580</v>
      </c>
      <c r="L4" t="s">
        <v>87</v>
      </c>
      <c r="M4" t="s">
        <v>88</v>
      </c>
      <c r="N4">
        <v>16.5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581</v>
      </c>
      <c r="T4">
        <v>6</v>
      </c>
      <c r="U4" t="s">
        <v>89</v>
      </c>
    </row>
    <row r="5" spans="1:22" outlineLevel="1" x14ac:dyDescent="0.25">
      <c r="H5" s="9" t="s">
        <v>531</v>
      </c>
      <c r="N5">
        <f>SUBTOTAL(9,N4:N4)</f>
        <v>16.5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8652</v>
      </c>
      <c r="H6" t="s">
        <v>40</v>
      </c>
      <c r="I6">
        <v>1000008652</v>
      </c>
      <c r="J6">
        <v>28825994</v>
      </c>
      <c r="K6" t="s">
        <v>563</v>
      </c>
      <c r="L6" t="s">
        <v>556</v>
      </c>
      <c r="M6" t="s">
        <v>88</v>
      </c>
      <c r="N6">
        <v>371.5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582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8652</v>
      </c>
      <c r="H7" t="s">
        <v>40</v>
      </c>
      <c r="I7">
        <v>1000008652</v>
      </c>
      <c r="J7">
        <v>28827044</v>
      </c>
      <c r="K7" t="s">
        <v>572</v>
      </c>
      <c r="L7" t="s">
        <v>556</v>
      </c>
      <c r="M7" t="s">
        <v>88</v>
      </c>
      <c r="N7">
        <v>139.5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583</v>
      </c>
      <c r="T7">
        <v>6</v>
      </c>
      <c r="U7" t="s">
        <v>89</v>
      </c>
    </row>
    <row r="8" spans="1:22" outlineLevel="1" x14ac:dyDescent="0.25">
      <c r="H8" s="9" t="s">
        <v>532</v>
      </c>
      <c r="N8">
        <f>SUBTOTAL(9,N6:N7)</f>
        <v>511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8654</v>
      </c>
      <c r="H9" t="s">
        <v>30</v>
      </c>
      <c r="I9">
        <v>1000008654</v>
      </c>
      <c r="J9">
        <v>28826209</v>
      </c>
      <c r="K9" t="s">
        <v>565</v>
      </c>
      <c r="L9" t="s">
        <v>556</v>
      </c>
      <c r="M9" t="s">
        <v>88</v>
      </c>
      <c r="N9">
        <v>138.5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584</v>
      </c>
      <c r="T9">
        <v>6</v>
      </c>
      <c r="U9" t="s">
        <v>89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8654</v>
      </c>
      <c r="H10" t="s">
        <v>30</v>
      </c>
      <c r="I10">
        <v>1000008654</v>
      </c>
      <c r="J10">
        <v>28826582</v>
      </c>
      <c r="K10" t="s">
        <v>567</v>
      </c>
      <c r="L10" t="s">
        <v>87</v>
      </c>
      <c r="M10" t="s">
        <v>88</v>
      </c>
      <c r="N10">
        <v>84.5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585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28826649</v>
      </c>
      <c r="K11" t="s">
        <v>568</v>
      </c>
      <c r="L11" t="s">
        <v>87</v>
      </c>
      <c r="M11" t="s">
        <v>88</v>
      </c>
      <c r="N11">
        <v>774.5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586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28827933</v>
      </c>
      <c r="K12" t="s">
        <v>575</v>
      </c>
      <c r="L12" t="s">
        <v>87</v>
      </c>
      <c r="M12" t="s">
        <v>88</v>
      </c>
      <c r="N12">
        <v>131.5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587</v>
      </c>
      <c r="T12">
        <v>6</v>
      </c>
      <c r="U12" t="s">
        <v>89</v>
      </c>
    </row>
    <row r="13" spans="1:22" outlineLevel="1" x14ac:dyDescent="0.25">
      <c r="H13" s="9" t="s">
        <v>534</v>
      </c>
      <c r="N13">
        <f>SUBTOTAL(9,N9:N12)</f>
        <v>1129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8655</v>
      </c>
      <c r="H14" t="s">
        <v>29</v>
      </c>
      <c r="I14">
        <v>1000008655</v>
      </c>
      <c r="J14">
        <v>28828835</v>
      </c>
      <c r="K14" t="s">
        <v>579</v>
      </c>
      <c r="L14" t="s">
        <v>87</v>
      </c>
      <c r="M14" t="s">
        <v>88</v>
      </c>
      <c r="N14">
        <v>228.5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588</v>
      </c>
      <c r="T14">
        <v>6</v>
      </c>
      <c r="U14" t="s">
        <v>89</v>
      </c>
    </row>
    <row r="15" spans="1:22" outlineLevel="1" x14ac:dyDescent="0.25">
      <c r="H15" s="9" t="s">
        <v>535</v>
      </c>
      <c r="N15">
        <f>SUBTOTAL(9,N14:N14)</f>
        <v>228.5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8656</v>
      </c>
      <c r="H16" t="s">
        <v>31</v>
      </c>
      <c r="I16">
        <v>1000008656</v>
      </c>
      <c r="J16">
        <v>28825023</v>
      </c>
      <c r="K16" t="s">
        <v>557</v>
      </c>
      <c r="L16" t="s">
        <v>87</v>
      </c>
      <c r="M16" t="s">
        <v>88</v>
      </c>
      <c r="N16">
        <v>194.5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589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8656</v>
      </c>
      <c r="H17" t="s">
        <v>31</v>
      </c>
      <c r="I17">
        <v>1000008656</v>
      </c>
      <c r="J17">
        <v>28825438</v>
      </c>
      <c r="K17" t="s">
        <v>560</v>
      </c>
      <c r="L17" t="s">
        <v>87</v>
      </c>
      <c r="M17" t="s">
        <v>88</v>
      </c>
      <c r="N17">
        <v>221.5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590</v>
      </c>
      <c r="T17">
        <v>6</v>
      </c>
      <c r="U17" t="s">
        <v>89</v>
      </c>
    </row>
    <row r="18" spans="1:21" outlineLevel="1" x14ac:dyDescent="0.25">
      <c r="H18" s="9" t="s">
        <v>536</v>
      </c>
      <c r="N18">
        <f>SUBTOTAL(9,N16:N17)</f>
        <v>416</v>
      </c>
    </row>
    <row r="19" spans="1:21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8657</v>
      </c>
      <c r="H19" t="s">
        <v>44</v>
      </c>
      <c r="I19">
        <v>1000008657</v>
      </c>
      <c r="J19">
        <v>28826305</v>
      </c>
      <c r="K19" t="s">
        <v>566</v>
      </c>
      <c r="L19" t="s">
        <v>87</v>
      </c>
      <c r="M19" t="s">
        <v>88</v>
      </c>
      <c r="N19">
        <v>757.5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591</v>
      </c>
      <c r="T19">
        <v>6</v>
      </c>
      <c r="U19" t="s">
        <v>89</v>
      </c>
    </row>
    <row r="20" spans="1:21" outlineLevel="1" x14ac:dyDescent="0.25">
      <c r="H20" s="9" t="s">
        <v>537</v>
      </c>
      <c r="N20">
        <f>SUBTOTAL(9,N19:N19)</f>
        <v>757.5</v>
      </c>
    </row>
    <row r="21" spans="1:21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8658</v>
      </c>
      <c r="H21" t="s">
        <v>33</v>
      </c>
      <c r="I21">
        <v>1000008658</v>
      </c>
      <c r="J21">
        <v>28828197</v>
      </c>
      <c r="K21" t="s">
        <v>577</v>
      </c>
      <c r="L21" t="s">
        <v>87</v>
      </c>
      <c r="M21" t="s">
        <v>88</v>
      </c>
      <c r="N21">
        <v>119.5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592</v>
      </c>
      <c r="T21">
        <v>6</v>
      </c>
      <c r="U21" t="s">
        <v>89</v>
      </c>
    </row>
    <row r="22" spans="1:21" outlineLevel="1" x14ac:dyDescent="0.25">
      <c r="H22" s="9" t="s">
        <v>538</v>
      </c>
      <c r="N22">
        <f>SUBTOTAL(9,N21:N21)</f>
        <v>119.5</v>
      </c>
    </row>
    <row r="23" spans="1:21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8659</v>
      </c>
      <c r="H23" t="s">
        <v>32</v>
      </c>
      <c r="I23">
        <v>1000008659</v>
      </c>
      <c r="J23">
        <v>28824676</v>
      </c>
      <c r="K23" t="s">
        <v>554</v>
      </c>
      <c r="L23" t="s">
        <v>87</v>
      </c>
      <c r="M23" t="s">
        <v>88</v>
      </c>
      <c r="N23">
        <v>44.5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593</v>
      </c>
      <c r="T23">
        <v>6</v>
      </c>
      <c r="U23" t="s">
        <v>89</v>
      </c>
    </row>
    <row r="24" spans="1:21" outlineLevel="1" x14ac:dyDescent="0.25">
      <c r="H24" s="9" t="s">
        <v>539</v>
      </c>
      <c r="N24">
        <f>SUBTOTAL(9,N23:N23)</f>
        <v>44.5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8660</v>
      </c>
      <c r="H25" t="s">
        <v>35</v>
      </c>
      <c r="I25">
        <v>1000008660</v>
      </c>
      <c r="J25">
        <v>28824933</v>
      </c>
      <c r="K25" t="s">
        <v>555</v>
      </c>
      <c r="L25" t="s">
        <v>556</v>
      </c>
      <c r="M25" t="s">
        <v>88</v>
      </c>
      <c r="N25">
        <v>121.5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594</v>
      </c>
      <c r="T25">
        <v>6</v>
      </c>
      <c r="U25" t="s">
        <v>89</v>
      </c>
    </row>
    <row r="26" spans="1:21" outlineLevel="1" x14ac:dyDescent="0.25">
      <c r="H26" s="9" t="s">
        <v>540</v>
      </c>
      <c r="N26">
        <f>SUBTOTAL(9,N25:N25)</f>
        <v>121.5</v>
      </c>
    </row>
    <row r="27" spans="1:21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8661</v>
      </c>
      <c r="H27" t="s">
        <v>39</v>
      </c>
      <c r="I27">
        <v>1000008661</v>
      </c>
      <c r="J27">
        <v>28827269</v>
      </c>
      <c r="K27" t="s">
        <v>573</v>
      </c>
      <c r="L27" t="s">
        <v>87</v>
      </c>
      <c r="M27" t="s">
        <v>88</v>
      </c>
      <c r="N27">
        <v>43.5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595</v>
      </c>
      <c r="T27">
        <v>6</v>
      </c>
      <c r="U27" t="s">
        <v>89</v>
      </c>
    </row>
    <row r="28" spans="1:21" outlineLevel="1" x14ac:dyDescent="0.25">
      <c r="H28" s="9" t="s">
        <v>541</v>
      </c>
      <c r="N28">
        <f>SUBTOTAL(9,N27:N27)</f>
        <v>43.5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8662</v>
      </c>
      <c r="H29" t="s">
        <v>36</v>
      </c>
      <c r="I29">
        <v>1000008662</v>
      </c>
      <c r="J29">
        <v>28826855</v>
      </c>
      <c r="K29" t="s">
        <v>569</v>
      </c>
      <c r="L29" t="s">
        <v>87</v>
      </c>
      <c r="M29" t="s">
        <v>88</v>
      </c>
      <c r="N29">
        <v>201.5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596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8662</v>
      </c>
      <c r="H30" t="s">
        <v>36</v>
      </c>
      <c r="I30">
        <v>1000008662</v>
      </c>
      <c r="J30">
        <v>28828182</v>
      </c>
      <c r="K30" t="s">
        <v>576</v>
      </c>
      <c r="L30" t="s">
        <v>87</v>
      </c>
      <c r="M30" t="s">
        <v>88</v>
      </c>
      <c r="N30">
        <v>142.5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597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8662</v>
      </c>
      <c r="H31" t="s">
        <v>36</v>
      </c>
      <c r="I31">
        <v>1000008662</v>
      </c>
      <c r="J31">
        <v>28828404</v>
      </c>
      <c r="K31" t="s">
        <v>578</v>
      </c>
      <c r="L31" t="s">
        <v>87</v>
      </c>
      <c r="M31" t="s">
        <v>88</v>
      </c>
      <c r="N31">
        <v>44.5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598</v>
      </c>
      <c r="T31">
        <v>6</v>
      </c>
      <c r="U31" t="s">
        <v>89</v>
      </c>
    </row>
    <row r="32" spans="1:21" outlineLevel="1" x14ac:dyDescent="0.25">
      <c r="H32" s="9" t="s">
        <v>542</v>
      </c>
      <c r="N32">
        <f>SUBTOTAL(9,N29:N31)</f>
        <v>388.5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8663</v>
      </c>
      <c r="H33" t="s">
        <v>42</v>
      </c>
      <c r="I33">
        <v>1000008663</v>
      </c>
      <c r="J33">
        <v>28825612</v>
      </c>
      <c r="K33" t="s">
        <v>561</v>
      </c>
      <c r="L33" t="s">
        <v>87</v>
      </c>
      <c r="M33" t="s">
        <v>88</v>
      </c>
      <c r="N33">
        <v>54.5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599</v>
      </c>
      <c r="T33">
        <v>6</v>
      </c>
      <c r="U33" t="s">
        <v>89</v>
      </c>
    </row>
    <row r="34" spans="1:21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8663</v>
      </c>
      <c r="H34" t="s">
        <v>42</v>
      </c>
      <c r="I34">
        <v>1000008663</v>
      </c>
      <c r="J34">
        <v>28826082</v>
      </c>
      <c r="K34" t="s">
        <v>564</v>
      </c>
      <c r="L34" t="s">
        <v>87</v>
      </c>
      <c r="M34" t="s">
        <v>88</v>
      </c>
      <c r="N34">
        <v>121.5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600</v>
      </c>
      <c r="T34">
        <v>6</v>
      </c>
      <c r="U34" t="s">
        <v>89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8663</v>
      </c>
      <c r="H35" t="s">
        <v>42</v>
      </c>
      <c r="I35">
        <v>1000008663</v>
      </c>
      <c r="J35">
        <v>28827550</v>
      </c>
      <c r="K35" t="s">
        <v>574</v>
      </c>
      <c r="L35" t="s">
        <v>556</v>
      </c>
      <c r="M35" t="s">
        <v>88</v>
      </c>
      <c r="N35">
        <v>102.5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601</v>
      </c>
      <c r="T35">
        <v>6</v>
      </c>
      <c r="U35" t="s">
        <v>89</v>
      </c>
    </row>
    <row r="36" spans="1:21" outlineLevel="1" x14ac:dyDescent="0.25">
      <c r="H36" s="9" t="s">
        <v>543</v>
      </c>
      <c r="N36">
        <f>SUBTOTAL(9,N33:N35)</f>
        <v>278.5</v>
      </c>
    </row>
    <row r="37" spans="1:21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8664</v>
      </c>
      <c r="H37" t="s">
        <v>27</v>
      </c>
      <c r="I37">
        <v>1000008664</v>
      </c>
      <c r="J37">
        <v>28825794</v>
      </c>
      <c r="K37" t="s">
        <v>562</v>
      </c>
      <c r="L37" t="s">
        <v>87</v>
      </c>
      <c r="M37" t="s">
        <v>88</v>
      </c>
      <c r="N37">
        <v>107.5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602</v>
      </c>
      <c r="T37">
        <v>6</v>
      </c>
      <c r="U37" t="s">
        <v>89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8664</v>
      </c>
      <c r="H38" t="s">
        <v>27</v>
      </c>
      <c r="I38">
        <v>1000008664</v>
      </c>
      <c r="J38">
        <v>28827020</v>
      </c>
      <c r="K38" t="s">
        <v>571</v>
      </c>
      <c r="L38" t="s">
        <v>87</v>
      </c>
      <c r="M38" t="s">
        <v>88</v>
      </c>
      <c r="N38">
        <v>153.5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603</v>
      </c>
      <c r="T38">
        <v>6</v>
      </c>
      <c r="U38" t="s">
        <v>89</v>
      </c>
    </row>
    <row r="39" spans="1:21" outlineLevel="1" x14ac:dyDescent="0.25">
      <c r="H39" s="9" t="s">
        <v>544</v>
      </c>
      <c r="N39">
        <f>SUBTOTAL(9,N37:N38)</f>
        <v>261</v>
      </c>
    </row>
    <row r="40" spans="1:21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8673</v>
      </c>
      <c r="H40" t="s">
        <v>51</v>
      </c>
      <c r="I40">
        <v>1000008673</v>
      </c>
      <c r="J40">
        <v>28827018</v>
      </c>
      <c r="K40" t="s">
        <v>570</v>
      </c>
      <c r="L40" t="s">
        <v>556</v>
      </c>
      <c r="M40" t="s">
        <v>88</v>
      </c>
      <c r="N40">
        <v>108.5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604</v>
      </c>
      <c r="T40">
        <v>6</v>
      </c>
      <c r="U40" t="s">
        <v>89</v>
      </c>
    </row>
    <row r="41" spans="1:21" outlineLevel="1" x14ac:dyDescent="0.25">
      <c r="H41" s="9" t="s">
        <v>547</v>
      </c>
      <c r="N41">
        <f>SUBTOTAL(9,N40:N40)</f>
        <v>108.5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8676</v>
      </c>
      <c r="H42" t="s">
        <v>54</v>
      </c>
      <c r="I42">
        <v>1000008676</v>
      </c>
      <c r="J42">
        <v>28825171</v>
      </c>
      <c r="K42" t="s">
        <v>558</v>
      </c>
      <c r="L42" t="s">
        <v>87</v>
      </c>
      <c r="M42" t="s">
        <v>88</v>
      </c>
      <c r="N42">
        <v>72.5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605</v>
      </c>
      <c r="T42">
        <v>6</v>
      </c>
      <c r="U42" t="s">
        <v>89</v>
      </c>
    </row>
    <row r="43" spans="1:21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8676</v>
      </c>
      <c r="H43" t="s">
        <v>54</v>
      </c>
      <c r="I43">
        <v>1000008676</v>
      </c>
      <c r="J43">
        <v>28825199</v>
      </c>
      <c r="K43" t="s">
        <v>559</v>
      </c>
      <c r="L43" t="s">
        <v>87</v>
      </c>
      <c r="M43" t="s">
        <v>88</v>
      </c>
      <c r="N43">
        <v>88.5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606</v>
      </c>
      <c r="T43">
        <v>6</v>
      </c>
      <c r="U43" t="s">
        <v>89</v>
      </c>
    </row>
    <row r="44" spans="1:21" outlineLevel="1" x14ac:dyDescent="0.25">
      <c r="H44" s="9" t="s">
        <v>548</v>
      </c>
      <c r="N44">
        <f>SUBTOTAL(9,N42:N43)</f>
        <v>161</v>
      </c>
    </row>
    <row r="45" spans="1:21" x14ac:dyDescent="0.25">
      <c r="H45" s="9" t="s">
        <v>553</v>
      </c>
      <c r="N45">
        <f>SUBTOTAL(9,N4:N43)</f>
        <v>4585</v>
      </c>
      <c r="Q45">
        <f>COUNT(O3:O44)</f>
        <v>26</v>
      </c>
      <c r="R45">
        <f>Q45*4.94</f>
        <v>128.44</v>
      </c>
      <c r="S45" s="12">
        <f>N45-R45</f>
        <v>4456.5600000000004</v>
      </c>
    </row>
  </sheetData>
  <sortState xmlns:xlrd2="http://schemas.microsoft.com/office/spreadsheetml/2017/richdata2" ref="A4:V43">
    <sortCondition ref="H4:H43"/>
    <sortCondition ref="K4:K4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351-7F1C-4DD1-BD67-E290C8675BCD}">
  <sheetPr codeName="Hoja9"/>
  <dimension ref="A3:V247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28807370</v>
      </c>
      <c r="K4" t="s">
        <v>93</v>
      </c>
      <c r="L4" t="s">
        <v>87</v>
      </c>
      <c r="M4" t="s">
        <v>88</v>
      </c>
      <c r="N4">
        <v>140.5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310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28811507</v>
      </c>
      <c r="K5" t="s">
        <v>171</v>
      </c>
      <c r="L5" t="s">
        <v>87</v>
      </c>
      <c r="M5" t="s">
        <v>88</v>
      </c>
      <c r="N5">
        <v>100.5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311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28814615</v>
      </c>
      <c r="K6" t="s">
        <v>211</v>
      </c>
      <c r="L6" t="s">
        <v>87</v>
      </c>
      <c r="M6" t="s">
        <v>88</v>
      </c>
      <c r="N6">
        <v>96.5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312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28822559</v>
      </c>
      <c r="K7" t="s">
        <v>288</v>
      </c>
      <c r="L7" t="s">
        <v>87</v>
      </c>
      <c r="M7" t="s">
        <v>88</v>
      </c>
      <c r="N7">
        <v>107.5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313</v>
      </c>
      <c r="T7">
        <v>6</v>
      </c>
      <c r="U7" t="s">
        <v>89</v>
      </c>
    </row>
    <row r="8" spans="1:22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28824400</v>
      </c>
      <c r="K8" t="s">
        <v>308</v>
      </c>
      <c r="L8" t="s">
        <v>87</v>
      </c>
      <c r="M8" t="s">
        <v>88</v>
      </c>
      <c r="N8">
        <v>70.5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314</v>
      </c>
      <c r="T8">
        <v>6</v>
      </c>
      <c r="U8" t="s">
        <v>89</v>
      </c>
    </row>
    <row r="9" spans="1:22" outlineLevel="1" x14ac:dyDescent="0.25">
      <c r="H9" s="9" t="s">
        <v>531</v>
      </c>
      <c r="N9">
        <f>SUBTOTAL(9,N4:N8)</f>
        <v>515.5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8652</v>
      </c>
      <c r="H10" t="s">
        <v>40</v>
      </c>
      <c r="I10">
        <v>1000008652</v>
      </c>
      <c r="J10">
        <v>28808765</v>
      </c>
      <c r="K10" t="s">
        <v>125</v>
      </c>
      <c r="L10" t="s">
        <v>87</v>
      </c>
      <c r="M10" t="s">
        <v>88</v>
      </c>
      <c r="N10">
        <v>174.5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315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28809239</v>
      </c>
      <c r="K11" t="s">
        <v>133</v>
      </c>
      <c r="L11" t="s">
        <v>87</v>
      </c>
      <c r="M11" t="s">
        <v>88</v>
      </c>
      <c r="N11">
        <v>85.5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316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28809890</v>
      </c>
      <c r="K12" t="s">
        <v>143</v>
      </c>
      <c r="L12" t="s">
        <v>87</v>
      </c>
      <c r="M12" t="s">
        <v>88</v>
      </c>
      <c r="N12">
        <v>232.5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317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28818276</v>
      </c>
      <c r="K13" t="s">
        <v>240</v>
      </c>
      <c r="L13" t="s">
        <v>87</v>
      </c>
      <c r="M13" t="s">
        <v>88</v>
      </c>
      <c r="N13">
        <v>97.5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318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28822072</v>
      </c>
      <c r="K14" t="s">
        <v>282</v>
      </c>
      <c r="L14" t="s">
        <v>87</v>
      </c>
      <c r="M14" t="s">
        <v>88</v>
      </c>
      <c r="N14">
        <v>216.5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319</v>
      </c>
      <c r="T14">
        <v>6</v>
      </c>
      <c r="U14" t="s">
        <v>89</v>
      </c>
    </row>
    <row r="15" spans="1:22" outlineLevel="1" x14ac:dyDescent="0.25">
      <c r="H15" s="9" t="s">
        <v>532</v>
      </c>
      <c r="N15">
        <f>SUBTOTAL(9,N10:N14)</f>
        <v>806.5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8653</v>
      </c>
      <c r="H16" t="s">
        <v>37</v>
      </c>
      <c r="I16">
        <v>1000008653</v>
      </c>
      <c r="J16">
        <v>28807313</v>
      </c>
      <c r="K16" t="s">
        <v>86</v>
      </c>
      <c r="L16" t="s">
        <v>87</v>
      </c>
      <c r="M16" t="s">
        <v>88</v>
      </c>
      <c r="N16">
        <v>256.5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320</v>
      </c>
      <c r="T16">
        <v>6</v>
      </c>
      <c r="U16" t="s">
        <v>89</v>
      </c>
    </row>
    <row r="17" spans="1:22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28808456</v>
      </c>
      <c r="K17" t="s">
        <v>118</v>
      </c>
      <c r="L17" t="s">
        <v>87</v>
      </c>
      <c r="M17" t="s">
        <v>88</v>
      </c>
      <c r="N17">
        <v>142.5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321</v>
      </c>
      <c r="T17">
        <v>6</v>
      </c>
      <c r="U17" t="s">
        <v>89</v>
      </c>
    </row>
    <row r="18" spans="1:22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28809367</v>
      </c>
      <c r="K18" t="s">
        <v>135</v>
      </c>
      <c r="L18" t="s">
        <v>87</v>
      </c>
      <c r="M18" t="s">
        <v>88</v>
      </c>
      <c r="N18">
        <v>124.5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322</v>
      </c>
      <c r="T18">
        <v>6</v>
      </c>
      <c r="U18" t="s">
        <v>89</v>
      </c>
    </row>
    <row r="19" spans="1:22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28809503</v>
      </c>
      <c r="K19" t="s">
        <v>137</v>
      </c>
      <c r="L19" t="s">
        <v>87</v>
      </c>
      <c r="M19" t="s">
        <v>88</v>
      </c>
      <c r="N19">
        <v>43.5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323</v>
      </c>
      <c r="T19">
        <v>6</v>
      </c>
      <c r="U19" t="s">
        <v>89</v>
      </c>
    </row>
    <row r="20" spans="1:22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28809579</v>
      </c>
      <c r="K20" t="s">
        <v>139</v>
      </c>
      <c r="L20" t="s">
        <v>87</v>
      </c>
      <c r="M20" t="s">
        <v>88</v>
      </c>
      <c r="N20">
        <v>80.5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324</v>
      </c>
      <c r="T20">
        <v>6</v>
      </c>
      <c r="U20" t="s">
        <v>89</v>
      </c>
    </row>
    <row r="21" spans="1:22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28809696</v>
      </c>
      <c r="K21" t="s">
        <v>141</v>
      </c>
      <c r="L21" t="s">
        <v>87</v>
      </c>
      <c r="M21" t="s">
        <v>88</v>
      </c>
      <c r="N21">
        <v>193.5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325</v>
      </c>
      <c r="T21">
        <v>6</v>
      </c>
      <c r="U21" t="s">
        <v>89</v>
      </c>
    </row>
    <row r="22" spans="1:22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28811278</v>
      </c>
      <c r="K22" t="s">
        <v>169</v>
      </c>
      <c r="L22" t="s">
        <v>87</v>
      </c>
      <c r="M22" t="s">
        <v>88</v>
      </c>
      <c r="N22">
        <v>106.5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326</v>
      </c>
      <c r="T22">
        <v>6</v>
      </c>
      <c r="U22" t="s">
        <v>89</v>
      </c>
    </row>
    <row r="23" spans="1:22" outlineLevel="2" x14ac:dyDescent="0.25">
      <c r="A23" s="8" t="s">
        <v>82</v>
      </c>
      <c r="B23" s="8" t="s">
        <v>83</v>
      </c>
      <c r="C23" s="8">
        <v>30</v>
      </c>
      <c r="D23" s="8" t="s">
        <v>84</v>
      </c>
      <c r="E23" s="8">
        <v>184</v>
      </c>
      <c r="F23" s="8" t="s">
        <v>85</v>
      </c>
      <c r="G23" s="8">
        <v>8653</v>
      </c>
      <c r="H23" s="8" t="s">
        <v>37</v>
      </c>
      <c r="I23" s="8">
        <v>1000008653</v>
      </c>
      <c r="J23" s="8">
        <v>28812322</v>
      </c>
      <c r="K23" s="8" t="s">
        <v>179</v>
      </c>
      <c r="L23" s="8" t="s">
        <v>87</v>
      </c>
      <c r="M23" s="8" t="s">
        <v>88</v>
      </c>
      <c r="N23" s="8">
        <v>158.5</v>
      </c>
      <c r="O23" s="8">
        <v>14.22</v>
      </c>
      <c r="P23" s="8">
        <v>2.2799999999999998</v>
      </c>
      <c r="Q23" s="8">
        <v>4.2561999999999998</v>
      </c>
      <c r="R23" s="8">
        <v>0.68100000000000005</v>
      </c>
      <c r="S23" s="8" t="s">
        <v>526</v>
      </c>
      <c r="T23" s="8">
        <v>6</v>
      </c>
      <c r="U23" s="8" t="s">
        <v>89</v>
      </c>
      <c r="V23" s="8"/>
    </row>
    <row r="24" spans="1:22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28812611</v>
      </c>
      <c r="K24" t="s">
        <v>186</v>
      </c>
      <c r="L24" t="s">
        <v>87</v>
      </c>
      <c r="M24" t="s">
        <v>88</v>
      </c>
      <c r="N24">
        <v>327.5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327</v>
      </c>
      <c r="T24">
        <v>6</v>
      </c>
      <c r="U24" t="s">
        <v>89</v>
      </c>
    </row>
    <row r="25" spans="1:22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8653</v>
      </c>
      <c r="H25" t="s">
        <v>37</v>
      </c>
      <c r="I25">
        <v>1000008653</v>
      </c>
      <c r="J25">
        <v>28816248</v>
      </c>
      <c r="K25" t="s">
        <v>224</v>
      </c>
      <c r="L25" t="s">
        <v>87</v>
      </c>
      <c r="M25" t="s">
        <v>88</v>
      </c>
      <c r="N25">
        <v>115.5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328</v>
      </c>
      <c r="T25">
        <v>6</v>
      </c>
      <c r="U25" t="s">
        <v>89</v>
      </c>
    </row>
    <row r="26" spans="1:22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8653</v>
      </c>
      <c r="H26" t="s">
        <v>37</v>
      </c>
      <c r="I26">
        <v>1000008653</v>
      </c>
      <c r="J26">
        <v>28816902</v>
      </c>
      <c r="K26" t="s">
        <v>227</v>
      </c>
      <c r="L26" t="s">
        <v>87</v>
      </c>
      <c r="M26" t="s">
        <v>88</v>
      </c>
      <c r="N26">
        <v>435.5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329</v>
      </c>
      <c r="T26">
        <v>6</v>
      </c>
      <c r="U26" t="s">
        <v>89</v>
      </c>
    </row>
    <row r="27" spans="1:22" outlineLevel="1" x14ac:dyDescent="0.25">
      <c r="H27" s="9" t="s">
        <v>533</v>
      </c>
      <c r="N27">
        <f>SUBTOTAL(9,N16:N26)</f>
        <v>1984.5</v>
      </c>
    </row>
    <row r="28" spans="1:22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28808569</v>
      </c>
      <c r="K28" t="s">
        <v>119</v>
      </c>
      <c r="L28" t="s">
        <v>87</v>
      </c>
      <c r="M28" t="s">
        <v>88</v>
      </c>
      <c r="N28">
        <v>122.5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330</v>
      </c>
      <c r="T28">
        <v>6</v>
      </c>
      <c r="U28" t="s">
        <v>89</v>
      </c>
    </row>
    <row r="29" spans="1:22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28808825</v>
      </c>
      <c r="K29" t="s">
        <v>127</v>
      </c>
      <c r="L29" t="s">
        <v>87</v>
      </c>
      <c r="M29" t="s">
        <v>88</v>
      </c>
      <c r="N29">
        <v>227.5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331</v>
      </c>
      <c r="T29">
        <v>6</v>
      </c>
      <c r="U29" t="s">
        <v>89</v>
      </c>
    </row>
    <row r="30" spans="1:22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28817743</v>
      </c>
      <c r="K30" t="s">
        <v>238</v>
      </c>
      <c r="L30" t="s">
        <v>87</v>
      </c>
      <c r="M30" t="s">
        <v>88</v>
      </c>
      <c r="N30">
        <v>185.5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332</v>
      </c>
      <c r="T30">
        <v>6</v>
      </c>
      <c r="U30" t="s">
        <v>89</v>
      </c>
    </row>
    <row r="31" spans="1:22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28820601</v>
      </c>
      <c r="K31" t="s">
        <v>268</v>
      </c>
      <c r="L31" t="s">
        <v>87</v>
      </c>
      <c r="M31" t="s">
        <v>88</v>
      </c>
      <c r="N31">
        <v>139.5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333</v>
      </c>
      <c r="T31">
        <v>6</v>
      </c>
      <c r="U31" t="s">
        <v>89</v>
      </c>
    </row>
    <row r="32" spans="1:22" outlineLevel="1" x14ac:dyDescent="0.25">
      <c r="H32" s="9" t="s">
        <v>534</v>
      </c>
      <c r="N32">
        <f>SUBTOTAL(9,N28:N31)</f>
        <v>675</v>
      </c>
    </row>
    <row r="33" spans="1:22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8655</v>
      </c>
      <c r="H33" t="s">
        <v>29</v>
      </c>
      <c r="I33">
        <v>1000008655</v>
      </c>
      <c r="J33">
        <v>28807455</v>
      </c>
      <c r="K33" t="s">
        <v>94</v>
      </c>
      <c r="L33" t="s">
        <v>87</v>
      </c>
      <c r="M33" t="s">
        <v>88</v>
      </c>
      <c r="N33">
        <v>98.5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334</v>
      </c>
      <c r="T33">
        <v>6</v>
      </c>
      <c r="U33" t="s">
        <v>89</v>
      </c>
    </row>
    <row r="34" spans="1:22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8655</v>
      </c>
      <c r="H34" t="s">
        <v>29</v>
      </c>
      <c r="I34">
        <v>1000008655</v>
      </c>
      <c r="J34">
        <v>28808347</v>
      </c>
      <c r="K34" t="s">
        <v>113</v>
      </c>
      <c r="L34" t="s">
        <v>87</v>
      </c>
      <c r="M34" t="s">
        <v>88</v>
      </c>
      <c r="N34">
        <v>451.5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335</v>
      </c>
      <c r="T34">
        <v>6</v>
      </c>
      <c r="U34" t="s">
        <v>89</v>
      </c>
    </row>
    <row r="35" spans="1:22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8655</v>
      </c>
      <c r="H35" t="s">
        <v>29</v>
      </c>
      <c r="I35">
        <v>1000008655</v>
      </c>
      <c r="J35">
        <v>28808830</v>
      </c>
      <c r="K35" t="s">
        <v>128</v>
      </c>
      <c r="L35" t="s">
        <v>87</v>
      </c>
      <c r="M35" t="s">
        <v>88</v>
      </c>
      <c r="N35">
        <v>122.5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336</v>
      </c>
      <c r="T35">
        <v>6</v>
      </c>
      <c r="U35" t="s">
        <v>89</v>
      </c>
    </row>
    <row r="36" spans="1:22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8655</v>
      </c>
      <c r="H36" t="s">
        <v>29</v>
      </c>
      <c r="I36">
        <v>1000008655</v>
      </c>
      <c r="J36">
        <v>28810266</v>
      </c>
      <c r="K36" t="s">
        <v>153</v>
      </c>
      <c r="L36" t="s">
        <v>87</v>
      </c>
      <c r="M36" t="s">
        <v>88</v>
      </c>
      <c r="N36">
        <v>663.5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337</v>
      </c>
      <c r="T36">
        <v>6</v>
      </c>
      <c r="U36" t="s">
        <v>89</v>
      </c>
    </row>
    <row r="37" spans="1:22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8655</v>
      </c>
      <c r="H37" t="s">
        <v>29</v>
      </c>
      <c r="I37">
        <v>1000008655</v>
      </c>
      <c r="J37">
        <v>28810412</v>
      </c>
      <c r="K37" t="s">
        <v>155</v>
      </c>
      <c r="L37" t="s">
        <v>87</v>
      </c>
      <c r="M37" t="s">
        <v>88</v>
      </c>
      <c r="N37">
        <v>68.5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338</v>
      </c>
      <c r="T37">
        <v>6</v>
      </c>
      <c r="U37" t="s">
        <v>89</v>
      </c>
    </row>
    <row r="38" spans="1:22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28814805</v>
      </c>
      <c r="K38" t="s">
        <v>212</v>
      </c>
      <c r="L38" t="s">
        <v>87</v>
      </c>
      <c r="M38" t="s">
        <v>88</v>
      </c>
      <c r="N38">
        <v>277.5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339</v>
      </c>
      <c r="T38">
        <v>6</v>
      </c>
      <c r="U38" t="s">
        <v>89</v>
      </c>
    </row>
    <row r="39" spans="1:22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28818751</v>
      </c>
      <c r="K39" t="s">
        <v>245</v>
      </c>
      <c r="L39" t="s">
        <v>87</v>
      </c>
      <c r="M39" t="s">
        <v>88</v>
      </c>
      <c r="N39">
        <v>44.5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340</v>
      </c>
      <c r="T39">
        <v>6</v>
      </c>
      <c r="U39" t="s">
        <v>89</v>
      </c>
    </row>
    <row r="40" spans="1:22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8655</v>
      </c>
      <c r="H40" t="s">
        <v>29</v>
      </c>
      <c r="I40">
        <v>1000008655</v>
      </c>
      <c r="J40">
        <v>28819554</v>
      </c>
      <c r="K40" t="s">
        <v>257</v>
      </c>
      <c r="L40" t="s">
        <v>87</v>
      </c>
      <c r="M40" t="s">
        <v>88</v>
      </c>
      <c r="N40">
        <v>154.5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341</v>
      </c>
      <c r="T40">
        <v>6</v>
      </c>
      <c r="U40" t="s">
        <v>89</v>
      </c>
    </row>
    <row r="41" spans="1:22" outlineLevel="2" x14ac:dyDescent="0.25">
      <c r="A41" s="8" t="s">
        <v>82</v>
      </c>
      <c r="B41" s="8" t="s">
        <v>83</v>
      </c>
      <c r="C41" s="8">
        <v>30</v>
      </c>
      <c r="D41" s="8" t="s">
        <v>84</v>
      </c>
      <c r="E41" s="8">
        <v>184</v>
      </c>
      <c r="F41" s="8" t="s">
        <v>85</v>
      </c>
      <c r="G41" s="8">
        <v>8655</v>
      </c>
      <c r="H41" s="8" t="s">
        <v>29</v>
      </c>
      <c r="I41" s="8">
        <v>1000008655</v>
      </c>
      <c r="J41" s="8">
        <v>28822083</v>
      </c>
      <c r="K41" s="8" t="s">
        <v>283</v>
      </c>
      <c r="L41" s="8" t="s">
        <v>87</v>
      </c>
      <c r="M41" s="8" t="s">
        <v>88</v>
      </c>
      <c r="N41" s="8">
        <v>186.5</v>
      </c>
      <c r="O41" s="8">
        <v>14.22</v>
      </c>
      <c r="P41" s="8">
        <v>2.2799999999999998</v>
      </c>
      <c r="Q41" s="8">
        <v>4.2561999999999998</v>
      </c>
      <c r="R41" s="8">
        <v>0.68100000000000005</v>
      </c>
      <c r="S41" s="8" t="s">
        <v>527</v>
      </c>
      <c r="T41" s="8">
        <v>6</v>
      </c>
      <c r="U41" s="8" t="s">
        <v>89</v>
      </c>
      <c r="V41" s="8"/>
    </row>
    <row r="42" spans="1:22" outlineLevel="1" x14ac:dyDescent="0.25">
      <c r="A42" s="8"/>
      <c r="B42" s="8"/>
      <c r="C42" s="8"/>
      <c r="D42" s="8"/>
      <c r="E42" s="8"/>
      <c r="F42" s="8"/>
      <c r="G42" s="8"/>
      <c r="H42" s="10" t="s">
        <v>535</v>
      </c>
      <c r="I42" s="8"/>
      <c r="J42" s="8"/>
      <c r="K42" s="8"/>
      <c r="L42" s="8"/>
      <c r="M42" s="8"/>
      <c r="N42" s="8">
        <f>SUBTOTAL(9,N33:N41)</f>
        <v>2067.5</v>
      </c>
      <c r="O42" s="8"/>
      <c r="P42" s="8"/>
      <c r="Q42" s="8"/>
      <c r="R42" s="8"/>
      <c r="S42" s="8"/>
      <c r="T42" s="8"/>
      <c r="U42" s="8"/>
      <c r="V42" s="8"/>
    </row>
    <row r="43" spans="1:22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8656</v>
      </c>
      <c r="H43" t="s">
        <v>31</v>
      </c>
      <c r="I43">
        <v>1000008656</v>
      </c>
      <c r="J43">
        <v>28807320</v>
      </c>
      <c r="K43" t="s">
        <v>90</v>
      </c>
      <c r="L43" t="s">
        <v>87</v>
      </c>
      <c r="M43" t="s">
        <v>88</v>
      </c>
      <c r="N43">
        <v>112.5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342</v>
      </c>
      <c r="T43">
        <v>6</v>
      </c>
      <c r="U43" t="s">
        <v>89</v>
      </c>
    </row>
    <row r="44" spans="1:22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8656</v>
      </c>
      <c r="H44" t="s">
        <v>31</v>
      </c>
      <c r="I44">
        <v>1000008656</v>
      </c>
      <c r="J44">
        <v>28808428</v>
      </c>
      <c r="K44" t="s">
        <v>116</v>
      </c>
      <c r="L44" t="s">
        <v>87</v>
      </c>
      <c r="M44" t="s">
        <v>88</v>
      </c>
      <c r="N44">
        <v>1008.5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343</v>
      </c>
      <c r="T44">
        <v>6</v>
      </c>
      <c r="U44" t="s">
        <v>89</v>
      </c>
    </row>
    <row r="45" spans="1:22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8656</v>
      </c>
      <c r="H45" t="s">
        <v>31</v>
      </c>
      <c r="I45">
        <v>1000008656</v>
      </c>
      <c r="J45">
        <v>28810849</v>
      </c>
      <c r="K45" t="s">
        <v>163</v>
      </c>
      <c r="L45" t="s">
        <v>87</v>
      </c>
      <c r="M45" t="s">
        <v>88</v>
      </c>
      <c r="N45">
        <v>123.5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344</v>
      </c>
      <c r="T45">
        <v>6</v>
      </c>
      <c r="U45" t="s">
        <v>89</v>
      </c>
    </row>
    <row r="46" spans="1:22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8656</v>
      </c>
      <c r="H46" t="s">
        <v>31</v>
      </c>
      <c r="I46">
        <v>1000008656</v>
      </c>
      <c r="J46">
        <v>28811242</v>
      </c>
      <c r="K46" t="s">
        <v>167</v>
      </c>
      <c r="L46" t="s">
        <v>87</v>
      </c>
      <c r="M46" t="s">
        <v>88</v>
      </c>
      <c r="N46">
        <v>137.5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345</v>
      </c>
      <c r="T46">
        <v>6</v>
      </c>
      <c r="U46" t="s">
        <v>89</v>
      </c>
    </row>
    <row r="47" spans="1:22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8656</v>
      </c>
      <c r="H47" t="s">
        <v>31</v>
      </c>
      <c r="I47">
        <v>1000008656</v>
      </c>
      <c r="J47">
        <v>28813315</v>
      </c>
      <c r="K47" t="s">
        <v>200</v>
      </c>
      <c r="L47" t="s">
        <v>87</v>
      </c>
      <c r="M47" t="s">
        <v>88</v>
      </c>
      <c r="N47">
        <v>710.5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346</v>
      </c>
      <c r="T47">
        <v>6</v>
      </c>
      <c r="U47" t="s">
        <v>89</v>
      </c>
    </row>
    <row r="48" spans="1:22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8656</v>
      </c>
      <c r="H48" t="s">
        <v>31</v>
      </c>
      <c r="I48">
        <v>1000008656</v>
      </c>
      <c r="J48">
        <v>28813704</v>
      </c>
      <c r="K48" t="s">
        <v>204</v>
      </c>
      <c r="L48" t="s">
        <v>87</v>
      </c>
      <c r="M48" t="s">
        <v>88</v>
      </c>
      <c r="N48">
        <v>118.5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347</v>
      </c>
      <c r="T48">
        <v>6</v>
      </c>
      <c r="U48" t="s">
        <v>89</v>
      </c>
    </row>
    <row r="49" spans="1:21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8656</v>
      </c>
      <c r="H49" t="s">
        <v>31</v>
      </c>
      <c r="I49">
        <v>1000008656</v>
      </c>
      <c r="J49">
        <v>28824174</v>
      </c>
      <c r="K49" t="s">
        <v>306</v>
      </c>
      <c r="L49" t="s">
        <v>87</v>
      </c>
      <c r="M49" t="s">
        <v>88</v>
      </c>
      <c r="N49">
        <v>45.5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348</v>
      </c>
      <c r="T49">
        <v>6</v>
      </c>
      <c r="U49" t="s">
        <v>89</v>
      </c>
    </row>
    <row r="50" spans="1:21" outlineLevel="1" x14ac:dyDescent="0.25">
      <c r="H50" s="9" t="s">
        <v>536</v>
      </c>
      <c r="N50">
        <f>SUBTOTAL(9,N43:N49)</f>
        <v>2256.5</v>
      </c>
    </row>
    <row r="51" spans="1:21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8657</v>
      </c>
      <c r="H51" t="s">
        <v>44</v>
      </c>
      <c r="I51">
        <v>1000008657</v>
      </c>
      <c r="J51">
        <v>28808684</v>
      </c>
      <c r="K51" t="s">
        <v>121</v>
      </c>
      <c r="L51" t="s">
        <v>87</v>
      </c>
      <c r="M51" t="s">
        <v>88</v>
      </c>
      <c r="N51">
        <v>88.5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349</v>
      </c>
      <c r="T51">
        <v>6</v>
      </c>
      <c r="U51" t="s">
        <v>89</v>
      </c>
    </row>
    <row r="52" spans="1:21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8657</v>
      </c>
      <c r="H52" t="s">
        <v>44</v>
      </c>
      <c r="I52">
        <v>1000008657</v>
      </c>
      <c r="J52">
        <v>28808755</v>
      </c>
      <c r="K52" t="s">
        <v>124</v>
      </c>
      <c r="L52" t="s">
        <v>87</v>
      </c>
      <c r="M52" t="s">
        <v>88</v>
      </c>
      <c r="N52">
        <v>88.5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350</v>
      </c>
      <c r="T52">
        <v>6</v>
      </c>
      <c r="U52" t="s">
        <v>89</v>
      </c>
    </row>
    <row r="53" spans="1:21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8657</v>
      </c>
      <c r="H53" t="s">
        <v>44</v>
      </c>
      <c r="I53">
        <v>1000008657</v>
      </c>
      <c r="J53">
        <v>28809008</v>
      </c>
      <c r="K53" t="s">
        <v>130</v>
      </c>
      <c r="L53" t="s">
        <v>87</v>
      </c>
      <c r="M53" t="s">
        <v>88</v>
      </c>
      <c r="N53">
        <v>44.5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351</v>
      </c>
      <c r="T53">
        <v>6</v>
      </c>
      <c r="U53" t="s">
        <v>89</v>
      </c>
    </row>
    <row r="54" spans="1:21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8657</v>
      </c>
      <c r="H54" t="s">
        <v>44</v>
      </c>
      <c r="I54">
        <v>1000008657</v>
      </c>
      <c r="J54">
        <v>28809813</v>
      </c>
      <c r="K54" t="s">
        <v>142</v>
      </c>
      <c r="L54" t="s">
        <v>87</v>
      </c>
      <c r="M54" t="s">
        <v>88</v>
      </c>
      <c r="N54">
        <v>118.5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352</v>
      </c>
      <c r="T54">
        <v>6</v>
      </c>
      <c r="U54" t="s">
        <v>89</v>
      </c>
    </row>
    <row r="55" spans="1:21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8657</v>
      </c>
      <c r="H55" t="s">
        <v>44</v>
      </c>
      <c r="I55">
        <v>1000008657</v>
      </c>
      <c r="J55">
        <v>28812692</v>
      </c>
      <c r="K55" t="s">
        <v>187</v>
      </c>
      <c r="L55" t="s">
        <v>87</v>
      </c>
      <c r="M55" t="s">
        <v>88</v>
      </c>
      <c r="N55">
        <v>77.5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353</v>
      </c>
      <c r="T55">
        <v>6</v>
      </c>
      <c r="U55" t="s">
        <v>89</v>
      </c>
    </row>
    <row r="56" spans="1:21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8657</v>
      </c>
      <c r="H56" t="s">
        <v>44</v>
      </c>
      <c r="I56">
        <v>1000008657</v>
      </c>
      <c r="J56">
        <v>28819137</v>
      </c>
      <c r="K56" t="s">
        <v>249</v>
      </c>
      <c r="L56" t="s">
        <v>87</v>
      </c>
      <c r="M56" t="s">
        <v>88</v>
      </c>
      <c r="N56">
        <v>154.5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354</v>
      </c>
      <c r="T56">
        <v>6</v>
      </c>
      <c r="U56" t="s">
        <v>89</v>
      </c>
    </row>
    <row r="57" spans="1:21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8657</v>
      </c>
      <c r="H57" t="s">
        <v>44</v>
      </c>
      <c r="I57">
        <v>1000008657</v>
      </c>
      <c r="J57">
        <v>28819770</v>
      </c>
      <c r="K57" t="s">
        <v>262</v>
      </c>
      <c r="L57" t="s">
        <v>87</v>
      </c>
      <c r="M57" t="s">
        <v>88</v>
      </c>
      <c r="N57">
        <v>100.5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355</v>
      </c>
      <c r="T57">
        <v>6</v>
      </c>
      <c r="U57" t="s">
        <v>89</v>
      </c>
    </row>
    <row r="58" spans="1:21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8657</v>
      </c>
      <c r="H58" t="s">
        <v>44</v>
      </c>
      <c r="I58">
        <v>1000008657</v>
      </c>
      <c r="J58">
        <v>28819787</v>
      </c>
      <c r="K58" t="s">
        <v>263</v>
      </c>
      <c r="L58" t="s">
        <v>87</v>
      </c>
      <c r="M58" t="s">
        <v>88</v>
      </c>
      <c r="N58">
        <v>256.5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356</v>
      </c>
      <c r="T58">
        <v>6</v>
      </c>
      <c r="U58" t="s">
        <v>89</v>
      </c>
    </row>
    <row r="59" spans="1:21" outlineLevel="1" x14ac:dyDescent="0.25">
      <c r="H59" s="9" t="s">
        <v>537</v>
      </c>
      <c r="N59">
        <f>SUBTOTAL(9,N51:N58)</f>
        <v>929</v>
      </c>
    </row>
    <row r="60" spans="1:21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28807584</v>
      </c>
      <c r="K60" t="s">
        <v>98</v>
      </c>
      <c r="L60" t="s">
        <v>87</v>
      </c>
      <c r="M60" t="s">
        <v>88</v>
      </c>
      <c r="N60">
        <v>248.5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357</v>
      </c>
      <c r="T60">
        <v>6</v>
      </c>
      <c r="U60" t="s">
        <v>89</v>
      </c>
    </row>
    <row r="61" spans="1:21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28808208</v>
      </c>
      <c r="K61" t="s">
        <v>110</v>
      </c>
      <c r="L61" t="s">
        <v>87</v>
      </c>
      <c r="M61" t="s">
        <v>88</v>
      </c>
      <c r="N61">
        <v>196.5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358</v>
      </c>
      <c r="T61">
        <v>6</v>
      </c>
      <c r="U61" t="s">
        <v>89</v>
      </c>
    </row>
    <row r="62" spans="1:21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8658</v>
      </c>
      <c r="H62" t="s">
        <v>33</v>
      </c>
      <c r="I62">
        <v>1000008658</v>
      </c>
      <c r="J62">
        <v>28808305</v>
      </c>
      <c r="K62" t="s">
        <v>112</v>
      </c>
      <c r="L62" t="s">
        <v>87</v>
      </c>
      <c r="M62" t="s">
        <v>88</v>
      </c>
      <c r="N62">
        <v>168.5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359</v>
      </c>
      <c r="T62">
        <v>6</v>
      </c>
      <c r="U62" t="s">
        <v>89</v>
      </c>
    </row>
    <row r="63" spans="1:21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8658</v>
      </c>
      <c r="H63" t="s">
        <v>33</v>
      </c>
      <c r="I63">
        <v>1000008658</v>
      </c>
      <c r="J63">
        <v>28808580</v>
      </c>
      <c r="K63" t="s">
        <v>120</v>
      </c>
      <c r="L63" t="s">
        <v>87</v>
      </c>
      <c r="M63" t="s">
        <v>88</v>
      </c>
      <c r="N63">
        <v>90.5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360</v>
      </c>
      <c r="T63">
        <v>6</v>
      </c>
      <c r="U63" t="s">
        <v>89</v>
      </c>
    </row>
    <row r="64" spans="1:21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8658</v>
      </c>
      <c r="H64" t="s">
        <v>33</v>
      </c>
      <c r="I64">
        <v>1000008658</v>
      </c>
      <c r="J64">
        <v>28808738</v>
      </c>
      <c r="K64" t="s">
        <v>123</v>
      </c>
      <c r="L64" t="s">
        <v>87</v>
      </c>
      <c r="M64" t="s">
        <v>88</v>
      </c>
      <c r="N64">
        <v>558.5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361</v>
      </c>
      <c r="T64">
        <v>6</v>
      </c>
      <c r="U64" t="s">
        <v>89</v>
      </c>
    </row>
    <row r="65" spans="1:21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8658</v>
      </c>
      <c r="H65" t="s">
        <v>33</v>
      </c>
      <c r="I65">
        <v>1000008658</v>
      </c>
      <c r="J65">
        <v>28809068</v>
      </c>
      <c r="K65" t="s">
        <v>131</v>
      </c>
      <c r="L65" t="s">
        <v>87</v>
      </c>
      <c r="M65" t="s">
        <v>88</v>
      </c>
      <c r="N65">
        <v>84.5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362</v>
      </c>
      <c r="T65">
        <v>6</v>
      </c>
      <c r="U65" t="s">
        <v>89</v>
      </c>
    </row>
    <row r="66" spans="1:21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8658</v>
      </c>
      <c r="H66" t="s">
        <v>33</v>
      </c>
      <c r="I66">
        <v>1000008658</v>
      </c>
      <c r="J66">
        <v>28809142</v>
      </c>
      <c r="K66" t="s">
        <v>132</v>
      </c>
      <c r="L66" t="s">
        <v>87</v>
      </c>
      <c r="M66" t="s">
        <v>88</v>
      </c>
      <c r="N66">
        <v>315.5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363</v>
      </c>
      <c r="T66">
        <v>6</v>
      </c>
      <c r="U66" t="s">
        <v>89</v>
      </c>
    </row>
    <row r="67" spans="1:21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8658</v>
      </c>
      <c r="H67" t="s">
        <v>33</v>
      </c>
      <c r="I67">
        <v>1000008658</v>
      </c>
      <c r="J67">
        <v>28810050</v>
      </c>
      <c r="K67" t="s">
        <v>149</v>
      </c>
      <c r="L67" t="s">
        <v>87</v>
      </c>
      <c r="M67" t="s">
        <v>88</v>
      </c>
      <c r="N67">
        <v>124.5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364</v>
      </c>
      <c r="T67">
        <v>6</v>
      </c>
      <c r="U67" t="s">
        <v>89</v>
      </c>
    </row>
    <row r="68" spans="1:21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8658</v>
      </c>
      <c r="H68" t="s">
        <v>33</v>
      </c>
      <c r="I68">
        <v>1000008658</v>
      </c>
      <c r="J68">
        <v>28810100</v>
      </c>
      <c r="K68" t="s">
        <v>151</v>
      </c>
      <c r="L68" t="s">
        <v>87</v>
      </c>
      <c r="M68" t="s">
        <v>88</v>
      </c>
      <c r="N68">
        <v>252.5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365</v>
      </c>
      <c r="T68">
        <v>6</v>
      </c>
      <c r="U68" t="s">
        <v>89</v>
      </c>
    </row>
    <row r="69" spans="1:21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8658</v>
      </c>
      <c r="H69" t="s">
        <v>33</v>
      </c>
      <c r="I69">
        <v>1000008658</v>
      </c>
      <c r="J69">
        <v>28810740</v>
      </c>
      <c r="K69" t="s">
        <v>161</v>
      </c>
      <c r="L69" t="s">
        <v>87</v>
      </c>
      <c r="M69" t="s">
        <v>88</v>
      </c>
      <c r="N69">
        <v>165.5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366</v>
      </c>
      <c r="T69">
        <v>6</v>
      </c>
      <c r="U69" t="s">
        <v>89</v>
      </c>
    </row>
    <row r="70" spans="1:21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8658</v>
      </c>
      <c r="H70" t="s">
        <v>33</v>
      </c>
      <c r="I70">
        <v>1000008658</v>
      </c>
      <c r="J70">
        <v>28815001</v>
      </c>
      <c r="K70" t="s">
        <v>215</v>
      </c>
      <c r="L70" t="s">
        <v>87</v>
      </c>
      <c r="M70" t="s">
        <v>88</v>
      </c>
      <c r="N70">
        <v>131.5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367</v>
      </c>
      <c r="T70">
        <v>6</v>
      </c>
      <c r="U70" t="s">
        <v>89</v>
      </c>
    </row>
    <row r="71" spans="1:21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28819582</v>
      </c>
      <c r="K71" t="s">
        <v>258</v>
      </c>
      <c r="L71" t="s">
        <v>87</v>
      </c>
      <c r="M71" t="s">
        <v>88</v>
      </c>
      <c r="N71">
        <v>145.5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368</v>
      </c>
      <c r="T71">
        <v>6</v>
      </c>
      <c r="U71" t="s">
        <v>89</v>
      </c>
    </row>
    <row r="72" spans="1:21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28819592</v>
      </c>
      <c r="K72" t="s">
        <v>259</v>
      </c>
      <c r="L72" t="s">
        <v>87</v>
      </c>
      <c r="M72" t="s">
        <v>88</v>
      </c>
      <c r="N72">
        <v>44.5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369</v>
      </c>
      <c r="T72">
        <v>6</v>
      </c>
      <c r="U72" t="s">
        <v>89</v>
      </c>
    </row>
    <row r="73" spans="1:21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28820837</v>
      </c>
      <c r="K73" t="s">
        <v>270</v>
      </c>
      <c r="L73" t="s">
        <v>87</v>
      </c>
      <c r="M73" t="s">
        <v>88</v>
      </c>
      <c r="N73">
        <v>72.5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370</v>
      </c>
      <c r="T73">
        <v>6</v>
      </c>
      <c r="U73" t="s">
        <v>89</v>
      </c>
    </row>
    <row r="74" spans="1:21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28823837</v>
      </c>
      <c r="K74" t="s">
        <v>303</v>
      </c>
      <c r="L74" t="s">
        <v>87</v>
      </c>
      <c r="M74" t="s">
        <v>88</v>
      </c>
      <c r="N74">
        <v>80.5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371</v>
      </c>
      <c r="T74">
        <v>6</v>
      </c>
      <c r="U74" t="s">
        <v>89</v>
      </c>
    </row>
    <row r="75" spans="1:21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28823964</v>
      </c>
      <c r="K75" t="s">
        <v>304</v>
      </c>
      <c r="L75" t="s">
        <v>87</v>
      </c>
      <c r="M75" t="s">
        <v>88</v>
      </c>
      <c r="N75">
        <v>44.5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372</v>
      </c>
      <c r="T75">
        <v>6</v>
      </c>
      <c r="U75" t="s">
        <v>89</v>
      </c>
    </row>
    <row r="76" spans="1:21" outlineLevel="1" x14ac:dyDescent="0.25">
      <c r="H76" s="9" t="s">
        <v>538</v>
      </c>
      <c r="N76">
        <f>SUBTOTAL(9,N60:N75)</f>
        <v>2724</v>
      </c>
    </row>
    <row r="77" spans="1:21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8659</v>
      </c>
      <c r="H77" t="s">
        <v>32</v>
      </c>
      <c r="I77">
        <v>1000008659</v>
      </c>
      <c r="J77">
        <v>28808138</v>
      </c>
      <c r="K77" t="s">
        <v>109</v>
      </c>
      <c r="L77" t="s">
        <v>87</v>
      </c>
      <c r="M77" t="s">
        <v>88</v>
      </c>
      <c r="N77">
        <v>158.5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373</v>
      </c>
      <c r="T77">
        <v>6</v>
      </c>
      <c r="U77" t="s">
        <v>89</v>
      </c>
    </row>
    <row r="78" spans="1:21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8659</v>
      </c>
      <c r="H78" t="s">
        <v>32</v>
      </c>
      <c r="I78">
        <v>1000008659</v>
      </c>
      <c r="J78">
        <v>28809418</v>
      </c>
      <c r="K78" t="s">
        <v>136</v>
      </c>
      <c r="L78" t="s">
        <v>87</v>
      </c>
      <c r="M78" t="s">
        <v>88</v>
      </c>
      <c r="N78">
        <v>161.5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374</v>
      </c>
      <c r="T78">
        <v>6</v>
      </c>
      <c r="U78" t="s">
        <v>89</v>
      </c>
    </row>
    <row r="79" spans="1:21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8659</v>
      </c>
      <c r="H79" t="s">
        <v>32</v>
      </c>
      <c r="I79">
        <v>1000008659</v>
      </c>
      <c r="J79">
        <v>28809531</v>
      </c>
      <c r="K79" t="s">
        <v>138</v>
      </c>
      <c r="L79" t="s">
        <v>87</v>
      </c>
      <c r="M79" t="s">
        <v>88</v>
      </c>
      <c r="N79">
        <v>312.5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375</v>
      </c>
      <c r="T79">
        <v>6</v>
      </c>
      <c r="U79" t="s">
        <v>89</v>
      </c>
    </row>
    <row r="80" spans="1:21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8659</v>
      </c>
      <c r="H80" t="s">
        <v>32</v>
      </c>
      <c r="I80">
        <v>1000008659</v>
      </c>
      <c r="J80">
        <v>28809939</v>
      </c>
      <c r="K80" t="s">
        <v>144</v>
      </c>
      <c r="L80" t="s">
        <v>87</v>
      </c>
      <c r="M80" t="s">
        <v>88</v>
      </c>
      <c r="N80">
        <v>138.5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376</v>
      </c>
      <c r="T80">
        <v>6</v>
      </c>
      <c r="U80" t="s">
        <v>89</v>
      </c>
    </row>
    <row r="81" spans="1:22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8659</v>
      </c>
      <c r="H81" t="s">
        <v>32</v>
      </c>
      <c r="I81">
        <v>1000008659</v>
      </c>
      <c r="J81">
        <v>28810481</v>
      </c>
      <c r="K81" t="s">
        <v>157</v>
      </c>
      <c r="L81" t="s">
        <v>87</v>
      </c>
      <c r="M81" t="s">
        <v>88</v>
      </c>
      <c r="N81">
        <v>104.5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377</v>
      </c>
      <c r="T81">
        <v>6</v>
      </c>
      <c r="U81" t="s">
        <v>89</v>
      </c>
    </row>
    <row r="82" spans="1:22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8659</v>
      </c>
      <c r="H82" t="s">
        <v>32</v>
      </c>
      <c r="I82">
        <v>1000008659</v>
      </c>
      <c r="J82">
        <v>28810580</v>
      </c>
      <c r="K82" t="s">
        <v>160</v>
      </c>
      <c r="L82" t="s">
        <v>87</v>
      </c>
      <c r="M82" t="s">
        <v>88</v>
      </c>
      <c r="N82">
        <v>535.5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378</v>
      </c>
      <c r="T82">
        <v>6</v>
      </c>
      <c r="U82" t="s">
        <v>89</v>
      </c>
    </row>
    <row r="83" spans="1:22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8659</v>
      </c>
      <c r="H83" t="s">
        <v>32</v>
      </c>
      <c r="I83">
        <v>1000008659</v>
      </c>
      <c r="J83">
        <v>28810931</v>
      </c>
      <c r="K83" t="s">
        <v>164</v>
      </c>
      <c r="L83" t="s">
        <v>87</v>
      </c>
      <c r="M83" t="s">
        <v>88</v>
      </c>
      <c r="N83">
        <v>110.5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379</v>
      </c>
      <c r="T83">
        <v>6</v>
      </c>
      <c r="U83" t="s">
        <v>89</v>
      </c>
    </row>
    <row r="84" spans="1:22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8659</v>
      </c>
      <c r="H84" t="s">
        <v>32</v>
      </c>
      <c r="I84">
        <v>1000008659</v>
      </c>
      <c r="J84">
        <v>28811228</v>
      </c>
      <c r="K84" t="s">
        <v>166</v>
      </c>
      <c r="L84" t="s">
        <v>87</v>
      </c>
      <c r="M84" t="s">
        <v>88</v>
      </c>
      <c r="N84">
        <v>61.5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380</v>
      </c>
      <c r="T84">
        <v>6</v>
      </c>
      <c r="U84" t="s">
        <v>89</v>
      </c>
    </row>
    <row r="85" spans="1:22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8659</v>
      </c>
      <c r="H85" t="s">
        <v>32</v>
      </c>
      <c r="I85">
        <v>1000008659</v>
      </c>
      <c r="J85">
        <v>28811724</v>
      </c>
      <c r="K85" t="s">
        <v>177</v>
      </c>
      <c r="L85" t="s">
        <v>87</v>
      </c>
      <c r="M85" t="s">
        <v>88</v>
      </c>
      <c r="N85">
        <v>182.5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381</v>
      </c>
      <c r="T85">
        <v>6</v>
      </c>
      <c r="U85" t="s">
        <v>89</v>
      </c>
    </row>
    <row r="86" spans="1:22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8659</v>
      </c>
      <c r="H86" t="s">
        <v>32</v>
      </c>
      <c r="I86">
        <v>1000008659</v>
      </c>
      <c r="J86">
        <v>28812362</v>
      </c>
      <c r="K86" t="s">
        <v>181</v>
      </c>
      <c r="L86" t="s">
        <v>87</v>
      </c>
      <c r="M86" t="s">
        <v>88</v>
      </c>
      <c r="N86">
        <v>388.5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382</v>
      </c>
      <c r="T86">
        <v>6</v>
      </c>
      <c r="U86" t="s">
        <v>89</v>
      </c>
    </row>
    <row r="87" spans="1:22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8659</v>
      </c>
      <c r="H87" t="s">
        <v>32</v>
      </c>
      <c r="I87">
        <v>1000008659</v>
      </c>
      <c r="J87">
        <v>28813330</v>
      </c>
      <c r="K87" t="s">
        <v>201</v>
      </c>
      <c r="L87" t="s">
        <v>87</v>
      </c>
      <c r="M87" t="s">
        <v>88</v>
      </c>
      <c r="N87">
        <v>140.5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383</v>
      </c>
      <c r="T87">
        <v>6</v>
      </c>
      <c r="U87" t="s">
        <v>89</v>
      </c>
    </row>
    <row r="88" spans="1:22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8659</v>
      </c>
      <c r="H88" t="s">
        <v>32</v>
      </c>
      <c r="I88">
        <v>1000008659</v>
      </c>
      <c r="J88">
        <v>28813756</v>
      </c>
      <c r="K88" t="s">
        <v>205</v>
      </c>
      <c r="L88" t="s">
        <v>87</v>
      </c>
      <c r="M88" t="s">
        <v>88</v>
      </c>
      <c r="N88">
        <v>48.5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384</v>
      </c>
      <c r="T88">
        <v>6</v>
      </c>
      <c r="U88" t="s">
        <v>89</v>
      </c>
    </row>
    <row r="89" spans="1:22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8659</v>
      </c>
      <c r="H89" t="s">
        <v>32</v>
      </c>
      <c r="I89">
        <v>1000008659</v>
      </c>
      <c r="J89">
        <v>28813950</v>
      </c>
      <c r="K89" t="s">
        <v>207</v>
      </c>
      <c r="L89" t="s">
        <v>87</v>
      </c>
      <c r="M89" t="s">
        <v>88</v>
      </c>
      <c r="N89">
        <v>57.5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385</v>
      </c>
      <c r="T89">
        <v>6</v>
      </c>
      <c r="U89" t="s">
        <v>89</v>
      </c>
    </row>
    <row r="90" spans="1:22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8659</v>
      </c>
      <c r="H90" t="s">
        <v>32</v>
      </c>
      <c r="I90">
        <v>1000008659</v>
      </c>
      <c r="J90">
        <v>28814459</v>
      </c>
      <c r="K90" t="s">
        <v>209</v>
      </c>
      <c r="L90" t="s">
        <v>87</v>
      </c>
      <c r="M90" t="s">
        <v>88</v>
      </c>
      <c r="N90">
        <v>224.5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386</v>
      </c>
      <c r="T90">
        <v>6</v>
      </c>
      <c r="U90" t="s">
        <v>89</v>
      </c>
    </row>
    <row r="91" spans="1:22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8659</v>
      </c>
      <c r="H91" t="s">
        <v>32</v>
      </c>
      <c r="I91">
        <v>1000008659</v>
      </c>
      <c r="J91">
        <v>28815054</v>
      </c>
      <c r="K91" t="s">
        <v>217</v>
      </c>
      <c r="L91" t="s">
        <v>87</v>
      </c>
      <c r="M91" t="s">
        <v>88</v>
      </c>
      <c r="N91">
        <v>339.5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387</v>
      </c>
      <c r="T91">
        <v>6</v>
      </c>
      <c r="U91" t="s">
        <v>89</v>
      </c>
    </row>
    <row r="92" spans="1:22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8659</v>
      </c>
      <c r="H92" t="s">
        <v>32</v>
      </c>
      <c r="I92">
        <v>1000008659</v>
      </c>
      <c r="J92">
        <v>28817244</v>
      </c>
      <c r="K92" t="s">
        <v>230</v>
      </c>
      <c r="L92" t="s">
        <v>87</v>
      </c>
      <c r="M92" t="s">
        <v>88</v>
      </c>
      <c r="N92">
        <v>43.5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388</v>
      </c>
      <c r="T92">
        <v>6</v>
      </c>
      <c r="U92" t="s">
        <v>89</v>
      </c>
    </row>
    <row r="93" spans="1:22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28817811</v>
      </c>
      <c r="K93" t="s">
        <v>239</v>
      </c>
      <c r="L93" t="s">
        <v>87</v>
      </c>
      <c r="M93" t="s">
        <v>88</v>
      </c>
      <c r="N93">
        <v>76.5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389</v>
      </c>
      <c r="T93">
        <v>6</v>
      </c>
      <c r="U93" t="s">
        <v>89</v>
      </c>
    </row>
    <row r="94" spans="1:22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28819115</v>
      </c>
      <c r="K94" t="s">
        <v>248</v>
      </c>
      <c r="L94" t="s">
        <v>87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390</v>
      </c>
      <c r="T94">
        <v>6</v>
      </c>
      <c r="U94" t="s">
        <v>89</v>
      </c>
    </row>
    <row r="95" spans="1:22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28820201</v>
      </c>
      <c r="K95" s="7" t="s">
        <v>266</v>
      </c>
      <c r="L95" s="7" t="s">
        <v>87</v>
      </c>
      <c r="M95" s="7" t="s">
        <v>88</v>
      </c>
      <c r="N95" s="7">
        <v>20.5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391</v>
      </c>
      <c r="T95" s="7">
        <v>6</v>
      </c>
      <c r="U95" s="7" t="s">
        <v>89</v>
      </c>
      <c r="V95" s="7"/>
    </row>
    <row r="96" spans="1:22" outlineLevel="1" x14ac:dyDescent="0.25">
      <c r="A96" s="7"/>
      <c r="B96" s="7"/>
      <c r="C96" s="7"/>
      <c r="D96" s="7"/>
      <c r="E96" s="7"/>
      <c r="F96" s="7"/>
      <c r="G96" s="7"/>
      <c r="H96" s="11" t="s">
        <v>539</v>
      </c>
      <c r="I96" s="7"/>
      <c r="J96" s="7"/>
      <c r="K96" s="7"/>
      <c r="L96" s="7"/>
      <c r="M96" s="7"/>
      <c r="N96" s="7">
        <f>SUBTOTAL(9,N77:N95)</f>
        <v>3149.5</v>
      </c>
      <c r="O96" s="7"/>
      <c r="P96" s="7"/>
      <c r="Q96" s="7"/>
      <c r="R96" s="7"/>
      <c r="S96" s="7"/>
      <c r="T96" s="7"/>
      <c r="U96" s="7"/>
      <c r="V96" s="7"/>
    </row>
    <row r="97" spans="1:21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8660</v>
      </c>
      <c r="H97" t="s">
        <v>35</v>
      </c>
      <c r="I97">
        <v>1000008660</v>
      </c>
      <c r="J97">
        <v>28808098</v>
      </c>
      <c r="K97" t="s">
        <v>107</v>
      </c>
      <c r="L97" t="s">
        <v>87</v>
      </c>
      <c r="M97" t="s">
        <v>88</v>
      </c>
      <c r="N97">
        <v>66.5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392</v>
      </c>
      <c r="T97">
        <v>6</v>
      </c>
      <c r="U97" t="s">
        <v>89</v>
      </c>
    </row>
    <row r="98" spans="1:21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8660</v>
      </c>
      <c r="H98" t="s">
        <v>35</v>
      </c>
      <c r="I98">
        <v>1000008660</v>
      </c>
      <c r="J98">
        <v>28809284</v>
      </c>
      <c r="K98" t="s">
        <v>134</v>
      </c>
      <c r="L98" t="s">
        <v>87</v>
      </c>
      <c r="M98" t="s">
        <v>88</v>
      </c>
      <c r="N98">
        <v>159.5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393</v>
      </c>
      <c r="T98">
        <v>6</v>
      </c>
      <c r="U98" t="s">
        <v>89</v>
      </c>
    </row>
    <row r="99" spans="1:21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8660</v>
      </c>
      <c r="H99" t="s">
        <v>35</v>
      </c>
      <c r="I99">
        <v>1000008660</v>
      </c>
      <c r="J99">
        <v>28818310</v>
      </c>
      <c r="K99" t="s">
        <v>241</v>
      </c>
      <c r="L99" t="s">
        <v>87</v>
      </c>
      <c r="M99" t="s">
        <v>88</v>
      </c>
      <c r="N99">
        <v>88.5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394</v>
      </c>
      <c r="T99">
        <v>6</v>
      </c>
      <c r="U99" t="s">
        <v>89</v>
      </c>
    </row>
    <row r="100" spans="1:21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8660</v>
      </c>
      <c r="H100" t="s">
        <v>35</v>
      </c>
      <c r="I100">
        <v>1000008660</v>
      </c>
      <c r="J100">
        <v>28819160</v>
      </c>
      <c r="K100" t="s">
        <v>250</v>
      </c>
      <c r="L100" t="s">
        <v>87</v>
      </c>
      <c r="M100" t="s">
        <v>88</v>
      </c>
      <c r="N100">
        <v>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395</v>
      </c>
      <c r="T100">
        <v>6</v>
      </c>
      <c r="U100" t="s">
        <v>89</v>
      </c>
    </row>
    <row r="101" spans="1:21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8660</v>
      </c>
      <c r="H101" t="s">
        <v>35</v>
      </c>
      <c r="I101">
        <v>1000008660</v>
      </c>
      <c r="J101">
        <v>28821286</v>
      </c>
      <c r="K101" t="s">
        <v>277</v>
      </c>
      <c r="L101" t="s">
        <v>87</v>
      </c>
      <c r="M101" t="s">
        <v>88</v>
      </c>
      <c r="N101">
        <v>56.5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396</v>
      </c>
      <c r="T101">
        <v>6</v>
      </c>
      <c r="U101" t="s">
        <v>89</v>
      </c>
    </row>
    <row r="102" spans="1:21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8660</v>
      </c>
      <c r="H102" t="s">
        <v>35</v>
      </c>
      <c r="I102">
        <v>1000008660</v>
      </c>
      <c r="J102">
        <v>28822784</v>
      </c>
      <c r="K102" t="s">
        <v>291</v>
      </c>
      <c r="L102" t="s">
        <v>87</v>
      </c>
      <c r="M102" t="s">
        <v>88</v>
      </c>
      <c r="N102">
        <v>85.5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397</v>
      </c>
      <c r="T102">
        <v>6</v>
      </c>
      <c r="U102" t="s">
        <v>89</v>
      </c>
    </row>
    <row r="103" spans="1:21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8660</v>
      </c>
      <c r="H103" t="s">
        <v>35</v>
      </c>
      <c r="I103">
        <v>1000008660</v>
      </c>
      <c r="J103">
        <v>28822813</v>
      </c>
      <c r="K103" t="s">
        <v>294</v>
      </c>
      <c r="L103" t="s">
        <v>87</v>
      </c>
      <c r="M103" t="s">
        <v>88</v>
      </c>
      <c r="N103">
        <v>74.5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398</v>
      </c>
      <c r="T103">
        <v>6</v>
      </c>
      <c r="U103" t="s">
        <v>89</v>
      </c>
    </row>
    <row r="104" spans="1:21" outlineLevel="1" x14ac:dyDescent="0.25">
      <c r="H104" s="9" t="s">
        <v>540</v>
      </c>
      <c r="N104">
        <f>SUBTOTAL(9,N97:N103)</f>
        <v>616.5</v>
      </c>
    </row>
    <row r="105" spans="1:21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8661</v>
      </c>
      <c r="H105" t="s">
        <v>39</v>
      </c>
      <c r="I105">
        <v>1000008661</v>
      </c>
      <c r="J105">
        <v>28807350</v>
      </c>
      <c r="K105" t="s">
        <v>91</v>
      </c>
      <c r="L105" t="s">
        <v>87</v>
      </c>
      <c r="M105" t="s">
        <v>88</v>
      </c>
      <c r="N105">
        <v>78.5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399</v>
      </c>
      <c r="T105">
        <v>6</v>
      </c>
      <c r="U105" t="s">
        <v>89</v>
      </c>
    </row>
    <row r="106" spans="1:21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8661</v>
      </c>
      <c r="H106" t="s">
        <v>39</v>
      </c>
      <c r="I106">
        <v>1000008661</v>
      </c>
      <c r="J106">
        <v>28807498</v>
      </c>
      <c r="K106" t="s">
        <v>95</v>
      </c>
      <c r="L106" t="s">
        <v>87</v>
      </c>
      <c r="M106" t="s">
        <v>88</v>
      </c>
      <c r="N106">
        <v>129.5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400</v>
      </c>
      <c r="T106">
        <v>6</v>
      </c>
      <c r="U106" t="s">
        <v>89</v>
      </c>
    </row>
    <row r="107" spans="1:21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8661</v>
      </c>
      <c r="H107" t="s">
        <v>39</v>
      </c>
      <c r="I107">
        <v>1000008661</v>
      </c>
      <c r="J107">
        <v>28807639</v>
      </c>
      <c r="K107" t="s">
        <v>99</v>
      </c>
      <c r="L107" t="s">
        <v>87</v>
      </c>
      <c r="M107" t="s">
        <v>88</v>
      </c>
      <c r="N107">
        <v>132.5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401</v>
      </c>
      <c r="T107">
        <v>6</v>
      </c>
      <c r="U107" t="s">
        <v>89</v>
      </c>
    </row>
    <row r="108" spans="1:21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8661</v>
      </c>
      <c r="H108" t="s">
        <v>39</v>
      </c>
      <c r="I108">
        <v>1000008661</v>
      </c>
      <c r="J108">
        <v>28808105</v>
      </c>
      <c r="K108" t="s">
        <v>108</v>
      </c>
      <c r="L108" t="s">
        <v>87</v>
      </c>
      <c r="M108" t="s">
        <v>88</v>
      </c>
      <c r="N108">
        <v>178.5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402</v>
      </c>
      <c r="T108">
        <v>6</v>
      </c>
      <c r="U108" t="s">
        <v>89</v>
      </c>
    </row>
    <row r="109" spans="1:21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8661</v>
      </c>
      <c r="H109" t="s">
        <v>39</v>
      </c>
      <c r="I109">
        <v>1000008661</v>
      </c>
      <c r="J109">
        <v>28811639</v>
      </c>
      <c r="K109" t="s">
        <v>175</v>
      </c>
      <c r="L109" t="s">
        <v>87</v>
      </c>
      <c r="M109" t="s">
        <v>88</v>
      </c>
      <c r="N109">
        <v>428.5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403</v>
      </c>
      <c r="T109">
        <v>6</v>
      </c>
      <c r="U109" t="s">
        <v>89</v>
      </c>
    </row>
    <row r="110" spans="1:21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8661</v>
      </c>
      <c r="H110" t="s">
        <v>39</v>
      </c>
      <c r="I110">
        <v>1000008661</v>
      </c>
      <c r="J110">
        <v>28812501</v>
      </c>
      <c r="K110" t="s">
        <v>183</v>
      </c>
      <c r="L110" t="s">
        <v>87</v>
      </c>
      <c r="M110" t="s">
        <v>88</v>
      </c>
      <c r="N110">
        <v>82.5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404</v>
      </c>
      <c r="T110">
        <v>6</v>
      </c>
      <c r="U110" t="s">
        <v>89</v>
      </c>
    </row>
    <row r="111" spans="1:21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8661</v>
      </c>
      <c r="H111" t="s">
        <v>39</v>
      </c>
      <c r="I111">
        <v>1000008661</v>
      </c>
      <c r="J111">
        <v>28813104</v>
      </c>
      <c r="K111" t="s">
        <v>197</v>
      </c>
      <c r="L111" t="s">
        <v>87</v>
      </c>
      <c r="M111" t="s">
        <v>88</v>
      </c>
      <c r="N111">
        <v>420.5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405</v>
      </c>
      <c r="T111">
        <v>6</v>
      </c>
      <c r="U111" t="s">
        <v>89</v>
      </c>
    </row>
    <row r="112" spans="1:21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8661</v>
      </c>
      <c r="H112" t="s">
        <v>39</v>
      </c>
      <c r="I112">
        <v>1000008661</v>
      </c>
      <c r="J112">
        <v>28813663</v>
      </c>
      <c r="K112" t="s">
        <v>203</v>
      </c>
      <c r="L112" t="s">
        <v>87</v>
      </c>
      <c r="M112" t="s">
        <v>88</v>
      </c>
      <c r="N112">
        <v>150.5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406</v>
      </c>
      <c r="T112">
        <v>6</v>
      </c>
      <c r="U112" t="s">
        <v>89</v>
      </c>
    </row>
    <row r="113" spans="1:21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8661</v>
      </c>
      <c r="H113" t="s">
        <v>39</v>
      </c>
      <c r="I113">
        <v>1000008661</v>
      </c>
      <c r="J113">
        <v>28814518</v>
      </c>
      <c r="K113" t="s">
        <v>210</v>
      </c>
      <c r="L113" t="s">
        <v>87</v>
      </c>
      <c r="M113" t="s">
        <v>88</v>
      </c>
      <c r="N113">
        <v>90.5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407</v>
      </c>
      <c r="T113">
        <v>6</v>
      </c>
      <c r="U113" t="s">
        <v>89</v>
      </c>
    </row>
    <row r="114" spans="1:21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8661</v>
      </c>
      <c r="H114" t="s">
        <v>39</v>
      </c>
      <c r="I114">
        <v>1000008661</v>
      </c>
      <c r="J114">
        <v>28817307</v>
      </c>
      <c r="K114" t="s">
        <v>231</v>
      </c>
      <c r="L114" t="s">
        <v>87</v>
      </c>
      <c r="M114" t="s">
        <v>88</v>
      </c>
      <c r="N114">
        <v>150.5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408</v>
      </c>
      <c r="T114">
        <v>6</v>
      </c>
      <c r="U114" t="s">
        <v>89</v>
      </c>
    </row>
    <row r="115" spans="1:21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8661</v>
      </c>
      <c r="H115" t="s">
        <v>39</v>
      </c>
      <c r="I115">
        <v>1000008661</v>
      </c>
      <c r="J115">
        <v>28819899</v>
      </c>
      <c r="K115" t="s">
        <v>264</v>
      </c>
      <c r="L115" t="s">
        <v>87</v>
      </c>
      <c r="M115" t="s">
        <v>88</v>
      </c>
      <c r="N115">
        <v>163.5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409</v>
      </c>
      <c r="T115">
        <v>6</v>
      </c>
      <c r="U115" t="s">
        <v>89</v>
      </c>
    </row>
    <row r="116" spans="1:21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8661</v>
      </c>
      <c r="H116" t="s">
        <v>39</v>
      </c>
      <c r="I116">
        <v>1000008661</v>
      </c>
      <c r="J116">
        <v>28819966</v>
      </c>
      <c r="K116" t="s">
        <v>265</v>
      </c>
      <c r="L116" t="s">
        <v>87</v>
      </c>
      <c r="M116" t="s">
        <v>88</v>
      </c>
      <c r="N116">
        <v>114.5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410</v>
      </c>
      <c r="T116">
        <v>6</v>
      </c>
      <c r="U116" t="s">
        <v>89</v>
      </c>
    </row>
    <row r="117" spans="1:21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8661</v>
      </c>
      <c r="H117" t="s">
        <v>39</v>
      </c>
      <c r="I117">
        <v>1000008661</v>
      </c>
      <c r="J117">
        <v>28821215</v>
      </c>
      <c r="K117" t="s">
        <v>275</v>
      </c>
      <c r="L117" t="s">
        <v>87</v>
      </c>
      <c r="M117" t="s">
        <v>88</v>
      </c>
      <c r="N117">
        <v>149.5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411</v>
      </c>
      <c r="T117">
        <v>6</v>
      </c>
      <c r="U117" t="s">
        <v>89</v>
      </c>
    </row>
    <row r="118" spans="1:21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8661</v>
      </c>
      <c r="H118" t="s">
        <v>39</v>
      </c>
      <c r="I118">
        <v>1000008661</v>
      </c>
      <c r="J118">
        <v>28822923</v>
      </c>
      <c r="K118" t="s">
        <v>297</v>
      </c>
      <c r="L118" t="s">
        <v>87</v>
      </c>
      <c r="M118" t="s">
        <v>88</v>
      </c>
      <c r="N118">
        <v>126.5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412</v>
      </c>
      <c r="T118">
        <v>6</v>
      </c>
      <c r="U118" t="s">
        <v>89</v>
      </c>
    </row>
    <row r="119" spans="1:21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8661</v>
      </c>
      <c r="H119" t="s">
        <v>39</v>
      </c>
      <c r="I119">
        <v>1000008661</v>
      </c>
      <c r="J119">
        <v>28824469</v>
      </c>
      <c r="K119" t="s">
        <v>309</v>
      </c>
      <c r="L119" t="s">
        <v>87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413</v>
      </c>
      <c r="T119">
        <v>6</v>
      </c>
      <c r="U119" t="s">
        <v>89</v>
      </c>
    </row>
    <row r="120" spans="1:21" outlineLevel="1" x14ac:dyDescent="0.25">
      <c r="H120" s="9" t="s">
        <v>541</v>
      </c>
      <c r="N120">
        <f>SUBTOTAL(9,N105:N119)</f>
        <v>2512.5</v>
      </c>
    </row>
    <row r="121" spans="1:21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8662</v>
      </c>
      <c r="H121" t="s">
        <v>36</v>
      </c>
      <c r="I121">
        <v>1000008662</v>
      </c>
      <c r="J121">
        <v>28807352</v>
      </c>
      <c r="K121" t="s">
        <v>92</v>
      </c>
      <c r="L121" t="s">
        <v>87</v>
      </c>
      <c r="M121" t="s">
        <v>88</v>
      </c>
      <c r="N121">
        <v>130.5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414</v>
      </c>
      <c r="T121">
        <v>6</v>
      </c>
      <c r="U121" t="s">
        <v>89</v>
      </c>
    </row>
    <row r="122" spans="1:21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8662</v>
      </c>
      <c r="H122" t="s">
        <v>36</v>
      </c>
      <c r="I122">
        <v>1000008662</v>
      </c>
      <c r="J122">
        <v>28807531</v>
      </c>
      <c r="K122" t="s">
        <v>96</v>
      </c>
      <c r="L122" t="s">
        <v>87</v>
      </c>
      <c r="M122" t="s">
        <v>88</v>
      </c>
      <c r="N122">
        <v>132.5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415</v>
      </c>
      <c r="T122">
        <v>6</v>
      </c>
      <c r="U122" t="s">
        <v>89</v>
      </c>
    </row>
    <row r="123" spans="1:21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8662</v>
      </c>
      <c r="H123" t="s">
        <v>36</v>
      </c>
      <c r="I123">
        <v>1000008662</v>
      </c>
      <c r="J123">
        <v>28807666</v>
      </c>
      <c r="K123" t="s">
        <v>101</v>
      </c>
      <c r="L123" t="s">
        <v>87</v>
      </c>
      <c r="M123" t="s">
        <v>88</v>
      </c>
      <c r="N123">
        <v>2154.5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416</v>
      </c>
      <c r="T123">
        <v>6</v>
      </c>
      <c r="U123" t="s">
        <v>89</v>
      </c>
    </row>
    <row r="124" spans="1:21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8662</v>
      </c>
      <c r="H124" t="s">
        <v>36</v>
      </c>
      <c r="I124">
        <v>1000008662</v>
      </c>
      <c r="J124">
        <v>28807718</v>
      </c>
      <c r="K124" t="s">
        <v>102</v>
      </c>
      <c r="L124" t="s">
        <v>87</v>
      </c>
      <c r="M124" t="s">
        <v>88</v>
      </c>
      <c r="N124">
        <v>154.5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417</v>
      </c>
      <c r="T124">
        <v>6</v>
      </c>
      <c r="U124" t="s">
        <v>89</v>
      </c>
    </row>
    <row r="125" spans="1:21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8662</v>
      </c>
      <c r="H125" t="s">
        <v>36</v>
      </c>
      <c r="I125">
        <v>1000008662</v>
      </c>
      <c r="J125">
        <v>28807976</v>
      </c>
      <c r="K125" t="s">
        <v>104</v>
      </c>
      <c r="L125" t="s">
        <v>87</v>
      </c>
      <c r="M125" t="s">
        <v>88</v>
      </c>
      <c r="N125">
        <v>111.5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418</v>
      </c>
      <c r="T125">
        <v>6</v>
      </c>
      <c r="U125" t="s">
        <v>89</v>
      </c>
    </row>
    <row r="126" spans="1:21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8662</v>
      </c>
      <c r="H126" t="s">
        <v>36</v>
      </c>
      <c r="I126">
        <v>1000008662</v>
      </c>
      <c r="J126">
        <v>28808242</v>
      </c>
      <c r="K126" t="s">
        <v>111</v>
      </c>
      <c r="L126" t="s">
        <v>87</v>
      </c>
      <c r="M126" t="s">
        <v>88</v>
      </c>
      <c r="N126">
        <v>78.5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419</v>
      </c>
      <c r="T126">
        <v>6</v>
      </c>
      <c r="U126" t="s">
        <v>89</v>
      </c>
    </row>
    <row r="127" spans="1:21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8662</v>
      </c>
      <c r="H127" t="s">
        <v>36</v>
      </c>
      <c r="I127">
        <v>1000008662</v>
      </c>
      <c r="J127">
        <v>28808376</v>
      </c>
      <c r="K127" t="s">
        <v>114</v>
      </c>
      <c r="L127" t="s">
        <v>87</v>
      </c>
      <c r="M127" t="s">
        <v>88</v>
      </c>
      <c r="N127">
        <v>1206.5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420</v>
      </c>
      <c r="T127">
        <v>6</v>
      </c>
      <c r="U127" t="s">
        <v>89</v>
      </c>
    </row>
    <row r="128" spans="1:21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8662</v>
      </c>
      <c r="H128" t="s">
        <v>36</v>
      </c>
      <c r="I128">
        <v>1000008662</v>
      </c>
      <c r="J128">
        <v>28808705</v>
      </c>
      <c r="K128" t="s">
        <v>122</v>
      </c>
      <c r="L128" t="s">
        <v>87</v>
      </c>
      <c r="M128" t="s">
        <v>88</v>
      </c>
      <c r="N128">
        <v>180.5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421</v>
      </c>
      <c r="T128">
        <v>6</v>
      </c>
      <c r="U128" t="s">
        <v>89</v>
      </c>
    </row>
    <row r="129" spans="1:22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8662</v>
      </c>
      <c r="H129" t="s">
        <v>36</v>
      </c>
      <c r="I129">
        <v>1000008662</v>
      </c>
      <c r="J129">
        <v>28808848</v>
      </c>
      <c r="K129" t="s">
        <v>129</v>
      </c>
      <c r="L129" t="s">
        <v>87</v>
      </c>
      <c r="M129" t="s">
        <v>88</v>
      </c>
      <c r="N129">
        <v>127.5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422</v>
      </c>
      <c r="T129">
        <v>6</v>
      </c>
      <c r="U129" t="s">
        <v>89</v>
      </c>
    </row>
    <row r="130" spans="1:22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8662</v>
      </c>
      <c r="H130" t="s">
        <v>36</v>
      </c>
      <c r="I130">
        <v>1000008662</v>
      </c>
      <c r="J130">
        <v>28809642</v>
      </c>
      <c r="K130" t="s">
        <v>140</v>
      </c>
      <c r="L130" t="s">
        <v>87</v>
      </c>
      <c r="M130" t="s">
        <v>88</v>
      </c>
      <c r="N130">
        <v>113.5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423</v>
      </c>
      <c r="T130">
        <v>6</v>
      </c>
      <c r="U130" t="s">
        <v>89</v>
      </c>
    </row>
    <row r="131" spans="1:22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8662</v>
      </c>
      <c r="H131" t="s">
        <v>36</v>
      </c>
      <c r="I131">
        <v>1000008662</v>
      </c>
      <c r="J131">
        <v>28809952</v>
      </c>
      <c r="K131" t="s">
        <v>145</v>
      </c>
      <c r="L131" t="s">
        <v>87</v>
      </c>
      <c r="M131" t="s">
        <v>88</v>
      </c>
      <c r="N131">
        <v>142.5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424</v>
      </c>
      <c r="T131">
        <v>6</v>
      </c>
      <c r="U131" t="s">
        <v>89</v>
      </c>
    </row>
    <row r="132" spans="1:22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8662</v>
      </c>
      <c r="H132" t="s">
        <v>36</v>
      </c>
      <c r="I132">
        <v>1000008662</v>
      </c>
      <c r="J132">
        <v>28810316</v>
      </c>
      <c r="K132" t="s">
        <v>154</v>
      </c>
      <c r="L132" t="s">
        <v>87</v>
      </c>
      <c r="M132" t="s">
        <v>88</v>
      </c>
      <c r="N132">
        <v>109.5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425</v>
      </c>
      <c r="T132">
        <v>6</v>
      </c>
      <c r="U132" t="s">
        <v>89</v>
      </c>
    </row>
    <row r="133" spans="1:22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8662</v>
      </c>
      <c r="H133" t="s">
        <v>36</v>
      </c>
      <c r="I133">
        <v>1000008662</v>
      </c>
      <c r="J133">
        <v>28811089</v>
      </c>
      <c r="K133" t="s">
        <v>165</v>
      </c>
      <c r="L133" t="s">
        <v>87</v>
      </c>
      <c r="M133" t="s">
        <v>88</v>
      </c>
      <c r="N133">
        <v>147.5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426</v>
      </c>
      <c r="T133">
        <v>6</v>
      </c>
      <c r="U133" t="s">
        <v>89</v>
      </c>
    </row>
    <row r="134" spans="1:22" outlineLevel="2" x14ac:dyDescent="0.25">
      <c r="A134" s="8" t="s">
        <v>82</v>
      </c>
      <c r="B134" s="8" t="s">
        <v>83</v>
      </c>
      <c r="C134" s="8">
        <v>30</v>
      </c>
      <c r="D134" s="8" t="s">
        <v>84</v>
      </c>
      <c r="E134" s="8">
        <v>184</v>
      </c>
      <c r="F134" s="8" t="s">
        <v>85</v>
      </c>
      <c r="G134" s="8">
        <v>8662</v>
      </c>
      <c r="H134" s="8" t="s">
        <v>36</v>
      </c>
      <c r="I134" s="8">
        <v>1000008662</v>
      </c>
      <c r="J134" s="8">
        <v>28811526</v>
      </c>
      <c r="K134" s="8" t="s">
        <v>172</v>
      </c>
      <c r="L134" s="8" t="s">
        <v>87</v>
      </c>
      <c r="M134" s="8" t="s">
        <v>88</v>
      </c>
      <c r="N134" s="8">
        <v>494.5</v>
      </c>
      <c r="O134" s="8">
        <v>14.22</v>
      </c>
      <c r="P134" s="8">
        <v>2.2799999999999998</v>
      </c>
      <c r="Q134" s="8">
        <v>4.2561999999999998</v>
      </c>
      <c r="R134" s="8">
        <v>0.68100000000000005</v>
      </c>
      <c r="S134" s="8" t="s">
        <v>528</v>
      </c>
      <c r="T134" s="8">
        <v>6</v>
      </c>
      <c r="U134" s="8" t="s">
        <v>89</v>
      </c>
      <c r="V134" s="8"/>
    </row>
    <row r="135" spans="1:22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8662</v>
      </c>
      <c r="H135" t="s">
        <v>36</v>
      </c>
      <c r="I135">
        <v>1000008662</v>
      </c>
      <c r="J135">
        <v>28811610</v>
      </c>
      <c r="K135" t="s">
        <v>173</v>
      </c>
      <c r="L135" t="s">
        <v>87</v>
      </c>
      <c r="M135" t="s">
        <v>88</v>
      </c>
      <c r="N135">
        <v>488.5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427</v>
      </c>
      <c r="T135">
        <v>6</v>
      </c>
      <c r="U135" t="s">
        <v>89</v>
      </c>
    </row>
    <row r="136" spans="1:22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8662</v>
      </c>
      <c r="H136" t="s">
        <v>36</v>
      </c>
      <c r="I136">
        <v>1000008662</v>
      </c>
      <c r="J136">
        <v>28812774</v>
      </c>
      <c r="K136" t="s">
        <v>190</v>
      </c>
      <c r="L136" t="s">
        <v>87</v>
      </c>
      <c r="M136" t="s">
        <v>88</v>
      </c>
      <c r="N136">
        <v>177.5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428</v>
      </c>
      <c r="T136">
        <v>6</v>
      </c>
      <c r="U136" t="s">
        <v>89</v>
      </c>
    </row>
    <row r="137" spans="1:22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8662</v>
      </c>
      <c r="H137" t="s">
        <v>36</v>
      </c>
      <c r="I137">
        <v>1000008662</v>
      </c>
      <c r="J137">
        <v>28812828</v>
      </c>
      <c r="K137" t="s">
        <v>191</v>
      </c>
      <c r="L137" t="s">
        <v>87</v>
      </c>
      <c r="M137" t="s">
        <v>88</v>
      </c>
      <c r="N137">
        <v>159.5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429</v>
      </c>
      <c r="T137">
        <v>6</v>
      </c>
      <c r="U137" t="s">
        <v>89</v>
      </c>
    </row>
    <row r="138" spans="1:22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8662</v>
      </c>
      <c r="H138" t="s">
        <v>36</v>
      </c>
      <c r="I138">
        <v>1000008662</v>
      </c>
      <c r="J138">
        <v>28813984</v>
      </c>
      <c r="K138" t="s">
        <v>208</v>
      </c>
      <c r="L138" t="s">
        <v>87</v>
      </c>
      <c r="M138" t="s">
        <v>88</v>
      </c>
      <c r="N138">
        <v>328.5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430</v>
      </c>
      <c r="T138">
        <v>6</v>
      </c>
      <c r="U138" t="s">
        <v>89</v>
      </c>
    </row>
    <row r="139" spans="1:22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8662</v>
      </c>
      <c r="H139" t="s">
        <v>36</v>
      </c>
      <c r="I139">
        <v>1000008662</v>
      </c>
      <c r="J139">
        <v>28815174</v>
      </c>
      <c r="K139" t="s">
        <v>219</v>
      </c>
      <c r="L139" t="s">
        <v>87</v>
      </c>
      <c r="M139" t="s">
        <v>88</v>
      </c>
      <c r="N139">
        <v>44.5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431</v>
      </c>
      <c r="T139">
        <v>6</v>
      </c>
      <c r="U139" t="s">
        <v>89</v>
      </c>
    </row>
    <row r="140" spans="1:22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8662</v>
      </c>
      <c r="H140" t="s">
        <v>36</v>
      </c>
      <c r="I140">
        <v>1000008662</v>
      </c>
      <c r="J140">
        <v>28816038</v>
      </c>
      <c r="K140" t="s">
        <v>222</v>
      </c>
      <c r="L140" t="s">
        <v>87</v>
      </c>
      <c r="M140" t="s">
        <v>88</v>
      </c>
      <c r="N140">
        <v>91.5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432</v>
      </c>
      <c r="T140">
        <v>6</v>
      </c>
      <c r="U140" t="s">
        <v>89</v>
      </c>
    </row>
    <row r="141" spans="1:22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8662</v>
      </c>
      <c r="H141" t="s">
        <v>36</v>
      </c>
      <c r="I141">
        <v>1000008662</v>
      </c>
      <c r="J141">
        <v>28816181</v>
      </c>
      <c r="K141" t="s">
        <v>223</v>
      </c>
      <c r="L141" t="s">
        <v>87</v>
      </c>
      <c r="M141" t="s">
        <v>88</v>
      </c>
      <c r="N141">
        <v>143.5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433</v>
      </c>
      <c r="T141">
        <v>6</v>
      </c>
      <c r="U141" t="s">
        <v>89</v>
      </c>
    </row>
    <row r="142" spans="1:22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8662</v>
      </c>
      <c r="H142" t="s">
        <v>36</v>
      </c>
      <c r="I142">
        <v>1000008662</v>
      </c>
      <c r="J142">
        <v>28817074</v>
      </c>
      <c r="K142" t="s">
        <v>228</v>
      </c>
      <c r="L142" t="s">
        <v>87</v>
      </c>
      <c r="M142" t="s">
        <v>88</v>
      </c>
      <c r="N142">
        <v>184.5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434</v>
      </c>
      <c r="T142">
        <v>6</v>
      </c>
      <c r="U142" t="s">
        <v>89</v>
      </c>
    </row>
    <row r="143" spans="1:22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28817383</v>
      </c>
      <c r="K143" t="s">
        <v>232</v>
      </c>
      <c r="L143" t="s">
        <v>87</v>
      </c>
      <c r="M143" t="s">
        <v>88</v>
      </c>
      <c r="N143">
        <v>94.5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435</v>
      </c>
      <c r="T143">
        <v>6</v>
      </c>
      <c r="U143" t="s">
        <v>89</v>
      </c>
    </row>
    <row r="144" spans="1:22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28817447</v>
      </c>
      <c r="K144" t="s">
        <v>233</v>
      </c>
      <c r="L144" t="s">
        <v>87</v>
      </c>
      <c r="M144" t="s">
        <v>88</v>
      </c>
      <c r="N144">
        <v>137.5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436</v>
      </c>
      <c r="T144">
        <v>6</v>
      </c>
      <c r="U144" t="s">
        <v>89</v>
      </c>
    </row>
    <row r="145" spans="1:22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28818331</v>
      </c>
      <c r="K145" t="s">
        <v>242</v>
      </c>
      <c r="L145" t="s">
        <v>87</v>
      </c>
      <c r="M145" t="s">
        <v>88</v>
      </c>
      <c r="N145">
        <v>54.5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437</v>
      </c>
      <c r="T145">
        <v>6</v>
      </c>
      <c r="U145" t="s">
        <v>89</v>
      </c>
    </row>
    <row r="146" spans="1:22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28819361</v>
      </c>
      <c r="K146" t="s">
        <v>254</v>
      </c>
      <c r="L146" t="s">
        <v>87</v>
      </c>
      <c r="M146" t="s">
        <v>88</v>
      </c>
      <c r="N146">
        <v>171.5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438</v>
      </c>
      <c r="T146">
        <v>6</v>
      </c>
      <c r="U146" t="s">
        <v>89</v>
      </c>
    </row>
    <row r="147" spans="1:22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28821248</v>
      </c>
      <c r="K147" t="s">
        <v>276</v>
      </c>
      <c r="L147" t="s">
        <v>87</v>
      </c>
      <c r="M147" t="s">
        <v>88</v>
      </c>
      <c r="N147">
        <v>638.5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439</v>
      </c>
      <c r="T147">
        <v>6</v>
      </c>
      <c r="U147" t="s">
        <v>89</v>
      </c>
    </row>
    <row r="148" spans="1:22" outlineLevel="2" x14ac:dyDescent="0.25">
      <c r="A148" s="7" t="s">
        <v>82</v>
      </c>
      <c r="B148" s="7" t="s">
        <v>83</v>
      </c>
      <c r="C148" s="7">
        <v>30</v>
      </c>
      <c r="D148" s="7" t="s">
        <v>84</v>
      </c>
      <c r="E148" s="7">
        <v>184</v>
      </c>
      <c r="F148" s="7" t="s">
        <v>85</v>
      </c>
      <c r="G148" s="7">
        <v>8662</v>
      </c>
      <c r="H148" s="7" t="s">
        <v>36</v>
      </c>
      <c r="I148" s="7">
        <v>1000008662</v>
      </c>
      <c r="J148" s="7">
        <v>28822394</v>
      </c>
      <c r="K148" s="7" t="s">
        <v>287</v>
      </c>
      <c r="L148" s="7" t="s">
        <v>87</v>
      </c>
      <c r="M148" s="7" t="s">
        <v>88</v>
      </c>
      <c r="N148" s="7">
        <v>143.5</v>
      </c>
      <c r="O148" s="7">
        <v>14.22</v>
      </c>
      <c r="P148" s="7">
        <v>2.2799999999999998</v>
      </c>
      <c r="Q148" s="7">
        <v>4.2561999999999998</v>
      </c>
      <c r="R148" s="7">
        <v>0.68100000000000005</v>
      </c>
      <c r="S148" s="7" t="s">
        <v>440</v>
      </c>
      <c r="T148" s="7">
        <v>6</v>
      </c>
      <c r="U148" s="7" t="s">
        <v>89</v>
      </c>
      <c r="V148" s="7"/>
    </row>
    <row r="149" spans="1:22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28824142</v>
      </c>
      <c r="K149" t="s">
        <v>305</v>
      </c>
      <c r="L149" t="s">
        <v>87</v>
      </c>
      <c r="M149" t="s">
        <v>88</v>
      </c>
      <c r="N149">
        <v>46.5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441</v>
      </c>
      <c r="T149">
        <v>6</v>
      </c>
      <c r="U149" t="s">
        <v>89</v>
      </c>
    </row>
    <row r="150" spans="1:22" outlineLevel="1" x14ac:dyDescent="0.25">
      <c r="H150" s="9" t="s">
        <v>542</v>
      </c>
      <c r="N150">
        <f>SUBTOTAL(9,N121:N149)</f>
        <v>8188.5</v>
      </c>
    </row>
    <row r="151" spans="1:22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8663</v>
      </c>
      <c r="H151" t="s">
        <v>42</v>
      </c>
      <c r="I151">
        <v>1000008663</v>
      </c>
      <c r="J151">
        <v>28808421</v>
      </c>
      <c r="K151" t="s">
        <v>115</v>
      </c>
      <c r="L151" t="s">
        <v>87</v>
      </c>
      <c r="M151" t="s">
        <v>88</v>
      </c>
      <c r="N151">
        <v>109.5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442</v>
      </c>
      <c r="T151">
        <v>6</v>
      </c>
      <c r="U151" t="s">
        <v>89</v>
      </c>
    </row>
    <row r="152" spans="1:22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8663</v>
      </c>
      <c r="H152" t="s">
        <v>42</v>
      </c>
      <c r="I152">
        <v>1000008663</v>
      </c>
      <c r="J152">
        <v>28811628</v>
      </c>
      <c r="K152" t="s">
        <v>174</v>
      </c>
      <c r="L152" t="s">
        <v>87</v>
      </c>
      <c r="M152" t="s">
        <v>88</v>
      </c>
      <c r="N152">
        <v>1187.5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443</v>
      </c>
      <c r="T152">
        <v>6</v>
      </c>
      <c r="U152" t="s">
        <v>89</v>
      </c>
    </row>
    <row r="153" spans="1:22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8663</v>
      </c>
      <c r="H153" t="s">
        <v>42</v>
      </c>
      <c r="I153">
        <v>1000008663</v>
      </c>
      <c r="J153">
        <v>28811694</v>
      </c>
      <c r="K153" t="s">
        <v>176</v>
      </c>
      <c r="L153" t="s">
        <v>87</v>
      </c>
      <c r="M153" t="s">
        <v>88</v>
      </c>
      <c r="N153">
        <v>105.5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444</v>
      </c>
      <c r="T153">
        <v>6</v>
      </c>
      <c r="U153" t="s">
        <v>89</v>
      </c>
    </row>
    <row r="154" spans="1:22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8663</v>
      </c>
      <c r="H154" t="s">
        <v>42</v>
      </c>
      <c r="I154">
        <v>1000008663</v>
      </c>
      <c r="J154">
        <v>28813173</v>
      </c>
      <c r="K154" t="s">
        <v>198</v>
      </c>
      <c r="L154" t="s">
        <v>87</v>
      </c>
      <c r="M154" t="s">
        <v>88</v>
      </c>
      <c r="N154">
        <v>291.5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445</v>
      </c>
      <c r="T154">
        <v>6</v>
      </c>
      <c r="U154" t="s">
        <v>89</v>
      </c>
    </row>
    <row r="155" spans="1:22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8663</v>
      </c>
      <c r="H155" t="s">
        <v>42</v>
      </c>
      <c r="I155">
        <v>1000008663</v>
      </c>
      <c r="J155">
        <v>28814969</v>
      </c>
      <c r="K155" t="s">
        <v>214</v>
      </c>
      <c r="L155" t="s">
        <v>87</v>
      </c>
      <c r="M155" t="s">
        <v>88</v>
      </c>
      <c r="N155">
        <v>174.5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446</v>
      </c>
      <c r="T155">
        <v>6</v>
      </c>
      <c r="U155" t="s">
        <v>89</v>
      </c>
    </row>
    <row r="156" spans="1:22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8663</v>
      </c>
      <c r="H156" t="s">
        <v>42</v>
      </c>
      <c r="I156">
        <v>1000008663</v>
      </c>
      <c r="J156">
        <v>28815742</v>
      </c>
      <c r="K156" t="s">
        <v>221</v>
      </c>
      <c r="L156" t="s">
        <v>87</v>
      </c>
      <c r="M156" t="s">
        <v>88</v>
      </c>
      <c r="N156">
        <v>86.5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447</v>
      </c>
      <c r="T156">
        <v>6</v>
      </c>
      <c r="U156" t="s">
        <v>89</v>
      </c>
    </row>
    <row r="157" spans="1:22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8663</v>
      </c>
      <c r="H157" t="s">
        <v>42</v>
      </c>
      <c r="I157">
        <v>1000008663</v>
      </c>
      <c r="J157">
        <v>28816596</v>
      </c>
      <c r="K157" t="s">
        <v>226</v>
      </c>
      <c r="L157" t="s">
        <v>87</v>
      </c>
      <c r="M157" t="s">
        <v>88</v>
      </c>
      <c r="N157">
        <v>166.5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448</v>
      </c>
      <c r="T157">
        <v>6</v>
      </c>
      <c r="U157" t="s">
        <v>89</v>
      </c>
    </row>
    <row r="158" spans="1:22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8663</v>
      </c>
      <c r="H158" t="s">
        <v>42</v>
      </c>
      <c r="I158">
        <v>1000008663</v>
      </c>
      <c r="J158">
        <v>28818614</v>
      </c>
      <c r="K158" t="s">
        <v>243</v>
      </c>
      <c r="L158" t="s">
        <v>87</v>
      </c>
      <c r="M158" t="s">
        <v>88</v>
      </c>
      <c r="N158">
        <v>88.5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449</v>
      </c>
      <c r="T158">
        <v>6</v>
      </c>
      <c r="U158" t="s">
        <v>89</v>
      </c>
    </row>
    <row r="159" spans="1:22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8663</v>
      </c>
      <c r="H159" t="s">
        <v>42</v>
      </c>
      <c r="I159">
        <v>1000008663</v>
      </c>
      <c r="J159">
        <v>28818898</v>
      </c>
      <c r="K159" t="s">
        <v>247</v>
      </c>
      <c r="L159" t="s">
        <v>87</v>
      </c>
      <c r="M159" t="s">
        <v>88</v>
      </c>
      <c r="N159">
        <v>167.5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450</v>
      </c>
      <c r="T159">
        <v>6</v>
      </c>
      <c r="U159" t="s">
        <v>89</v>
      </c>
    </row>
    <row r="160" spans="1:22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8663</v>
      </c>
      <c r="H160" t="s">
        <v>42</v>
      </c>
      <c r="I160">
        <v>1000008663</v>
      </c>
      <c r="J160">
        <v>28819329</v>
      </c>
      <c r="K160" t="s">
        <v>251</v>
      </c>
      <c r="L160" t="s">
        <v>87</v>
      </c>
      <c r="M160" t="s">
        <v>88</v>
      </c>
      <c r="N160">
        <v>58.5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451</v>
      </c>
      <c r="T160">
        <v>6</v>
      </c>
      <c r="U160" t="s">
        <v>89</v>
      </c>
    </row>
    <row r="161" spans="1:22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8663</v>
      </c>
      <c r="H161" t="s">
        <v>42</v>
      </c>
      <c r="I161">
        <v>1000008663</v>
      </c>
      <c r="J161">
        <v>28819439</v>
      </c>
      <c r="K161" t="s">
        <v>256</v>
      </c>
      <c r="L161" t="s">
        <v>87</v>
      </c>
      <c r="M161" t="s">
        <v>88</v>
      </c>
      <c r="N161">
        <v>103.5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452</v>
      </c>
      <c r="T161">
        <v>6</v>
      </c>
      <c r="U161" t="s">
        <v>89</v>
      </c>
    </row>
    <row r="162" spans="1:22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8663</v>
      </c>
      <c r="H162" t="s">
        <v>42</v>
      </c>
      <c r="I162">
        <v>1000008663</v>
      </c>
      <c r="J162">
        <v>28819702</v>
      </c>
      <c r="K162" t="s">
        <v>261</v>
      </c>
      <c r="L162" t="s">
        <v>87</v>
      </c>
      <c r="M162" t="s">
        <v>88</v>
      </c>
      <c r="N162">
        <v>61.5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453</v>
      </c>
      <c r="T162">
        <v>6</v>
      </c>
      <c r="U162" t="s">
        <v>89</v>
      </c>
    </row>
    <row r="163" spans="1:22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8663</v>
      </c>
      <c r="H163" t="s">
        <v>42</v>
      </c>
      <c r="I163">
        <v>1000008663</v>
      </c>
      <c r="J163">
        <v>28820230</v>
      </c>
      <c r="K163" t="s">
        <v>267</v>
      </c>
      <c r="L163" t="s">
        <v>87</v>
      </c>
      <c r="M163" t="s">
        <v>88</v>
      </c>
      <c r="N163">
        <v>44.5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454</v>
      </c>
      <c r="T163">
        <v>6</v>
      </c>
      <c r="U163" t="s">
        <v>89</v>
      </c>
    </row>
    <row r="164" spans="1:22" outlineLevel="2" x14ac:dyDescent="0.25">
      <c r="A164" s="8" t="s">
        <v>82</v>
      </c>
      <c r="B164" s="8" t="s">
        <v>83</v>
      </c>
      <c r="C164" s="8">
        <v>30</v>
      </c>
      <c r="D164" s="8" t="s">
        <v>84</v>
      </c>
      <c r="E164" s="8">
        <v>184</v>
      </c>
      <c r="F164" s="8" t="s">
        <v>85</v>
      </c>
      <c r="G164" s="8">
        <v>8663</v>
      </c>
      <c r="H164" s="8" t="s">
        <v>42</v>
      </c>
      <c r="I164" s="8">
        <v>1000008663</v>
      </c>
      <c r="J164" s="8">
        <v>28821131</v>
      </c>
      <c r="K164" s="8" t="s">
        <v>274</v>
      </c>
      <c r="L164" s="8" t="s">
        <v>87</v>
      </c>
      <c r="M164" s="8" t="s">
        <v>88</v>
      </c>
      <c r="N164" s="8">
        <v>68.5</v>
      </c>
      <c r="O164" s="8">
        <v>14.22</v>
      </c>
      <c r="P164" s="8">
        <v>2.2799999999999998</v>
      </c>
      <c r="Q164" s="8">
        <v>4.2561999999999998</v>
      </c>
      <c r="R164" s="8">
        <v>0.68100000000000005</v>
      </c>
      <c r="S164" s="8" t="s">
        <v>529</v>
      </c>
      <c r="T164" s="8">
        <v>6</v>
      </c>
      <c r="U164" s="8" t="s">
        <v>89</v>
      </c>
      <c r="V164" s="8"/>
    </row>
    <row r="165" spans="1:22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8663</v>
      </c>
      <c r="H165" t="s">
        <v>42</v>
      </c>
      <c r="I165">
        <v>1000008663</v>
      </c>
      <c r="J165">
        <v>28822798</v>
      </c>
      <c r="K165" t="s">
        <v>292</v>
      </c>
      <c r="L165" t="s">
        <v>87</v>
      </c>
      <c r="M165" t="s">
        <v>88</v>
      </c>
      <c r="N165">
        <v>91.5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455</v>
      </c>
      <c r="T165">
        <v>6</v>
      </c>
      <c r="U165" t="s">
        <v>89</v>
      </c>
    </row>
    <row r="166" spans="1:22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8663</v>
      </c>
      <c r="H166" t="s">
        <v>42</v>
      </c>
      <c r="I166">
        <v>1000008663</v>
      </c>
      <c r="J166">
        <v>28822865</v>
      </c>
      <c r="K166" t="s">
        <v>295</v>
      </c>
      <c r="L166" t="s">
        <v>87</v>
      </c>
      <c r="M166" t="s">
        <v>88</v>
      </c>
      <c r="N166">
        <v>77.5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456</v>
      </c>
      <c r="T166">
        <v>6</v>
      </c>
      <c r="U166" t="s">
        <v>89</v>
      </c>
    </row>
    <row r="167" spans="1:22" outlineLevel="1" x14ac:dyDescent="0.25">
      <c r="H167" s="9" t="s">
        <v>543</v>
      </c>
      <c r="N167">
        <f>SUBTOTAL(9,N151:N166)</f>
        <v>2883</v>
      </c>
    </row>
    <row r="168" spans="1:22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8664</v>
      </c>
      <c r="H168" t="s">
        <v>27</v>
      </c>
      <c r="I168">
        <v>1000008664</v>
      </c>
      <c r="J168">
        <v>28807565</v>
      </c>
      <c r="K168" t="s">
        <v>97</v>
      </c>
      <c r="L168" t="s">
        <v>87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457</v>
      </c>
      <c r="T168">
        <v>6</v>
      </c>
      <c r="U168" t="s">
        <v>89</v>
      </c>
    </row>
    <row r="169" spans="1:22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8664</v>
      </c>
      <c r="H169" t="s">
        <v>27</v>
      </c>
      <c r="I169">
        <v>1000008664</v>
      </c>
      <c r="J169">
        <v>28808800</v>
      </c>
      <c r="K169" t="s">
        <v>126</v>
      </c>
      <c r="L169" t="s">
        <v>87</v>
      </c>
      <c r="M169" t="s">
        <v>88</v>
      </c>
      <c r="N169">
        <v>148.5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458</v>
      </c>
      <c r="T169">
        <v>6</v>
      </c>
      <c r="U169" t="s">
        <v>89</v>
      </c>
    </row>
    <row r="170" spans="1:22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8664</v>
      </c>
      <c r="H170" t="s">
        <v>27</v>
      </c>
      <c r="I170">
        <v>1000008664</v>
      </c>
      <c r="J170">
        <v>28809999</v>
      </c>
      <c r="K170" t="s">
        <v>148</v>
      </c>
      <c r="L170" t="s">
        <v>87</v>
      </c>
      <c r="M170" t="s">
        <v>88</v>
      </c>
      <c r="N170">
        <v>53.5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459</v>
      </c>
      <c r="T170">
        <v>6</v>
      </c>
      <c r="U170" t="s">
        <v>89</v>
      </c>
    </row>
    <row r="171" spans="1:22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8664</v>
      </c>
      <c r="H171" t="s">
        <v>27</v>
      </c>
      <c r="I171">
        <v>1000008664</v>
      </c>
      <c r="J171">
        <v>28810438</v>
      </c>
      <c r="K171" t="s">
        <v>156</v>
      </c>
      <c r="L171" t="s">
        <v>87</v>
      </c>
      <c r="M171" t="s">
        <v>88</v>
      </c>
      <c r="N171">
        <v>96.5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460</v>
      </c>
      <c r="T171">
        <v>6</v>
      </c>
      <c r="U171" t="s">
        <v>89</v>
      </c>
    </row>
    <row r="172" spans="1:22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8664</v>
      </c>
      <c r="H172" t="s">
        <v>27</v>
      </c>
      <c r="I172">
        <v>1000008664</v>
      </c>
      <c r="J172">
        <v>28812340</v>
      </c>
      <c r="K172" t="s">
        <v>180</v>
      </c>
      <c r="L172" t="s">
        <v>87</v>
      </c>
      <c r="M172" t="s">
        <v>88</v>
      </c>
      <c r="N172">
        <v>622.5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461</v>
      </c>
      <c r="T172">
        <v>6</v>
      </c>
      <c r="U172" t="s">
        <v>89</v>
      </c>
    </row>
    <row r="173" spans="1:22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8664</v>
      </c>
      <c r="H173" t="s">
        <v>27</v>
      </c>
      <c r="I173">
        <v>1000008664</v>
      </c>
      <c r="J173">
        <v>28812439</v>
      </c>
      <c r="K173" t="s">
        <v>182</v>
      </c>
      <c r="L173" t="s">
        <v>87</v>
      </c>
      <c r="M173" t="s">
        <v>88</v>
      </c>
      <c r="N173">
        <v>129.5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462</v>
      </c>
      <c r="T173">
        <v>6</v>
      </c>
      <c r="U173" t="s">
        <v>89</v>
      </c>
    </row>
    <row r="174" spans="1:22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8664</v>
      </c>
      <c r="H174" t="s">
        <v>27</v>
      </c>
      <c r="I174">
        <v>1000008664</v>
      </c>
      <c r="J174">
        <v>28812526</v>
      </c>
      <c r="K174" t="s">
        <v>184</v>
      </c>
      <c r="L174" t="s">
        <v>87</v>
      </c>
      <c r="M174" t="s">
        <v>88</v>
      </c>
      <c r="N174">
        <v>645.5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463</v>
      </c>
      <c r="T174">
        <v>6</v>
      </c>
      <c r="U174" t="s">
        <v>89</v>
      </c>
    </row>
    <row r="175" spans="1:22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8664</v>
      </c>
      <c r="H175" t="s">
        <v>27</v>
      </c>
      <c r="I175">
        <v>1000008664</v>
      </c>
      <c r="J175">
        <v>28812607</v>
      </c>
      <c r="K175" t="s">
        <v>185</v>
      </c>
      <c r="L175" t="s">
        <v>87</v>
      </c>
      <c r="M175" t="s">
        <v>88</v>
      </c>
      <c r="N175">
        <v>355.5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464</v>
      </c>
      <c r="T175">
        <v>6</v>
      </c>
      <c r="U175" t="s">
        <v>89</v>
      </c>
    </row>
    <row r="176" spans="1:22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8664</v>
      </c>
      <c r="H176" t="s">
        <v>27</v>
      </c>
      <c r="I176">
        <v>1000008664</v>
      </c>
      <c r="J176">
        <v>28812706</v>
      </c>
      <c r="K176" t="s">
        <v>189</v>
      </c>
      <c r="L176" t="s">
        <v>87</v>
      </c>
      <c r="M176" t="s">
        <v>88</v>
      </c>
      <c r="N176">
        <v>125.5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465</v>
      </c>
      <c r="T176">
        <v>6</v>
      </c>
      <c r="U176" t="s">
        <v>89</v>
      </c>
    </row>
    <row r="177" spans="1:21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8664</v>
      </c>
      <c r="H177" t="s">
        <v>27</v>
      </c>
      <c r="I177">
        <v>1000008664</v>
      </c>
      <c r="J177">
        <v>28812862</v>
      </c>
      <c r="K177" t="s">
        <v>192</v>
      </c>
      <c r="L177" t="s">
        <v>87</v>
      </c>
      <c r="M177" t="s">
        <v>88</v>
      </c>
      <c r="N177">
        <v>484.5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466</v>
      </c>
      <c r="T177">
        <v>6</v>
      </c>
      <c r="U177" t="s">
        <v>89</v>
      </c>
    </row>
    <row r="178" spans="1:21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8664</v>
      </c>
      <c r="H178" t="s">
        <v>27</v>
      </c>
      <c r="I178">
        <v>1000008664</v>
      </c>
      <c r="J178">
        <v>28812985</v>
      </c>
      <c r="K178" t="s">
        <v>193</v>
      </c>
      <c r="L178" t="s">
        <v>87</v>
      </c>
      <c r="M178" t="s">
        <v>88</v>
      </c>
      <c r="N178">
        <v>62.5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467</v>
      </c>
      <c r="T178">
        <v>6</v>
      </c>
      <c r="U178" t="s">
        <v>89</v>
      </c>
    </row>
    <row r="179" spans="1:21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8664</v>
      </c>
      <c r="H179" t="s">
        <v>27</v>
      </c>
      <c r="I179">
        <v>1000008664</v>
      </c>
      <c r="J179">
        <v>28815027</v>
      </c>
      <c r="K179" t="s">
        <v>216</v>
      </c>
      <c r="L179" t="s">
        <v>87</v>
      </c>
      <c r="M179" t="s">
        <v>88</v>
      </c>
      <c r="N179">
        <v>158.5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468</v>
      </c>
      <c r="T179">
        <v>6</v>
      </c>
      <c r="U179" t="s">
        <v>89</v>
      </c>
    </row>
    <row r="180" spans="1:21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8664</v>
      </c>
      <c r="H180" t="s">
        <v>27</v>
      </c>
      <c r="I180">
        <v>1000008664</v>
      </c>
      <c r="J180">
        <v>28815104</v>
      </c>
      <c r="K180" t="s">
        <v>218</v>
      </c>
      <c r="L180" t="s">
        <v>87</v>
      </c>
      <c r="M180" t="s">
        <v>88</v>
      </c>
      <c r="N180">
        <v>374.5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469</v>
      </c>
      <c r="T180">
        <v>6</v>
      </c>
      <c r="U180" t="s">
        <v>89</v>
      </c>
    </row>
    <row r="181" spans="1:21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8664</v>
      </c>
      <c r="H181" t="s">
        <v>27</v>
      </c>
      <c r="I181">
        <v>1000008664</v>
      </c>
      <c r="J181">
        <v>28815498</v>
      </c>
      <c r="K181" t="s">
        <v>220</v>
      </c>
      <c r="L181" t="s">
        <v>87</v>
      </c>
      <c r="M181" t="s">
        <v>88</v>
      </c>
      <c r="N181">
        <v>62.5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470</v>
      </c>
      <c r="T181">
        <v>6</v>
      </c>
      <c r="U181" t="s">
        <v>89</v>
      </c>
    </row>
    <row r="182" spans="1:21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8664</v>
      </c>
      <c r="H182" t="s">
        <v>27</v>
      </c>
      <c r="I182">
        <v>1000008664</v>
      </c>
      <c r="J182">
        <v>28817237</v>
      </c>
      <c r="K182" t="s">
        <v>229</v>
      </c>
      <c r="L182" t="s">
        <v>87</v>
      </c>
      <c r="M182" t="s">
        <v>88</v>
      </c>
      <c r="N182">
        <v>44.5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471</v>
      </c>
      <c r="T182">
        <v>6</v>
      </c>
      <c r="U182" t="s">
        <v>89</v>
      </c>
    </row>
    <row r="183" spans="1:21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8664</v>
      </c>
      <c r="H183" t="s">
        <v>27</v>
      </c>
      <c r="I183">
        <v>1000008664</v>
      </c>
      <c r="J183">
        <v>28817643</v>
      </c>
      <c r="K183" t="s">
        <v>234</v>
      </c>
      <c r="L183" t="s">
        <v>87</v>
      </c>
      <c r="M183" t="s">
        <v>88</v>
      </c>
      <c r="N183">
        <v>1017.5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472</v>
      </c>
      <c r="T183">
        <v>6</v>
      </c>
      <c r="U183" t="s">
        <v>89</v>
      </c>
    </row>
    <row r="184" spans="1:21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8664</v>
      </c>
      <c r="H184" t="s">
        <v>27</v>
      </c>
      <c r="I184">
        <v>1000008664</v>
      </c>
      <c r="J184">
        <v>28817732</v>
      </c>
      <c r="K184" t="s">
        <v>237</v>
      </c>
      <c r="L184" t="s">
        <v>87</v>
      </c>
      <c r="M184" t="s">
        <v>88</v>
      </c>
      <c r="N184">
        <v>314.5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473</v>
      </c>
      <c r="T184">
        <v>6</v>
      </c>
      <c r="U184" t="s">
        <v>89</v>
      </c>
    </row>
    <row r="185" spans="1:21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8664</v>
      </c>
      <c r="H185" t="s">
        <v>27</v>
      </c>
      <c r="I185">
        <v>1000008664</v>
      </c>
      <c r="J185">
        <v>28818858</v>
      </c>
      <c r="K185" t="s">
        <v>246</v>
      </c>
      <c r="L185" t="s">
        <v>87</v>
      </c>
      <c r="M185" t="s">
        <v>88</v>
      </c>
      <c r="N185">
        <v>68.5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474</v>
      </c>
      <c r="T185">
        <v>6</v>
      </c>
      <c r="U185" t="s">
        <v>89</v>
      </c>
    </row>
    <row r="186" spans="1:21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8664</v>
      </c>
      <c r="H186" t="s">
        <v>27</v>
      </c>
      <c r="I186">
        <v>1000008664</v>
      </c>
      <c r="J186">
        <v>28819367</v>
      </c>
      <c r="K186" t="s">
        <v>255</v>
      </c>
      <c r="L186" t="s">
        <v>87</v>
      </c>
      <c r="M186" t="s">
        <v>88</v>
      </c>
      <c r="N186">
        <v>44.5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475</v>
      </c>
      <c r="T186">
        <v>6</v>
      </c>
      <c r="U186" t="s">
        <v>89</v>
      </c>
    </row>
    <row r="187" spans="1:21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8664</v>
      </c>
      <c r="H187" t="s">
        <v>27</v>
      </c>
      <c r="I187">
        <v>1000008664</v>
      </c>
      <c r="J187">
        <v>28819624</v>
      </c>
      <c r="K187" t="s">
        <v>260</v>
      </c>
      <c r="L187" t="s">
        <v>87</v>
      </c>
      <c r="M187" t="s">
        <v>88</v>
      </c>
      <c r="N187">
        <v>183.5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476</v>
      </c>
      <c r="T187">
        <v>6</v>
      </c>
      <c r="U187" t="s">
        <v>89</v>
      </c>
    </row>
    <row r="188" spans="1:21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8664</v>
      </c>
      <c r="H188" t="s">
        <v>27</v>
      </c>
      <c r="I188">
        <v>1000008664</v>
      </c>
      <c r="J188">
        <v>28820751</v>
      </c>
      <c r="K188" t="s">
        <v>269</v>
      </c>
      <c r="L188" t="s">
        <v>87</v>
      </c>
      <c r="M188" t="s">
        <v>88</v>
      </c>
      <c r="N188">
        <v>78.5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477</v>
      </c>
      <c r="T188">
        <v>6</v>
      </c>
      <c r="U188" t="s">
        <v>89</v>
      </c>
    </row>
    <row r="189" spans="1:21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8664</v>
      </c>
      <c r="H189" t="s">
        <v>27</v>
      </c>
      <c r="I189">
        <v>1000008664</v>
      </c>
      <c r="J189">
        <v>28821682</v>
      </c>
      <c r="K189" t="s">
        <v>279</v>
      </c>
      <c r="L189" t="s">
        <v>87</v>
      </c>
      <c r="M189" t="s">
        <v>88</v>
      </c>
      <c r="N189">
        <v>245.5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478</v>
      </c>
      <c r="T189">
        <v>6</v>
      </c>
      <c r="U189" t="s">
        <v>89</v>
      </c>
    </row>
    <row r="190" spans="1:21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8664</v>
      </c>
      <c r="H190" t="s">
        <v>27</v>
      </c>
      <c r="I190">
        <v>1000008664</v>
      </c>
      <c r="J190">
        <v>28821879</v>
      </c>
      <c r="K190" t="s">
        <v>280</v>
      </c>
      <c r="L190" t="s">
        <v>87</v>
      </c>
      <c r="M190" t="s">
        <v>88</v>
      </c>
      <c r="N190">
        <v>44.5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479</v>
      </c>
      <c r="T190">
        <v>6</v>
      </c>
      <c r="U190" t="s">
        <v>89</v>
      </c>
    </row>
    <row r="191" spans="1:21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8664</v>
      </c>
      <c r="H191" t="s">
        <v>27</v>
      </c>
      <c r="I191">
        <v>1000008664</v>
      </c>
      <c r="J191">
        <v>28822331</v>
      </c>
      <c r="K191" t="s">
        <v>285</v>
      </c>
      <c r="L191" t="s">
        <v>87</v>
      </c>
      <c r="M191" t="s">
        <v>88</v>
      </c>
      <c r="N191">
        <v>378.5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480</v>
      </c>
      <c r="T191">
        <v>6</v>
      </c>
      <c r="U191" t="s">
        <v>89</v>
      </c>
    </row>
    <row r="192" spans="1:21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8664</v>
      </c>
      <c r="H192" t="s">
        <v>27</v>
      </c>
      <c r="I192">
        <v>1000008664</v>
      </c>
      <c r="J192">
        <v>28822800</v>
      </c>
      <c r="K192" t="s">
        <v>293</v>
      </c>
      <c r="L192" t="s">
        <v>87</v>
      </c>
      <c r="M192" t="s">
        <v>88</v>
      </c>
      <c r="N192">
        <v>107.5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481</v>
      </c>
      <c r="T192">
        <v>6</v>
      </c>
      <c r="U192" t="s">
        <v>89</v>
      </c>
    </row>
    <row r="193" spans="1:22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8664</v>
      </c>
      <c r="H193" t="s">
        <v>27</v>
      </c>
      <c r="I193">
        <v>1000008664</v>
      </c>
      <c r="J193">
        <v>28822880</v>
      </c>
      <c r="K193" t="s">
        <v>296</v>
      </c>
      <c r="L193" t="s">
        <v>87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482</v>
      </c>
      <c r="T193">
        <v>6</v>
      </c>
      <c r="U193" t="s">
        <v>89</v>
      </c>
    </row>
    <row r="194" spans="1:22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8664</v>
      </c>
      <c r="H194" t="s">
        <v>27</v>
      </c>
      <c r="I194">
        <v>1000008664</v>
      </c>
      <c r="J194">
        <v>28823608</v>
      </c>
      <c r="K194" t="s">
        <v>299</v>
      </c>
      <c r="L194" t="s">
        <v>87</v>
      </c>
      <c r="M194" t="s">
        <v>88</v>
      </c>
      <c r="N194">
        <v>44.5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483</v>
      </c>
      <c r="T194">
        <v>6</v>
      </c>
      <c r="U194" t="s">
        <v>89</v>
      </c>
    </row>
    <row r="195" spans="1:22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8664</v>
      </c>
      <c r="H195" t="s">
        <v>27</v>
      </c>
      <c r="I195">
        <v>1000008664</v>
      </c>
      <c r="J195">
        <v>28823706</v>
      </c>
      <c r="K195" t="s">
        <v>301</v>
      </c>
      <c r="L195" t="s">
        <v>87</v>
      </c>
      <c r="M195" t="s">
        <v>88</v>
      </c>
      <c r="N195">
        <v>43.5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484</v>
      </c>
      <c r="T195">
        <v>6</v>
      </c>
      <c r="U195" t="s">
        <v>89</v>
      </c>
    </row>
    <row r="196" spans="1:22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8664</v>
      </c>
      <c r="H196" t="s">
        <v>27</v>
      </c>
      <c r="I196">
        <v>1000008664</v>
      </c>
      <c r="J196">
        <v>28823746</v>
      </c>
      <c r="K196" t="s">
        <v>302</v>
      </c>
      <c r="L196" t="s">
        <v>87</v>
      </c>
      <c r="M196" t="s">
        <v>88</v>
      </c>
      <c r="N196">
        <v>44.5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485</v>
      </c>
      <c r="T196">
        <v>6</v>
      </c>
      <c r="U196" t="s">
        <v>89</v>
      </c>
    </row>
    <row r="197" spans="1:22" outlineLevel="1" x14ac:dyDescent="0.25">
      <c r="H197" s="9" t="s">
        <v>544</v>
      </c>
      <c r="N197">
        <f>SUBTOTAL(9,N168:N196)</f>
        <v>6113.5</v>
      </c>
    </row>
    <row r="198" spans="1:22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8669</v>
      </c>
      <c r="H198" t="s">
        <v>48</v>
      </c>
      <c r="I198">
        <v>1000008669</v>
      </c>
      <c r="J198">
        <v>28821884</v>
      </c>
      <c r="K198" t="s">
        <v>281</v>
      </c>
      <c r="L198" t="s">
        <v>87</v>
      </c>
      <c r="M198" t="s">
        <v>88</v>
      </c>
      <c r="N198">
        <v>44.5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486</v>
      </c>
      <c r="T198">
        <v>6</v>
      </c>
      <c r="U198" t="s">
        <v>89</v>
      </c>
    </row>
    <row r="199" spans="1:22" outlineLevel="1" x14ac:dyDescent="0.25">
      <c r="H199" s="9" t="s">
        <v>545</v>
      </c>
      <c r="N199">
        <f>SUBTOTAL(9,N198:N198)</f>
        <v>44.5</v>
      </c>
    </row>
    <row r="200" spans="1:22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8671</v>
      </c>
      <c r="H200" t="s">
        <v>50</v>
      </c>
      <c r="I200">
        <v>1000008671</v>
      </c>
      <c r="J200">
        <v>28809965</v>
      </c>
      <c r="K200" t="s">
        <v>146</v>
      </c>
      <c r="L200" t="s">
        <v>87</v>
      </c>
      <c r="M200" t="s">
        <v>88</v>
      </c>
      <c r="N200">
        <v>83.5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487</v>
      </c>
      <c r="T200">
        <v>6</v>
      </c>
      <c r="U200" t="s">
        <v>89</v>
      </c>
    </row>
    <row r="201" spans="1:22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8671</v>
      </c>
      <c r="H201" t="s">
        <v>50</v>
      </c>
      <c r="I201">
        <v>1000008671</v>
      </c>
      <c r="J201">
        <v>28810797</v>
      </c>
      <c r="K201" t="s">
        <v>162</v>
      </c>
      <c r="L201" t="s">
        <v>87</v>
      </c>
      <c r="M201" t="s">
        <v>88</v>
      </c>
      <c r="N201">
        <v>123.5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488</v>
      </c>
      <c r="T201">
        <v>6</v>
      </c>
      <c r="U201" t="s">
        <v>89</v>
      </c>
    </row>
    <row r="202" spans="1:22" outlineLevel="1" x14ac:dyDescent="0.25">
      <c r="H202" s="9" t="s">
        <v>546</v>
      </c>
      <c r="N202">
        <f>SUBTOTAL(9,N200:N201)</f>
        <v>207</v>
      </c>
    </row>
    <row r="203" spans="1:22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8673</v>
      </c>
      <c r="H203" t="s">
        <v>51</v>
      </c>
      <c r="I203">
        <v>1000008673</v>
      </c>
      <c r="J203">
        <v>28807741</v>
      </c>
      <c r="K203" t="s">
        <v>103</v>
      </c>
      <c r="L203" t="s">
        <v>87</v>
      </c>
      <c r="M203" t="s">
        <v>88</v>
      </c>
      <c r="N203">
        <v>268.5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489</v>
      </c>
      <c r="T203">
        <v>6</v>
      </c>
      <c r="U203" t="s">
        <v>89</v>
      </c>
    </row>
    <row r="204" spans="1:22" outlineLevel="2" x14ac:dyDescent="0.25">
      <c r="A204" s="8" t="s">
        <v>82</v>
      </c>
      <c r="B204" s="8" t="s">
        <v>83</v>
      </c>
      <c r="C204" s="8">
        <v>30</v>
      </c>
      <c r="D204" s="8" t="s">
        <v>84</v>
      </c>
      <c r="E204" s="8">
        <v>184</v>
      </c>
      <c r="F204" s="8" t="s">
        <v>85</v>
      </c>
      <c r="G204" s="8">
        <v>8673</v>
      </c>
      <c r="H204" s="8" t="s">
        <v>51</v>
      </c>
      <c r="I204" s="8">
        <v>1000008673</v>
      </c>
      <c r="J204" s="8">
        <v>28808067</v>
      </c>
      <c r="K204" s="8" t="s">
        <v>106</v>
      </c>
      <c r="L204" s="8" t="s">
        <v>87</v>
      </c>
      <c r="M204" s="8" t="s">
        <v>88</v>
      </c>
      <c r="N204" s="8">
        <v>171.5</v>
      </c>
      <c r="O204" s="8">
        <v>14.22</v>
      </c>
      <c r="P204" s="8">
        <v>2.2799999999999998</v>
      </c>
      <c r="Q204" s="8">
        <v>4.2561999999999998</v>
      </c>
      <c r="R204" s="8">
        <v>0.68100000000000005</v>
      </c>
      <c r="S204" s="8" t="s">
        <v>530</v>
      </c>
      <c r="T204" s="8">
        <v>6</v>
      </c>
      <c r="U204" s="8" t="s">
        <v>89</v>
      </c>
      <c r="V204" s="8"/>
    </row>
    <row r="205" spans="1:22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8673</v>
      </c>
      <c r="H205" t="s">
        <v>51</v>
      </c>
      <c r="I205">
        <v>1000008673</v>
      </c>
      <c r="J205">
        <v>28810502</v>
      </c>
      <c r="K205" t="s">
        <v>159</v>
      </c>
      <c r="L205" t="s">
        <v>87</v>
      </c>
      <c r="M205" t="s">
        <v>88</v>
      </c>
      <c r="N205">
        <v>80.5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490</v>
      </c>
      <c r="T205">
        <v>6</v>
      </c>
      <c r="U205" t="s">
        <v>89</v>
      </c>
    </row>
    <row r="206" spans="1:22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8673</v>
      </c>
      <c r="H206" t="s">
        <v>51</v>
      </c>
      <c r="I206">
        <v>1000008673</v>
      </c>
      <c r="J206">
        <v>28812041</v>
      </c>
      <c r="K206" t="s">
        <v>178</v>
      </c>
      <c r="L206" t="s">
        <v>87</v>
      </c>
      <c r="M206" t="s">
        <v>88</v>
      </c>
      <c r="N206">
        <v>79.5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491</v>
      </c>
      <c r="T206">
        <v>6</v>
      </c>
      <c r="U206" t="s">
        <v>89</v>
      </c>
    </row>
    <row r="207" spans="1:22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8673</v>
      </c>
      <c r="H207" t="s">
        <v>51</v>
      </c>
      <c r="I207">
        <v>1000008673</v>
      </c>
      <c r="J207">
        <v>28814929</v>
      </c>
      <c r="K207" t="s">
        <v>213</v>
      </c>
      <c r="L207" t="s">
        <v>87</v>
      </c>
      <c r="M207" t="s">
        <v>88</v>
      </c>
      <c r="N207">
        <v>68.5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492</v>
      </c>
      <c r="T207">
        <v>6</v>
      </c>
      <c r="U207" t="s">
        <v>89</v>
      </c>
    </row>
    <row r="208" spans="1:22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8673</v>
      </c>
      <c r="H208" t="s">
        <v>51</v>
      </c>
      <c r="I208">
        <v>1000008673</v>
      </c>
      <c r="J208">
        <v>28816391</v>
      </c>
      <c r="K208" t="s">
        <v>225</v>
      </c>
      <c r="L208" t="s">
        <v>87</v>
      </c>
      <c r="M208" t="s">
        <v>88</v>
      </c>
      <c r="N208">
        <v>483.5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493</v>
      </c>
      <c r="T208">
        <v>6</v>
      </c>
      <c r="U208" t="s">
        <v>89</v>
      </c>
    </row>
    <row r="209" spans="1:22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8673</v>
      </c>
      <c r="H209" t="s">
        <v>51</v>
      </c>
      <c r="I209">
        <v>1000008673</v>
      </c>
      <c r="J209">
        <v>28817688</v>
      </c>
      <c r="K209" t="s">
        <v>235</v>
      </c>
      <c r="L209" t="s">
        <v>87</v>
      </c>
      <c r="M209" t="s">
        <v>88</v>
      </c>
      <c r="N209">
        <v>44.5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494</v>
      </c>
      <c r="T209">
        <v>6</v>
      </c>
      <c r="U209" t="s">
        <v>89</v>
      </c>
    </row>
    <row r="210" spans="1:22" outlineLevel="1" x14ac:dyDescent="0.25">
      <c r="H210" s="9" t="s">
        <v>547</v>
      </c>
      <c r="N210">
        <f>SUBTOTAL(9,N203:N209)</f>
        <v>1196.5</v>
      </c>
    </row>
    <row r="211" spans="1:22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8676</v>
      </c>
      <c r="H211" t="s">
        <v>54</v>
      </c>
      <c r="I211">
        <v>1000008676</v>
      </c>
      <c r="J211">
        <v>28809997</v>
      </c>
      <c r="K211" t="s">
        <v>147</v>
      </c>
      <c r="L211" t="s">
        <v>87</v>
      </c>
      <c r="M211" t="s">
        <v>88</v>
      </c>
      <c r="N211">
        <v>557.5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495</v>
      </c>
      <c r="T211">
        <v>6</v>
      </c>
      <c r="U211" t="s">
        <v>89</v>
      </c>
    </row>
    <row r="212" spans="1:22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8676</v>
      </c>
      <c r="H212" t="s">
        <v>54</v>
      </c>
      <c r="I212">
        <v>1000008676</v>
      </c>
      <c r="J212">
        <v>28810059</v>
      </c>
      <c r="K212" t="s">
        <v>150</v>
      </c>
      <c r="L212" t="s">
        <v>87</v>
      </c>
      <c r="M212" t="s">
        <v>88</v>
      </c>
      <c r="N212">
        <v>186.5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496</v>
      </c>
      <c r="T212">
        <v>6</v>
      </c>
      <c r="U212" t="s">
        <v>89</v>
      </c>
    </row>
    <row r="213" spans="1:22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8676</v>
      </c>
      <c r="H213" t="s">
        <v>54</v>
      </c>
      <c r="I213">
        <v>1000008676</v>
      </c>
      <c r="J213">
        <v>28810174</v>
      </c>
      <c r="K213" t="s">
        <v>152</v>
      </c>
      <c r="L213" t="s">
        <v>87</v>
      </c>
      <c r="M213" t="s">
        <v>88</v>
      </c>
      <c r="N213">
        <v>187.5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497</v>
      </c>
      <c r="T213">
        <v>6</v>
      </c>
      <c r="U213" t="s">
        <v>89</v>
      </c>
    </row>
    <row r="214" spans="1:22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8676</v>
      </c>
      <c r="H214" t="s">
        <v>54</v>
      </c>
      <c r="I214">
        <v>1000008676</v>
      </c>
      <c r="J214">
        <v>28811245</v>
      </c>
      <c r="K214" t="s">
        <v>168</v>
      </c>
      <c r="L214" t="s">
        <v>87</v>
      </c>
      <c r="M214" t="s">
        <v>88</v>
      </c>
      <c r="N214">
        <v>134.5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498</v>
      </c>
      <c r="T214">
        <v>6</v>
      </c>
      <c r="U214" t="s">
        <v>89</v>
      </c>
    </row>
    <row r="215" spans="1:22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8676</v>
      </c>
      <c r="H215" t="s">
        <v>54</v>
      </c>
      <c r="I215">
        <v>1000008676</v>
      </c>
      <c r="J215">
        <v>28811435</v>
      </c>
      <c r="K215" t="s">
        <v>170</v>
      </c>
      <c r="L215" t="s">
        <v>87</v>
      </c>
      <c r="M215" t="s">
        <v>88</v>
      </c>
      <c r="N215">
        <v>62.5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499</v>
      </c>
      <c r="T215">
        <v>6</v>
      </c>
      <c r="U215" t="s">
        <v>89</v>
      </c>
    </row>
    <row r="216" spans="1:22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8676</v>
      </c>
      <c r="H216" t="s">
        <v>54</v>
      </c>
      <c r="I216">
        <v>1000008676</v>
      </c>
      <c r="J216">
        <v>28817712</v>
      </c>
      <c r="K216" t="s">
        <v>236</v>
      </c>
      <c r="L216" t="s">
        <v>87</v>
      </c>
      <c r="M216" t="s">
        <v>88</v>
      </c>
      <c r="N216">
        <v>161.5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500</v>
      </c>
      <c r="T216">
        <v>6</v>
      </c>
      <c r="U216" t="s">
        <v>89</v>
      </c>
    </row>
    <row r="217" spans="1:22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8676</v>
      </c>
      <c r="H217" t="s">
        <v>54</v>
      </c>
      <c r="I217">
        <v>1000008676</v>
      </c>
      <c r="J217">
        <v>28821108</v>
      </c>
      <c r="K217" t="s">
        <v>272</v>
      </c>
      <c r="L217" t="s">
        <v>87</v>
      </c>
      <c r="M217" t="s">
        <v>88</v>
      </c>
      <c r="N217">
        <v>81.5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501</v>
      </c>
      <c r="T217">
        <v>6</v>
      </c>
      <c r="U217" t="s">
        <v>89</v>
      </c>
    </row>
    <row r="218" spans="1:22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8676</v>
      </c>
      <c r="H218" t="s">
        <v>54</v>
      </c>
      <c r="I218">
        <v>1000008676</v>
      </c>
      <c r="J218">
        <v>28821122</v>
      </c>
      <c r="K218" t="s">
        <v>273</v>
      </c>
      <c r="L218" t="s">
        <v>87</v>
      </c>
      <c r="M218" t="s">
        <v>88</v>
      </c>
      <c r="N218">
        <v>44.5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502</v>
      </c>
      <c r="T218">
        <v>6</v>
      </c>
      <c r="U218" t="s">
        <v>89</v>
      </c>
    </row>
    <row r="219" spans="1:22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8676</v>
      </c>
      <c r="H219" t="s">
        <v>54</v>
      </c>
      <c r="I219">
        <v>1000008676</v>
      </c>
      <c r="J219">
        <v>28822606</v>
      </c>
      <c r="K219" t="s">
        <v>289</v>
      </c>
      <c r="L219" t="s">
        <v>87</v>
      </c>
      <c r="M219" t="s">
        <v>88</v>
      </c>
      <c r="N219">
        <v>82.5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503</v>
      </c>
      <c r="T219">
        <v>6</v>
      </c>
      <c r="U219" t="s">
        <v>89</v>
      </c>
    </row>
    <row r="220" spans="1:22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8676</v>
      </c>
      <c r="H220" t="s">
        <v>54</v>
      </c>
      <c r="I220">
        <v>1000008676</v>
      </c>
      <c r="J220">
        <v>28822650</v>
      </c>
      <c r="K220" t="s">
        <v>290</v>
      </c>
      <c r="L220" t="s">
        <v>87</v>
      </c>
      <c r="M220" t="s">
        <v>88</v>
      </c>
      <c r="N220">
        <v>81.5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504</v>
      </c>
      <c r="T220">
        <v>6</v>
      </c>
      <c r="U220" t="s">
        <v>89</v>
      </c>
    </row>
    <row r="221" spans="1:22" outlineLevel="1" x14ac:dyDescent="0.25">
      <c r="H221" s="9" t="s">
        <v>548</v>
      </c>
      <c r="N221">
        <f>SUBTOTAL(9,N211:N220)</f>
        <v>1580</v>
      </c>
    </row>
    <row r="222" spans="1:22" outlineLevel="2" x14ac:dyDescent="0.25">
      <c r="A222" s="7" t="s">
        <v>82</v>
      </c>
      <c r="B222" s="7" t="s">
        <v>83</v>
      </c>
      <c r="C222" s="7">
        <v>30</v>
      </c>
      <c r="D222" s="7" t="s">
        <v>84</v>
      </c>
      <c r="E222" s="7">
        <v>184</v>
      </c>
      <c r="F222" s="7" t="s">
        <v>85</v>
      </c>
      <c r="G222" s="7">
        <v>9566</v>
      </c>
      <c r="H222" s="7" t="s">
        <v>55</v>
      </c>
      <c r="I222" s="7">
        <v>1000009566</v>
      </c>
      <c r="J222" s="7">
        <v>28808032</v>
      </c>
      <c r="K222" s="7" t="s">
        <v>105</v>
      </c>
      <c r="L222" s="7" t="s">
        <v>87</v>
      </c>
      <c r="M222" s="7" t="s">
        <v>88</v>
      </c>
      <c r="N222" s="7">
        <v>264.5</v>
      </c>
      <c r="O222" s="7">
        <v>14.22</v>
      </c>
      <c r="P222" s="7">
        <v>2.2799999999999998</v>
      </c>
      <c r="Q222" s="7">
        <v>4.2561999999999998</v>
      </c>
      <c r="R222" s="7">
        <v>0.68100000000000005</v>
      </c>
      <c r="S222" s="7" t="s">
        <v>505</v>
      </c>
      <c r="T222" s="7">
        <v>6</v>
      </c>
      <c r="U222" s="7" t="s">
        <v>89</v>
      </c>
      <c r="V222" s="7"/>
    </row>
    <row r="223" spans="1:22" outlineLevel="2" x14ac:dyDescent="0.25">
      <c r="A223" s="7" t="s">
        <v>82</v>
      </c>
      <c r="B223" s="7" t="s">
        <v>83</v>
      </c>
      <c r="C223" s="7">
        <v>30</v>
      </c>
      <c r="D223" s="7" t="s">
        <v>84</v>
      </c>
      <c r="E223" s="7">
        <v>184</v>
      </c>
      <c r="F223" s="7" t="s">
        <v>85</v>
      </c>
      <c r="G223" s="7">
        <v>9566</v>
      </c>
      <c r="H223" s="7" t="s">
        <v>55</v>
      </c>
      <c r="I223" s="7">
        <v>1000009566</v>
      </c>
      <c r="J223" s="7">
        <v>28810486</v>
      </c>
      <c r="K223" s="7" t="s">
        <v>158</v>
      </c>
      <c r="L223" s="7" t="s">
        <v>87</v>
      </c>
      <c r="M223" s="7" t="s">
        <v>88</v>
      </c>
      <c r="N223" s="7">
        <v>146.5</v>
      </c>
      <c r="O223" s="7">
        <v>14.22</v>
      </c>
      <c r="P223" s="7">
        <v>2.2799999999999998</v>
      </c>
      <c r="Q223" s="7">
        <v>4.2561999999999998</v>
      </c>
      <c r="R223" s="7">
        <v>0.68100000000000005</v>
      </c>
      <c r="S223" s="7" t="s">
        <v>506</v>
      </c>
      <c r="T223" s="7">
        <v>6</v>
      </c>
      <c r="U223" s="7" t="s">
        <v>89</v>
      </c>
      <c r="V223" s="7"/>
    </row>
    <row r="224" spans="1:22" outlineLevel="2" x14ac:dyDescent="0.25">
      <c r="A224" s="7" t="s">
        <v>82</v>
      </c>
      <c r="B224" s="7" t="s">
        <v>83</v>
      </c>
      <c r="C224" s="7">
        <v>30</v>
      </c>
      <c r="D224" s="7" t="s">
        <v>84</v>
      </c>
      <c r="E224" s="7">
        <v>184</v>
      </c>
      <c r="F224" s="7" t="s">
        <v>85</v>
      </c>
      <c r="G224" s="7">
        <v>9566</v>
      </c>
      <c r="H224" s="7" t="s">
        <v>55</v>
      </c>
      <c r="I224" s="7">
        <v>1000009566</v>
      </c>
      <c r="J224" s="7">
        <v>28813019</v>
      </c>
      <c r="K224" s="7" t="s">
        <v>195</v>
      </c>
      <c r="L224" s="7" t="s">
        <v>87</v>
      </c>
      <c r="M224" s="7" t="s">
        <v>88</v>
      </c>
      <c r="N224" s="7">
        <v>116.5</v>
      </c>
      <c r="O224" s="7">
        <v>14.22</v>
      </c>
      <c r="P224" s="7">
        <v>2.2799999999999998</v>
      </c>
      <c r="Q224" s="7">
        <v>4.2561999999999998</v>
      </c>
      <c r="R224" s="7">
        <v>0.68100000000000005</v>
      </c>
      <c r="S224" s="7" t="s">
        <v>507</v>
      </c>
      <c r="T224" s="7">
        <v>6</v>
      </c>
      <c r="U224" s="7" t="s">
        <v>89</v>
      </c>
      <c r="V224" s="7"/>
    </row>
    <row r="225" spans="1:22" outlineLevel="2" x14ac:dyDescent="0.25">
      <c r="A225" s="7" t="s">
        <v>82</v>
      </c>
      <c r="B225" s="7" t="s">
        <v>83</v>
      </c>
      <c r="C225" s="7">
        <v>30</v>
      </c>
      <c r="D225" s="7" t="s">
        <v>84</v>
      </c>
      <c r="E225" s="7">
        <v>184</v>
      </c>
      <c r="F225" s="7" t="s">
        <v>85</v>
      </c>
      <c r="G225" s="7">
        <v>9566</v>
      </c>
      <c r="H225" s="7" t="s">
        <v>55</v>
      </c>
      <c r="I225" s="7">
        <v>1000009566</v>
      </c>
      <c r="J225" s="7">
        <v>28813081</v>
      </c>
      <c r="K225" s="7" t="s">
        <v>196</v>
      </c>
      <c r="L225" s="7" t="s">
        <v>87</v>
      </c>
      <c r="M225" s="7" t="s">
        <v>88</v>
      </c>
      <c r="N225" s="7">
        <v>134.5</v>
      </c>
      <c r="O225" s="7">
        <v>14.22</v>
      </c>
      <c r="P225" s="7">
        <v>2.2799999999999998</v>
      </c>
      <c r="Q225" s="7">
        <v>4.2561999999999998</v>
      </c>
      <c r="R225" s="7">
        <v>0.68100000000000005</v>
      </c>
      <c r="S225" s="7" t="s">
        <v>508</v>
      </c>
      <c r="T225" s="7">
        <v>6</v>
      </c>
      <c r="U225" s="7" t="s">
        <v>89</v>
      </c>
      <c r="V225" s="7"/>
    </row>
    <row r="226" spans="1:22" outlineLevel="2" x14ac:dyDescent="0.25">
      <c r="A226" s="7" t="s">
        <v>82</v>
      </c>
      <c r="B226" s="7" t="s">
        <v>83</v>
      </c>
      <c r="C226" s="7">
        <v>30</v>
      </c>
      <c r="D226" s="7" t="s">
        <v>84</v>
      </c>
      <c r="E226" s="7">
        <v>184</v>
      </c>
      <c r="F226" s="7" t="s">
        <v>85</v>
      </c>
      <c r="G226" s="7">
        <v>9566</v>
      </c>
      <c r="H226" s="7" t="s">
        <v>55</v>
      </c>
      <c r="I226" s="7">
        <v>1000009566</v>
      </c>
      <c r="J226" s="7">
        <v>28813200</v>
      </c>
      <c r="K226" s="7" t="s">
        <v>199</v>
      </c>
      <c r="L226" s="7" t="s">
        <v>87</v>
      </c>
      <c r="M226" s="7" t="s">
        <v>88</v>
      </c>
      <c r="N226" s="7">
        <v>95.5</v>
      </c>
      <c r="O226" s="7">
        <v>14.22</v>
      </c>
      <c r="P226" s="7">
        <v>2.2799999999999998</v>
      </c>
      <c r="Q226" s="7">
        <v>4.2561999999999998</v>
      </c>
      <c r="R226" s="7">
        <v>0.68100000000000005</v>
      </c>
      <c r="S226" s="7" t="s">
        <v>509</v>
      </c>
      <c r="T226" s="7">
        <v>6</v>
      </c>
      <c r="U226" s="7" t="s">
        <v>89</v>
      </c>
      <c r="V226" s="7"/>
    </row>
    <row r="227" spans="1:22" outlineLevel="2" x14ac:dyDescent="0.25">
      <c r="A227" s="7" t="s">
        <v>82</v>
      </c>
      <c r="B227" s="7" t="s">
        <v>83</v>
      </c>
      <c r="C227" s="7">
        <v>30</v>
      </c>
      <c r="D227" s="7" t="s">
        <v>84</v>
      </c>
      <c r="E227" s="7">
        <v>184</v>
      </c>
      <c r="F227" s="7" t="s">
        <v>85</v>
      </c>
      <c r="G227" s="7">
        <v>9566</v>
      </c>
      <c r="H227" s="7" t="s">
        <v>55</v>
      </c>
      <c r="I227" s="7">
        <v>1000009566</v>
      </c>
      <c r="J227" s="7">
        <v>28813493</v>
      </c>
      <c r="K227" s="7" t="s">
        <v>202</v>
      </c>
      <c r="L227" s="7" t="s">
        <v>87</v>
      </c>
      <c r="M227" s="7" t="s">
        <v>88</v>
      </c>
      <c r="N227" s="7">
        <v>1315.5</v>
      </c>
      <c r="O227" s="7">
        <v>14.22</v>
      </c>
      <c r="P227" s="7">
        <v>2.2799999999999998</v>
      </c>
      <c r="Q227" s="7">
        <v>4.2561999999999998</v>
      </c>
      <c r="R227" s="7">
        <v>0.68100000000000005</v>
      </c>
      <c r="S227" s="7" t="s">
        <v>510</v>
      </c>
      <c r="T227" s="7">
        <v>6</v>
      </c>
      <c r="U227" s="7" t="s">
        <v>89</v>
      </c>
      <c r="V227" s="7"/>
    </row>
    <row r="228" spans="1:22" outlineLevel="2" x14ac:dyDescent="0.25">
      <c r="A228" s="7" t="s">
        <v>82</v>
      </c>
      <c r="B228" s="7" t="s">
        <v>83</v>
      </c>
      <c r="C228" s="7">
        <v>30</v>
      </c>
      <c r="D228" s="7" t="s">
        <v>84</v>
      </c>
      <c r="E228" s="7">
        <v>184</v>
      </c>
      <c r="F228" s="7" t="s">
        <v>85</v>
      </c>
      <c r="G228" s="7">
        <v>9566</v>
      </c>
      <c r="H228" s="7" t="s">
        <v>55</v>
      </c>
      <c r="I228" s="7">
        <v>1000009566</v>
      </c>
      <c r="J228" s="7">
        <v>28820849</v>
      </c>
      <c r="K228" s="7" t="s">
        <v>271</v>
      </c>
      <c r="L228" s="7" t="s">
        <v>87</v>
      </c>
      <c r="M228" s="7" t="s">
        <v>88</v>
      </c>
      <c r="N228" s="7">
        <v>142.5</v>
      </c>
      <c r="O228" s="7">
        <v>14.22</v>
      </c>
      <c r="P228" s="7">
        <v>2.2799999999999998</v>
      </c>
      <c r="Q228" s="7">
        <v>4.2561999999999998</v>
      </c>
      <c r="R228" s="7">
        <v>0.68100000000000005</v>
      </c>
      <c r="S228" s="7" t="s">
        <v>511</v>
      </c>
      <c r="T228" s="7">
        <v>6</v>
      </c>
      <c r="U228" s="7" t="s">
        <v>89</v>
      </c>
      <c r="V228" s="7"/>
    </row>
    <row r="229" spans="1:22" outlineLevel="2" x14ac:dyDescent="0.25">
      <c r="A229" s="7" t="s">
        <v>82</v>
      </c>
      <c r="B229" s="7" t="s">
        <v>83</v>
      </c>
      <c r="C229" s="7">
        <v>30</v>
      </c>
      <c r="D229" s="7" t="s">
        <v>84</v>
      </c>
      <c r="E229" s="7">
        <v>184</v>
      </c>
      <c r="F229" s="7" t="s">
        <v>85</v>
      </c>
      <c r="G229" s="7">
        <v>9566</v>
      </c>
      <c r="H229" s="7" t="s">
        <v>55</v>
      </c>
      <c r="I229" s="7">
        <v>1000009566</v>
      </c>
      <c r="J229" s="7">
        <v>28821560</v>
      </c>
      <c r="K229" s="7" t="s">
        <v>278</v>
      </c>
      <c r="L229" s="7" t="s">
        <v>87</v>
      </c>
      <c r="M229" s="7" t="s">
        <v>88</v>
      </c>
      <c r="N229" s="7">
        <v>153.5</v>
      </c>
      <c r="O229" s="7">
        <v>14.22</v>
      </c>
      <c r="P229" s="7">
        <v>2.2799999999999998</v>
      </c>
      <c r="Q229" s="7">
        <v>4.2561999999999998</v>
      </c>
      <c r="R229" s="7">
        <v>0.68100000000000005</v>
      </c>
      <c r="S229" s="7" t="s">
        <v>512</v>
      </c>
      <c r="T229" s="7">
        <v>6</v>
      </c>
      <c r="U229" s="7" t="s">
        <v>89</v>
      </c>
      <c r="V229" s="7"/>
    </row>
    <row r="230" spans="1:22" outlineLevel="2" x14ac:dyDescent="0.25">
      <c r="A230" s="7" t="s">
        <v>82</v>
      </c>
      <c r="B230" s="7" t="s">
        <v>83</v>
      </c>
      <c r="C230" s="7">
        <v>30</v>
      </c>
      <c r="D230" s="7" t="s">
        <v>84</v>
      </c>
      <c r="E230" s="7">
        <v>184</v>
      </c>
      <c r="F230" s="7" t="s">
        <v>85</v>
      </c>
      <c r="G230" s="7">
        <v>9566</v>
      </c>
      <c r="H230" s="7" t="s">
        <v>55</v>
      </c>
      <c r="I230" s="7">
        <v>1000009566</v>
      </c>
      <c r="J230" s="7">
        <v>28822314</v>
      </c>
      <c r="K230" s="7" t="s">
        <v>284</v>
      </c>
      <c r="L230" s="7" t="s">
        <v>87</v>
      </c>
      <c r="M230" s="7" t="s">
        <v>88</v>
      </c>
      <c r="N230" s="7">
        <v>46.5</v>
      </c>
      <c r="O230" s="7">
        <v>14.22</v>
      </c>
      <c r="P230" s="7">
        <v>2.2799999999999998</v>
      </c>
      <c r="Q230" s="7">
        <v>4.2561999999999998</v>
      </c>
      <c r="R230" s="7">
        <v>0.68100000000000005</v>
      </c>
      <c r="S230" s="7" t="s">
        <v>513</v>
      </c>
      <c r="T230" s="7">
        <v>6</v>
      </c>
      <c r="U230" s="7" t="s">
        <v>89</v>
      </c>
      <c r="V230" s="7"/>
    </row>
    <row r="231" spans="1:22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9566</v>
      </c>
      <c r="H231" s="7" t="s">
        <v>55</v>
      </c>
      <c r="I231" s="7">
        <v>1000009566</v>
      </c>
      <c r="J231" s="7">
        <v>28822358</v>
      </c>
      <c r="K231" s="7" t="s">
        <v>286</v>
      </c>
      <c r="L231" s="7" t="s">
        <v>87</v>
      </c>
      <c r="M231" s="7" t="s">
        <v>88</v>
      </c>
      <c r="N231" s="7">
        <v>100.5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514</v>
      </c>
      <c r="T231" s="7">
        <v>6</v>
      </c>
      <c r="U231" s="7" t="s">
        <v>89</v>
      </c>
      <c r="V231" s="7"/>
    </row>
    <row r="232" spans="1:22" outlineLevel="2" x14ac:dyDescent="0.25">
      <c r="A232" s="7" t="s">
        <v>82</v>
      </c>
      <c r="B232" s="7" t="s">
        <v>83</v>
      </c>
      <c r="C232" s="7">
        <v>30</v>
      </c>
      <c r="D232" s="7" t="s">
        <v>84</v>
      </c>
      <c r="E232" s="7">
        <v>184</v>
      </c>
      <c r="F232" s="7" t="s">
        <v>85</v>
      </c>
      <c r="G232" s="7">
        <v>9566</v>
      </c>
      <c r="H232" s="7" t="s">
        <v>55</v>
      </c>
      <c r="I232" s="7">
        <v>1000009566</v>
      </c>
      <c r="J232" s="7">
        <v>28823564</v>
      </c>
      <c r="K232" s="7" t="s">
        <v>298</v>
      </c>
      <c r="L232" s="7" t="s">
        <v>87</v>
      </c>
      <c r="M232" s="7" t="s">
        <v>88</v>
      </c>
      <c r="N232" s="7">
        <v>68.5</v>
      </c>
      <c r="O232" s="7">
        <v>14.22</v>
      </c>
      <c r="P232" s="7">
        <v>2.2799999999999998</v>
      </c>
      <c r="Q232" s="7">
        <v>4.2561999999999998</v>
      </c>
      <c r="R232" s="7">
        <v>0.68100000000000005</v>
      </c>
      <c r="S232" s="7" t="s">
        <v>515</v>
      </c>
      <c r="T232" s="7">
        <v>6</v>
      </c>
      <c r="U232" s="7" t="s">
        <v>89</v>
      </c>
      <c r="V232" s="7"/>
    </row>
    <row r="233" spans="1:22" outlineLevel="2" x14ac:dyDescent="0.25">
      <c r="A233" s="7" t="s">
        <v>82</v>
      </c>
      <c r="B233" s="7" t="s">
        <v>83</v>
      </c>
      <c r="C233" s="7">
        <v>30</v>
      </c>
      <c r="D233" s="7" t="s">
        <v>84</v>
      </c>
      <c r="E233" s="7">
        <v>184</v>
      </c>
      <c r="F233" s="7" t="s">
        <v>85</v>
      </c>
      <c r="G233" s="7">
        <v>9566</v>
      </c>
      <c r="H233" s="7" t="s">
        <v>55</v>
      </c>
      <c r="I233" s="7">
        <v>1000009566</v>
      </c>
      <c r="J233" s="7">
        <v>28824179</v>
      </c>
      <c r="K233" s="7" t="s">
        <v>307</v>
      </c>
      <c r="L233" s="7" t="s">
        <v>87</v>
      </c>
      <c r="M233" s="7" t="s">
        <v>88</v>
      </c>
      <c r="N233" s="7">
        <v>84.5</v>
      </c>
      <c r="O233" s="7">
        <v>14.22</v>
      </c>
      <c r="P233" s="7">
        <v>2.2799999999999998</v>
      </c>
      <c r="Q233" s="7">
        <v>4.2561999999999998</v>
      </c>
      <c r="R233" s="7">
        <v>0.68100000000000005</v>
      </c>
      <c r="S233" s="7" t="s">
        <v>516</v>
      </c>
      <c r="T233" s="7">
        <v>6</v>
      </c>
      <c r="U233" s="7" t="s">
        <v>89</v>
      </c>
      <c r="V233" s="7"/>
    </row>
    <row r="234" spans="1:22" outlineLevel="1" x14ac:dyDescent="0.25">
      <c r="A234" s="7"/>
      <c r="B234" s="7"/>
      <c r="C234" s="7"/>
      <c r="D234" s="7"/>
      <c r="E234" s="7"/>
      <c r="F234" s="7"/>
      <c r="G234" s="7"/>
      <c r="H234" s="11" t="s">
        <v>549</v>
      </c>
      <c r="I234" s="7"/>
      <c r="J234" s="7"/>
      <c r="K234" s="7"/>
      <c r="L234" s="7"/>
      <c r="M234" s="7"/>
      <c r="N234" s="7">
        <f>SUBTOTAL(9,N222:N233)</f>
        <v>2669</v>
      </c>
      <c r="O234" s="7"/>
      <c r="P234" s="7"/>
      <c r="Q234" s="7"/>
      <c r="R234" s="7"/>
      <c r="S234" s="7"/>
      <c r="T234" s="7"/>
      <c r="U234" s="7"/>
      <c r="V234" s="7"/>
    </row>
    <row r="235" spans="1:22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8679</v>
      </c>
      <c r="H235" t="s">
        <v>60</v>
      </c>
      <c r="I235">
        <v>1000008679</v>
      </c>
      <c r="J235">
        <v>28807645</v>
      </c>
      <c r="K235" t="s">
        <v>100</v>
      </c>
      <c r="L235" t="s">
        <v>87</v>
      </c>
      <c r="M235" t="s">
        <v>88</v>
      </c>
      <c r="N235">
        <v>1227.5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517</v>
      </c>
      <c r="T235">
        <v>6</v>
      </c>
      <c r="U235" t="s">
        <v>89</v>
      </c>
    </row>
    <row r="236" spans="1:22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8679</v>
      </c>
      <c r="H236" t="s">
        <v>60</v>
      </c>
      <c r="I236">
        <v>1000008679</v>
      </c>
      <c r="J236">
        <v>28808447</v>
      </c>
      <c r="K236" t="s">
        <v>117</v>
      </c>
      <c r="L236" t="s">
        <v>87</v>
      </c>
      <c r="M236" t="s">
        <v>88</v>
      </c>
      <c r="N236">
        <v>133.5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518</v>
      </c>
      <c r="T236">
        <v>6</v>
      </c>
      <c r="U236" t="s">
        <v>89</v>
      </c>
    </row>
    <row r="237" spans="1:22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8679</v>
      </c>
      <c r="H237" t="s">
        <v>60</v>
      </c>
      <c r="I237">
        <v>1000008679</v>
      </c>
      <c r="J237">
        <v>28812703</v>
      </c>
      <c r="K237" t="s">
        <v>188</v>
      </c>
      <c r="L237" t="s">
        <v>87</v>
      </c>
      <c r="M237" t="s">
        <v>88</v>
      </c>
      <c r="N237">
        <v>183.5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519</v>
      </c>
      <c r="T237">
        <v>6</v>
      </c>
      <c r="U237" t="s">
        <v>89</v>
      </c>
    </row>
    <row r="238" spans="1:22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8679</v>
      </c>
      <c r="H238" t="s">
        <v>60</v>
      </c>
      <c r="I238">
        <v>1000008679</v>
      </c>
      <c r="J238">
        <v>28813882</v>
      </c>
      <c r="K238" t="s">
        <v>206</v>
      </c>
      <c r="L238" t="s">
        <v>87</v>
      </c>
      <c r="M238" t="s">
        <v>88</v>
      </c>
      <c r="N238">
        <v>152.5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520</v>
      </c>
      <c r="T238">
        <v>6</v>
      </c>
      <c r="U238" t="s">
        <v>89</v>
      </c>
    </row>
    <row r="239" spans="1:22" outlineLevel="1" x14ac:dyDescent="0.25">
      <c r="H239" s="9" t="s">
        <v>550</v>
      </c>
      <c r="N239">
        <f>SUBTOTAL(9,N235:N238)</f>
        <v>1697</v>
      </c>
    </row>
    <row r="240" spans="1:22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8683</v>
      </c>
      <c r="H240" t="s">
        <v>66</v>
      </c>
      <c r="I240">
        <v>1000008683</v>
      </c>
      <c r="J240">
        <v>28823657</v>
      </c>
      <c r="K240" t="s">
        <v>300</v>
      </c>
      <c r="L240" t="s">
        <v>87</v>
      </c>
      <c r="M240" t="s">
        <v>88</v>
      </c>
      <c r="N240">
        <v>70.5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521</v>
      </c>
      <c r="T240">
        <v>6</v>
      </c>
      <c r="U240" t="s">
        <v>89</v>
      </c>
    </row>
    <row r="241" spans="1:21" outlineLevel="1" x14ac:dyDescent="0.25">
      <c r="H241" s="9" t="s">
        <v>551</v>
      </c>
      <c r="N241">
        <f>SUBTOTAL(9,N240:N240)</f>
        <v>70.5</v>
      </c>
    </row>
    <row r="242" spans="1:21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9216</v>
      </c>
      <c r="H242" t="s">
        <v>43</v>
      </c>
      <c r="I242">
        <v>1000009216</v>
      </c>
      <c r="J242">
        <v>28812996</v>
      </c>
      <c r="K242" t="s">
        <v>194</v>
      </c>
      <c r="L242" t="s">
        <v>87</v>
      </c>
      <c r="M242" t="s">
        <v>88</v>
      </c>
      <c r="N242">
        <v>103.5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522</v>
      </c>
      <c r="T242">
        <v>6</v>
      </c>
      <c r="U242" t="s">
        <v>89</v>
      </c>
    </row>
    <row r="243" spans="1:21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9216</v>
      </c>
      <c r="H243" t="s">
        <v>43</v>
      </c>
      <c r="I243">
        <v>1000009216</v>
      </c>
      <c r="J243">
        <v>28818698</v>
      </c>
      <c r="K243" t="s">
        <v>244</v>
      </c>
      <c r="L243" t="s">
        <v>87</v>
      </c>
      <c r="M243" t="s">
        <v>88</v>
      </c>
      <c r="N243">
        <v>125.5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523</v>
      </c>
      <c r="T243">
        <v>6</v>
      </c>
      <c r="U243" t="s">
        <v>89</v>
      </c>
    </row>
    <row r="244" spans="1:21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9216</v>
      </c>
      <c r="H244" t="s">
        <v>43</v>
      </c>
      <c r="I244">
        <v>1000009216</v>
      </c>
      <c r="J244">
        <v>28819333</v>
      </c>
      <c r="K244" t="s">
        <v>252</v>
      </c>
      <c r="L244" t="s">
        <v>87</v>
      </c>
      <c r="M244" t="s">
        <v>88</v>
      </c>
      <c r="N244">
        <v>44.5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524</v>
      </c>
      <c r="T244">
        <v>6</v>
      </c>
      <c r="U244" t="s">
        <v>89</v>
      </c>
    </row>
    <row r="245" spans="1:21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9216</v>
      </c>
      <c r="H245" t="s">
        <v>43</v>
      </c>
      <c r="I245">
        <v>1000009216</v>
      </c>
      <c r="J245">
        <v>28819347</v>
      </c>
      <c r="K245" t="s">
        <v>253</v>
      </c>
      <c r="L245" t="s">
        <v>87</v>
      </c>
      <c r="M245" t="s">
        <v>88</v>
      </c>
      <c r="N245">
        <v>94.5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525</v>
      </c>
      <c r="T245">
        <v>6</v>
      </c>
      <c r="U245" t="s">
        <v>89</v>
      </c>
    </row>
    <row r="246" spans="1:21" outlineLevel="1" x14ac:dyDescent="0.25">
      <c r="H246" s="9" t="s">
        <v>552</v>
      </c>
      <c r="N246">
        <f>SUBTOTAL(9,N242:N245)</f>
        <v>368</v>
      </c>
    </row>
    <row r="247" spans="1:21" x14ac:dyDescent="0.25">
      <c r="H247" s="9" t="s">
        <v>553</v>
      </c>
      <c r="N247">
        <f>SUBTOTAL(9,N4:N245)</f>
        <v>43254.5</v>
      </c>
      <c r="Q247">
        <f>COUNT(O3:O246)</f>
        <v>221</v>
      </c>
      <c r="R247">
        <f>Q247*4.94</f>
        <v>1091.74</v>
      </c>
      <c r="S247" s="12">
        <f>N247-R247</f>
        <v>42162.76</v>
      </c>
    </row>
  </sheetData>
  <sortState xmlns:xlrd2="http://schemas.microsoft.com/office/spreadsheetml/2017/richdata2" ref="A4:V245">
    <sortCondition ref="H4:H245"/>
    <sortCondition ref="K4:K2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Sucursales</vt:lpstr>
      <vt:lpstr>Inicio</vt:lpstr>
      <vt:lpstr>08 AGOSTO_Dif_Conceptos</vt:lpstr>
      <vt:lpstr>08 AGOSTO_Dif_Cobros</vt:lpstr>
      <vt:lpstr>03.06.2022</vt:lpstr>
      <vt:lpstr>02.06.2022</vt:lpstr>
      <vt:lpstr>01.06.2022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AUX_SISTEMAS</dc:creator>
  <cp:lastModifiedBy>Oscar Hernandez</cp:lastModifiedBy>
  <cp:lastPrinted>2022-06-03T12:38:23Z</cp:lastPrinted>
  <dcterms:created xsi:type="dcterms:W3CDTF">2022-04-23T15:31:25Z</dcterms:created>
  <dcterms:modified xsi:type="dcterms:W3CDTF">2022-08-31T20:48:40Z</dcterms:modified>
</cp:coreProperties>
</file>
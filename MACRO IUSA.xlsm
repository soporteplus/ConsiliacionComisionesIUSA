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f6013373d3e2ef/MACROS/MACROS COMISIONES/"/>
    </mc:Choice>
  </mc:AlternateContent>
  <xr:revisionPtr revIDLastSave="286" documentId="13_ncr:1_{A67EB91E-65C6-44B3-8660-3F968D67541A}" xr6:coauthVersionLast="47" xr6:coauthVersionMax="47" xr10:uidLastSave="{50B77A3E-C447-48EE-A702-1DC2F69D2F34}"/>
  <bookViews>
    <workbookView xWindow="-120" yWindow="-120" windowWidth="29040" windowHeight="15840" firstSheet="2" activeTab="4" xr2:uid="{5531C704-A31C-418F-A209-50FAA04DF92B}"/>
  </bookViews>
  <sheets>
    <sheet name="Sucursales" sheetId="14" state="hidden" r:id="rId1"/>
    <sheet name="Inicio" sheetId="1" r:id="rId2"/>
    <sheet name="08 AGOSTO_Dif_Cobros" sheetId="509" r:id="rId3"/>
    <sheet name="08 AGOSTO_Dif_Conceptos" sheetId="508" r:id="rId4"/>
    <sheet name="no empatados_11.08.2022" sheetId="545" r:id="rId5"/>
    <sheet name="empatados_11.08.2022" sheetId="544" r:id="rId6"/>
    <sheet name="11.08.2022" sheetId="542" r:id="rId7"/>
    <sheet name="COMISIONES_11.08.2022" sheetId="541" r:id="rId8"/>
    <sheet name="SERVICIOS_11.08.2022" sheetId="540" r:id="rId9"/>
    <sheet name="03.06.2022" sheetId="282" state="hidden" r:id="rId10"/>
    <sheet name="02.06.2022" sheetId="280" state="hidden" r:id="rId11"/>
    <sheet name="01.06.2022" sheetId="278" state="hidden" r:id="rId1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28" i="540" l="1"/>
  <c r="H226" i="540"/>
  <c r="H224" i="540"/>
  <c r="S187" i="542"/>
  <c r="R187" i="542"/>
  <c r="Q187" i="542"/>
  <c r="N186" i="542"/>
  <c r="N184" i="542"/>
  <c r="N182" i="542"/>
  <c r="N175" i="542"/>
  <c r="N157" i="542"/>
  <c r="N153" i="542"/>
  <c r="N148" i="542"/>
  <c r="N139" i="542"/>
  <c r="N117" i="542"/>
  <c r="N99" i="542"/>
  <c r="N88" i="542"/>
  <c r="N82" i="542"/>
  <c r="N75" i="542"/>
  <c r="N62" i="542"/>
  <c r="N51" i="542"/>
  <c r="N43" i="542"/>
  <c r="N40" i="542"/>
  <c r="N37" i="542"/>
  <c r="N19" i="542"/>
  <c r="N16" i="542"/>
  <c r="N10" i="542"/>
  <c r="N187" i="542" s="1"/>
  <c r="G75" i="540"/>
  <c r="G87" i="540" s="1"/>
  <c r="H222" i="540"/>
  <c r="G222" i="540"/>
  <c r="I222" i="540" s="1"/>
  <c r="H218" i="540"/>
  <c r="G218" i="540"/>
  <c r="I218" i="540" s="1"/>
  <c r="H215" i="540"/>
  <c r="G215" i="540"/>
  <c r="I215" i="540" s="1"/>
  <c r="H207" i="540"/>
  <c r="G207" i="540"/>
  <c r="H204" i="540"/>
  <c r="G204" i="540"/>
  <c r="H185" i="540"/>
  <c r="G185" i="540"/>
  <c r="H178" i="540"/>
  <c r="G178" i="540"/>
  <c r="H172" i="540"/>
  <c r="G172" i="540"/>
  <c r="H161" i="540"/>
  <c r="G161" i="540"/>
  <c r="H137" i="540"/>
  <c r="G137" i="540"/>
  <c r="H118" i="540"/>
  <c r="G118" i="540"/>
  <c r="H106" i="540"/>
  <c r="G106" i="540"/>
  <c r="H95" i="540"/>
  <c r="G95" i="540"/>
  <c r="H87" i="540"/>
  <c r="H71" i="540"/>
  <c r="G71" i="540"/>
  <c r="H59" i="540"/>
  <c r="G59" i="540"/>
  <c r="H50" i="540"/>
  <c r="G50" i="540"/>
  <c r="H46" i="540"/>
  <c r="G46" i="540"/>
  <c r="H42" i="540"/>
  <c r="G42" i="540"/>
  <c r="H21" i="540"/>
  <c r="G21" i="540"/>
  <c r="H17" i="540"/>
  <c r="G17" i="540"/>
  <c r="H10" i="540"/>
  <c r="G10" i="540"/>
  <c r="I207" i="540" l="1"/>
  <c r="H223" i="540"/>
  <c r="I204" i="540"/>
  <c r="I178" i="540"/>
  <c r="I185" i="540"/>
  <c r="I172" i="540"/>
  <c r="I137" i="540"/>
  <c r="I161" i="540"/>
  <c r="I118" i="540"/>
  <c r="I50" i="540"/>
  <c r="I95" i="540"/>
  <c r="I106" i="540"/>
  <c r="I71" i="540"/>
  <c r="I87" i="540"/>
  <c r="I59" i="540"/>
  <c r="I10" i="540"/>
  <c r="I46" i="540"/>
  <c r="I42" i="540"/>
  <c r="I21" i="540"/>
  <c r="I17" i="540"/>
  <c r="Q62" i="282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I223" i="540" l="1"/>
  <c r="N247" i="278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<sst xmlns="http://schemas.openxmlformats.org/spreadsheetml/2006/main" count="7410" uniqueCount="1280">
  <si>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</si>
  <si>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</si>
  <si>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</si>
  <si>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</si>
  <si>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</si>
  <si>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</si>
  <si>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</si>
  <si>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</si>
  <si>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</si>
  <si>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</si>
  <si>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</si>
  <si>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</si>
  <si>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</si>
  <si>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</si>
  <si>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</si>
  <si>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</si>
  <si>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</si>
  <si>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</si>
  <si>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</si>
  <si>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</si>
  <si>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</si>
  <si>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</si>
  <si>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</si>
  <si>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</si>
  <si>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</si>
  <si>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</si>
  <si>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</si>
  <si>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</si>
  <si>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</si>
  <si>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</si>
  <si>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</si>
  <si>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</si>
  <si>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</si>
  <si>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</si>
  <si>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</si>
  <si>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</si>
  <si>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</si>
  <si>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</si>
  <si>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</si>
  <si>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</si>
  <si>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</si>
  <si>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</si>
  <si>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</si>
  <si>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</si>
  <si>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</si>
  <si>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</si>
  <si>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</si>
  <si>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</si>
  <si>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</si>
  <si>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</si>
  <si>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</si>
  <si>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</si>
  <si>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</si>
  <si>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</si>
  <si>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</si>
  <si>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</si>
  <si>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</si>
  <si>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</si>
  <si>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</si>
  <si>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</si>
  <si>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</si>
  <si>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</si>
  <si>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</si>
  <si>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</si>
  <si>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</si>
  <si>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</si>
  <si>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</si>
  <si>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</si>
  <si>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</si>
  <si>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</si>
  <si>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</si>
  <si>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</si>
  <si>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</si>
  <si>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</si>
  <si>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</si>
  <si>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</si>
  <si>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</si>
  <si>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</si>
  <si>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</si>
  <si>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</si>
  <si>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</si>
  <si>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</si>
  <si>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</si>
  <si>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</si>
  <si>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</si>
  <si>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</si>
  <si>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</si>
  <si>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</si>
  <si>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</si>
  <si>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</si>
  <si>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</si>
  <si>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</si>
  <si>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</si>
  <si>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</si>
  <si>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</si>
  <si>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</si>
  <si>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</si>
  <si>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</si>
  <si>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</si>
  <si>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</si>
  <si>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</si>
  <si>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</si>
  <si>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</si>
  <si>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</si>
  <si>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</si>
  <si>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</si>
  <si>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</si>
  <si>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</si>
  <si>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</si>
  <si>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</si>
  <si>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</si>
  <si>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</si>
  <si>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</si>
  <si>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</si>
  <si>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</si>
  <si>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</si>
  <si>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</si>
  <si>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</si>
  <si>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</si>
  <si>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</si>
  <si>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</si>
  <si>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</si>
  <si>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</si>
  <si>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</si>
  <si>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</si>
  <si>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</si>
  <si>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</si>
  <si>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</si>
  <si>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</si>
  <si>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</si>
  <si>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</si>
  <si>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</si>
  <si>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</si>
  <si>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</si>
  <si>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</si>
  <si>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</si>
  <si>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</si>
  <si>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</si>
  <si>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</si>
  <si>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</si>
  <si>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</si>
  <si>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</si>
  <si>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</si>
  <si>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</si>
  <si>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</si>
  <si>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</si>
  <si>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</si>
  <si>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</si>
  <si>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</si>
  <si>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</si>
  <si>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</si>
  <si>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</si>
  <si>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</si>
  <si>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</si>
  <si>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</si>
  <si>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</si>
  <si>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</si>
  <si>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</si>
  <si>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</si>
  <si>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</si>
  <si>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</si>
  <si>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</si>
  <si>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</si>
  <si>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</si>
  <si>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</si>
  <si>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</si>
  <si>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</si>
  <si>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</si>
  <si>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</si>
  <si>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</si>
  <si>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</si>
  <si>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</si>
  <si>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</si>
  <si>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</si>
  <si>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</si>
  <si>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</si>
  <si>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</si>
  <si>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</si>
  <si>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</si>
  <si>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</si>
  <si>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</si>
  <si>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</si>
  <si>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</si>
  <si>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</si>
  <si>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</si>
  <si>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</si>
  <si>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</si>
  <si>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</si>
  <si>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</si>
  <si>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</si>
  <si>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</si>
  <si>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</si>
  <si>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</si>
  <si>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</si>
  <si>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</si>
  <si>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</si>
  <si>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</si>
  <si>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</si>
  <si>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</si>
  <si>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</si>
  <si>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</si>
  <si>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</si>
  <si>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</si>
  <si>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</si>
  <si>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</si>
  <si>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</si>
  <si>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</si>
  <si>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</si>
  <si>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</si>
  <si>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</si>
  <si>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</si>
  <si>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</si>
  <si>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</si>
  <si>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</si>
  <si>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</si>
  <si>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</si>
  <si>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</si>
  <si>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</si>
  <si>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</si>
  <si>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</si>
  <si>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</si>
  <si>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</si>
  <si>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</si>
  <si>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</si>
  <si>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</si>
  <si>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</si>
  <si>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</si>
  <si>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</si>
  <si>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</si>
  <si>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</si>
  <si>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</si>
  <si>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</si>
  <si>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</si>
  <si>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</si>
  <si>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</si>
  <si>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</si>
  <si>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</si>
  <si>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</si>
  <si>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</si>
  <si>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</si>
  <si>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</si>
  <si>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</si>
  <si>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</si>
  <si>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</si>
  <si>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</si>
  <si>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</si>
  <si>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</si>
  <si>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</si>
  <si>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</si>
  <si>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</si>
  <si>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</si>
  <si>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</si>
  <si>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</si>
  <si>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</si>
  <si>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</si>
  <si>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</si>
  <si>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</si>
  <si>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</si>
  <si>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</si>
  <si>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</si>
  <si>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</si>
  <si>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</si>
  <si>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</si>
  <si>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</si>
  <si>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</si>
  <si>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</si>
  <si>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</si>
  <si>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</si>
  <si>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</si>
  <si>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</si>
  <si>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</si>
  <si>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</si>
  <si>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</si>
  <si>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</si>
  <si>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</si>
  <si>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</si>
  <si>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</si>
  <si>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</si>
  <si>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</si>
  <si>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</si>
  <si>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</si>
  <si>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</si>
  <si>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</si>
  <si>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</si>
  <si>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</si>
  <si>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</si>
  <si>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</si>
  <si>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</si>
  <si>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</si>
  <si>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</si>
  <si>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</si>
  <si>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</si>
  <si>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</si>
  <si>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</si>
  <si>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</si>
  <si>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</si>
  <si>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</si>
  <si>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</si>
  <si>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</si>
  <si>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</si>
  <si>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</si>
  <si>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</si>
  <si>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</si>
  <si>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</si>
  <si>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</si>
  <si>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</si>
  <si>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</si>
  <si>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</si>
  <si>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</si>
  <si>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</si>
  <si>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</si>
  <si>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</si>
  <si>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</si>
  <si>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</si>
  <si>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</si>
  <si>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</si>
  <si>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</si>
  <si>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</si>
  <si>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</si>
  <si>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</si>
  <si>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</si>
  <si>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</si>
  <si>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</si>
  <si>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</si>
  <si>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</si>
  <si>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</si>
  <si>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</si>
  <si>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</si>
  <si>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</si>
  <si>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</si>
  <si>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</si>
  <si>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</si>
  <si>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</si>
  <si>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</si>
  <si>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</si>
  <si>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</si>
  <si>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</si>
  <si>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</si>
  <si>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</si>
  <si>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</si>
  <si>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</si>
  <si>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</si>
  <si>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</si>
  <si>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</si>
  <si>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</si>
  <si>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</si>
  <si>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</si>
  <si>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</si>
  <si>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</si>
  <si>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</si>
  <si>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</si>
  <si>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</si>
  <si>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</si>
  <si>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</si>
  <si>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</si>
  <si>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</si>
  <si>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</si>
  <si>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</si>
  <si>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</si>
  <si>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</si>
  <si>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</si>
  <si>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</si>
  <si>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</si>
  <si>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</si>
  <si>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</si>
  <si>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</si>
  <si>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</si>
  <si>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</si>
  <si>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</si>
  <si>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</si>
  <si>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</si>
  <si>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</si>
  <si>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</si>
  <si>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</si>
  <si>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</si>
  <si>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</si>
  <si>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</si>
  <si>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</si>
  <si>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</si>
  <si>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</si>
  <si>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</si>
  <si>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</si>
  <si>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</si>
  <si>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</si>
  <si>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</si>
  <si>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</si>
  <si>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</si>
  <si>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</si>
  <si>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</si>
  <si>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</si>
  <si>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</si>
  <si>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</si>
  <si>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</si>
  <si>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</si>
  <si>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</si>
  <si>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</si>
  <si>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</si>
  <si>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</si>
  <si>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</si>
  <si>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</si>
  <si>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</si>
  <si>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</si>
  <si>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</si>
  <si>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</si>
  <si>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</si>
  <si>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</si>
  <si>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</si>
  <si>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</si>
  <si>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</si>
  <si>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</si>
  <si>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</si>
  <si>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</si>
  <si>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</si>
  <si>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</si>
  <si>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</si>
  <si>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</si>
  <si>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</si>
  <si>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</si>
  <si>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</si>
  <si>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</si>
  <si>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</si>
  <si>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</si>
  <si>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</si>
  <si>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</si>
  <si>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</si>
  <si>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</si>
  <si>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</si>
  <si>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</si>
  <si>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</si>
  <si>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</si>
  <si>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</si>
  <si>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</si>
  <si>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</si>
  <si>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</si>
  <si>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</si>
  <si>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</si>
  <si>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</si>
  <si>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</si>
  <si>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</si>
  <si>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</si>
  <si>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</si>
  <si>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</si>
  <si>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</si>
  <si>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</si>
  <si>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</si>
  <si>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</si>
  <si>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</si>
  <si>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</si>
  <si>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</si>
  <si>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</si>
  <si>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</si>
  <si>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</si>
  <si>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</si>
  <si>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</si>
  <si>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</si>
  <si>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</si>
  <si>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</si>
  <si>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</si>
  <si>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</si>
  <si>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</si>
  <si>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</si>
  <si>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</si>
  <si>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</si>
  <si>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</si>
  <si>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</si>
  <si>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</si>
  <si>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</si>
  <si>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</si>
  <si>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</si>
  <si>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</si>
  <si>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</si>
  <si>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</si>
  <si>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</si>
  <si>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</si>
  <si>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</si>
  <si>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</si>
  <si>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</si>
  <si>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</si>
  <si>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</si>
  <si>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</si>
  <si>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</si>
  <si>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</si>
  <si>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</si>
  <si>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</si>
  <si>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</si>
  <si>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</si>
  <si>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</si>
  <si>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</si>
  <si>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</si>
  <si>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</si>
  <si>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</si>
  <si>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</si>
  <si>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</si>
  <si>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</si>
  <si>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</si>
  <si>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</si>
  <si>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</si>
  <si>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</si>
  <si>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</si>
  <si>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</si>
  <si>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</si>
  <si>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</si>
  <si>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</si>
  <si>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</si>
  <si>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</si>
  <si>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</si>
  <si>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</si>
  <si>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</si>
  <si>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</si>
  <si>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</si>
  <si>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</si>
  <si>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</si>
  <si>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</si>
  <si>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</si>
  <si>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</si>
  <si>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</si>
  <si>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</si>
  <si>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</si>
  <si>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</si>
  <si>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</si>
  <si>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</si>
  <si>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</si>
  <si>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</si>
  <si>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</si>
  <si>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</si>
  <si>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</si>
  <si>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</si>
  <si>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</si>
  <si>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</si>
  <si>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</si>
  <si>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</si>
  <si>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</si>
  <si>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</si>
  <si>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</si>
  <si>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</si>
  <si>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</si>
  <si>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</si>
  <si>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</si>
  <si>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</si>
  <si>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</si>
  <si>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</si>
  <si>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</si>
  <si>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</si>
  <si>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</si>
  <si>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</si>
  <si>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</si>
  <si>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</si>
  <si>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</si>
  <si>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</si>
  <si>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</si>
  <si>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</si>
  <si>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</si>
  <si>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</si>
  <si>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</si>
  <si>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</si>
  <si>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</si>
  <si>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</si>
  <si>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</si>
  <si>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</si>
  <si>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</si>
  <si>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</si>
  <si>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</si>
  <si>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</si>
  <si>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</si>
  <si>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</si>
  <si>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</si>
  <si>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</si>
  <si>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</si>
  <si>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</si>
  <si>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</si>
  <si>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</si>
  <si>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</si>
  <si>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</si>
  <si>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</si>
  <si>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</si>
  <si>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</si>
  <si>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</si>
  <si>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</si>
  <si>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</si>
  <si>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</si>
  <si>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</si>
  <si>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</si>
  <si>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</si>
  <si>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</si>
  <si>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</si>
  <si>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</si>
  <si>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</si>
  <si>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</si>
  <si>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</si>
  <si>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</si>
  <si>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</si>
  <si>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</si>
  <si>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</si>
  <si>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</si>
  <si>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</si>
  <si>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</si>
  <si>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</si>
  <si>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</si>
  <si>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</si>
  <si>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</si>
  <si>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</si>
  <si>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</si>
  <si>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</si>
  <si>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</si>
  <si>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</si>
  <si>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</si>
  <si>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</si>
  <si>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</si>
  <si>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</si>
  <si>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</si>
  <si>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</si>
  <si>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</si>
  <si>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</si>
  <si>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</si>
  <si>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</si>
  <si>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</si>
  <si>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</si>
  <si>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</si>
  <si>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</si>
  <si>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</si>
  <si>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</si>
  <si>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</si>
  <si>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</si>
  <si>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</si>
  <si>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</si>
  <si>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</si>
  <si>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</si>
  <si>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</si>
  <si>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</si>
  <si>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</si>
  <si>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</si>
  <si>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</si>
  <si>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</si>
  <si>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</si>
  <si>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</si>
  <si>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</si>
  <si>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</si>
  <si>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</si>
  <si>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</si>
  <si>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</si>
  <si>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</si>
  <si>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</si>
  <si>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</si>
  <si>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</si>
  <si>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</si>
  <si>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</si>
  <si>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</si>
  <si>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</si>
  <si>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</si>
  <si>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</si>
  <si>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</si>
  <si>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</si>
  <si>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</si>
  <si>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</si>
  <si>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</si>
  <si>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</si>
  <si>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</si>
  <si>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</si>
  <si>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</si>
  <si>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</si>
  <si>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</si>
  <si>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</si>
  <si>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</si>
  <si>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</si>
  <si>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</si>
  <si>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</si>
  <si>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</si>
  <si>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</si>
  <si>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</si>
  <si>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</si>
  <si>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</si>
  <si>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</si>
  <si>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</si>
  <si>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</si>
  <si>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</si>
  <si>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</si>
  <si>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</si>
  <si>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</si>
  <si>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</si>
  <si>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</si>
  <si>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</si>
  <si>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</si>
  <si>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</si>
  <si>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</si>
  <si>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</si>
  <si>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</si>
  <si>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</si>
  <si>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</si>
  <si>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</si>
  <si>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</si>
  <si>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</si>
  <si>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IMPORTE</t>
  </si>
  <si>
    <t>Archivo MNGR_COM:</t>
  </si>
  <si>
    <t>CAJA</t>
  </si>
  <si>
    <t>FECHA</t>
  </si>
  <si>
    <t>HORA</t>
  </si>
  <si>
    <t>VENDEDOR</t>
  </si>
  <si>
    <t>COMENTARIO</t>
  </si>
  <si>
    <t>CONCEPT</t>
  </si>
  <si>
    <t>OBSERVACION</t>
  </si>
  <si>
    <t>ESTATUS</t>
  </si>
  <si>
    <t>FECHA PAGO</t>
  </si>
  <si>
    <t>08 AGOSTO</t>
  </si>
  <si>
    <t>SERVICIOS_11.08.2022</t>
  </si>
  <si>
    <t>COMISIONES_11.08.2022</t>
  </si>
  <si>
    <t>PIN GOOGLE PLAY</t>
  </si>
  <si>
    <t>ROSALBA NILA BALBUENA</t>
  </si>
  <si>
    <t>ENCARGADO TEMP 1</t>
  </si>
  <si>
    <t>RECIBO CFE IUSA</t>
  </si>
  <si>
    <t>JUAN JOSE DURAN DEL VALLE</t>
  </si>
  <si>
    <t>NANCY ADRIANA HERRERA VASQUEZ</t>
  </si>
  <si>
    <t>SANDRA REYES CRUZ</t>
  </si>
  <si>
    <t>RECIBO VE TV/SKY</t>
  </si>
  <si>
    <t>EDUARDO DAVID CRUZ MUÑOZ</t>
  </si>
  <si>
    <t>MARIANA CHAVES OSORIO</t>
  </si>
  <si>
    <t>ROSALIA PEREZ ORTEGA</t>
  </si>
  <si>
    <t>DANIEL BRAULIO FRANCO CRUZ</t>
  </si>
  <si>
    <t>JOSE MIGUEL SORIANO CRUZ</t>
  </si>
  <si>
    <t>ELIEL BUDAR CEDILLO</t>
  </si>
  <si>
    <t>YENIFER HERNANDEZ MARQUEZ</t>
  </si>
  <si>
    <t>JULIO ARMANDO CRUZ CENOBIO</t>
  </si>
  <si>
    <t>MARITZA HERNANDEZ MONTES</t>
  </si>
  <si>
    <t>GLADYS BAUTISTA GONZALES</t>
  </si>
  <si>
    <t>LETICIA ANAHI RUIZ ROJAS</t>
  </si>
  <si>
    <t>MAYRA ORTEGA VELAZQUEZ</t>
  </si>
  <si>
    <t>ALEXIS RAMIREZ SALAZAR</t>
  </si>
  <si>
    <t>JUANA ALVAREZ CRUZ</t>
  </si>
  <si>
    <t>JOAQUIN GUADALUPE ARIAS AMACOSTA</t>
  </si>
  <si>
    <t>YURIKO SANTIAGO GUERRERO</t>
  </si>
  <si>
    <t>ENCARGADO TEMP 3</t>
  </si>
  <si>
    <t>FABIOLA ESPINOSA LUNA</t>
  </si>
  <si>
    <t>ARELY MARTINEZ HERNANDEZ</t>
  </si>
  <si>
    <t>ALEJANDRO MARTINEZ CRUZ</t>
  </si>
  <si>
    <t>MIRNA ALMA MORALES SORIANO</t>
  </si>
  <si>
    <t>RAQUEL RIVERO ACEVEDO</t>
  </si>
  <si>
    <t>GABRIELA VAZQUEZ CRUZ</t>
  </si>
  <si>
    <t>COMISION</t>
  </si>
  <si>
    <t>GUADALUPE BELLO MONTESINOS</t>
  </si>
  <si>
    <t>Caja</t>
  </si>
  <si>
    <t>Hora</t>
  </si>
  <si>
    <t>Vendedor</t>
  </si>
  <si>
    <t>Comentario</t>
  </si>
  <si>
    <t>Concepto</t>
  </si>
  <si>
    <t>PAGO SERVICIO IUSA</t>
  </si>
  <si>
    <t>NumTicket</t>
  </si>
  <si>
    <t>UnidadTotal</t>
  </si>
  <si>
    <t>PAGO 0722</t>
  </si>
  <si>
    <t>PAGO 0622</t>
  </si>
  <si>
    <t>encontrado</t>
  </si>
  <si>
    <t>IUSA</t>
  </si>
  <si>
    <t>Operador IUSA</t>
  </si>
  <si>
    <t>Manager</t>
  </si>
  <si>
    <t>SUPER PLUS 41</t>
  </si>
  <si>
    <t>SUPER PLUS 51</t>
  </si>
  <si>
    <t>SUPER PLUS 61</t>
  </si>
  <si>
    <t>SUPER PLUS 71</t>
  </si>
  <si>
    <t>SUPER PLUS 81</t>
  </si>
  <si>
    <t>SUPER PLUS 91</t>
  </si>
  <si>
    <t>SUPER PLUS 101</t>
  </si>
  <si>
    <t>SUPER PLUS 111</t>
  </si>
  <si>
    <t>SUPER PLUS 121</t>
  </si>
  <si>
    <t>SUPER PLUS 131</t>
  </si>
  <si>
    <t>SUPER PLUS 141</t>
  </si>
  <si>
    <t>SUPER PLUS 161</t>
  </si>
  <si>
    <t>SUPER PLUS 231</t>
  </si>
  <si>
    <t>SUPER PLUS 261</t>
  </si>
  <si>
    <t>SUPER PLUS 271</t>
  </si>
  <si>
    <t>SUPER PLUS 321</t>
  </si>
  <si>
    <t>SUPER PLUS 361</t>
  </si>
  <si>
    <t>SUPER PLUS 401</t>
  </si>
  <si>
    <t>PAGO IUSA</t>
  </si>
  <si>
    <t>PAGO SERVICIO IUSA (O284)</t>
  </si>
  <si>
    <t>FALTA DAR DE BAJA ESTA COMISION</t>
  </si>
  <si>
    <t>697980732828</t>
  </si>
  <si>
    <t>697050250149</t>
  </si>
  <si>
    <t>697180611488</t>
  </si>
  <si>
    <t>697180710877</t>
  </si>
  <si>
    <t>696100151434</t>
  </si>
  <si>
    <t>CAMBIO DE CONCEPTO A MTCENTER</t>
  </si>
  <si>
    <t>16970509102382228</t>
  </si>
  <si>
    <t>16970509102462228</t>
  </si>
  <si>
    <t>Caja: 011</t>
  </si>
  <si>
    <t>Caja: 021</t>
  </si>
  <si>
    <t>Caja: 031</t>
  </si>
  <si>
    <t>Caja: 041</t>
  </si>
  <si>
    <t>Caja: 051</t>
  </si>
  <si>
    <t>Caja: 061</t>
  </si>
  <si>
    <t>Caja: 071</t>
  </si>
  <si>
    <t>Caja: 081</t>
  </si>
  <si>
    <t>Caja: 091</t>
  </si>
  <si>
    <t>Caja: 101</t>
  </si>
  <si>
    <t>Caja: 111</t>
  </si>
  <si>
    <t>Caja: 121</t>
  </si>
  <si>
    <t>Caja: 131</t>
  </si>
  <si>
    <t>Caja: 141</t>
  </si>
  <si>
    <t>Caja: 161</t>
  </si>
  <si>
    <t>Caja: 231</t>
  </si>
  <si>
    <t>Caja: 261</t>
  </si>
  <si>
    <t>Caja: 271</t>
  </si>
  <si>
    <t>Caja: 321</t>
  </si>
  <si>
    <t>Caja: 361</t>
  </si>
  <si>
    <t>Caja: 401</t>
  </si>
  <si>
    <t>GENERAR</t>
  </si>
  <si>
    <t>SE GENERO CON $2.00000000000955E-03 DE MAS.</t>
  </si>
  <si>
    <t>SE GENERO CON $10.5 DE MAS.</t>
  </si>
  <si>
    <t>SE GENERO CON $9.5 DE MAS.</t>
  </si>
  <si>
    <t>-</t>
  </si>
  <si>
    <t>IVA</t>
  </si>
  <si>
    <t>Total a pagar</t>
  </si>
  <si>
    <t>Total a pagar (IUSA)</t>
  </si>
  <si>
    <t>GABRIELA MARLEN ROJAS OLEA</t>
  </si>
  <si>
    <t>MARLEN CORONEL RUIZ</t>
  </si>
  <si>
    <t>AZUCENA MARTINEZ CISNEROS</t>
  </si>
  <si>
    <t>FATIMA CORDERO BARRAGAN</t>
  </si>
  <si>
    <t>ALBINO LAZARO URAGA GONZALEZ</t>
  </si>
  <si>
    <t>YESENIA SIERRA HERRERA</t>
  </si>
  <si>
    <t>AZAREL ELIAS RAMIREZ</t>
  </si>
  <si>
    <t>ITZEL JIMENEZ CORTES</t>
  </si>
  <si>
    <t>GRISELDA GONZALEZ MARTINEZ</t>
  </si>
  <si>
    <t>GUADALUPE VALENTINA ARELLANO BARRERA</t>
  </si>
  <si>
    <t>RUTH YARITZI MENDOZA MEZA</t>
  </si>
  <si>
    <t>MANAGER</t>
  </si>
  <si>
    <t>SE GENERO DE MAS</t>
  </si>
  <si>
    <t>SUPER PLUS 351</t>
  </si>
  <si>
    <t>501240765450</t>
  </si>
  <si>
    <t>98821189130131823257</t>
  </si>
  <si>
    <t>697890500120</t>
  </si>
  <si>
    <t>016981107904202208180000001039</t>
  </si>
  <si>
    <t>GENERADO</t>
  </si>
  <si>
    <t>MARCELA MENDOZA MORALES</t>
  </si>
  <si>
    <t>SUGEILY NATEN-HAT AZUARA GARCIA</t>
  </si>
  <si>
    <t>VILMA SOLANO GARCIA</t>
  </si>
  <si>
    <t>JAIME FLORES CABALLERO</t>
  </si>
  <si>
    <t>SERGIO FELIPE ROJAS MARTINEZ</t>
  </si>
  <si>
    <t>CAMELIA RIVERA MORALES</t>
  </si>
  <si>
    <t>12:20:29 a. m.</t>
  </si>
  <si>
    <t>12:15:24 p. m.</t>
  </si>
  <si>
    <t>12:18:25 p. m.</t>
  </si>
  <si>
    <t>12:20:37 p. m.</t>
  </si>
  <si>
    <t>12:50:58 p. m.</t>
  </si>
  <si>
    <t>03:20:52 p. m.</t>
  </si>
  <si>
    <t>11:40:48 a. m.</t>
  </si>
  <si>
    <t>01:10:59 p. m.</t>
  </si>
  <si>
    <t>09:30:21 p. m.</t>
  </si>
  <si>
    <t>07:09:25 p. m.</t>
  </si>
  <si>
    <t>09:00:19 p. m.</t>
  </si>
  <si>
    <t>11:42:40 a. m.</t>
  </si>
  <si>
    <t>12:15:38 p. m.</t>
  </si>
  <si>
    <t>09:30:15 a. m.</t>
  </si>
  <si>
    <t>12:09:39 p. m.</t>
  </si>
  <si>
    <t>03:08:53 p. m.</t>
  </si>
  <si>
    <t>05:49:08 p. m.</t>
  </si>
  <si>
    <t>06:26:54 p. m.</t>
  </si>
  <si>
    <t>06:51:08 p. m.</t>
  </si>
  <si>
    <t>06:52:32 p. m.</t>
  </si>
  <si>
    <t>09:16:37 a. m.</t>
  </si>
  <si>
    <t>12:11:36 p. m.</t>
  </si>
  <si>
    <t>12:14:18 p. m.</t>
  </si>
  <si>
    <t>01:42:40 p. m.</t>
  </si>
  <si>
    <t>01:44:56 p. m.</t>
  </si>
  <si>
    <t>02:45:27 p. m.</t>
  </si>
  <si>
    <t>06:44:33 p. m.</t>
  </si>
  <si>
    <t>11:05:06 a. m.</t>
  </si>
  <si>
    <t>02:26:14 p. m.</t>
  </si>
  <si>
    <t>06:30:01 p. m.</t>
  </si>
  <si>
    <t>11:10:05 a. m.</t>
  </si>
  <si>
    <t>03:02:03 p. m.</t>
  </si>
  <si>
    <t>05:11:25 p. m.</t>
  </si>
  <si>
    <t>03:53:30 p. m.</t>
  </si>
  <si>
    <t>08:52:25 a. m.</t>
  </si>
  <si>
    <t>01:29:25 p. m.</t>
  </si>
  <si>
    <t>11:01:31 a. m.</t>
  </si>
  <si>
    <t>11:12:37 a. m.</t>
  </si>
  <si>
    <t>06:45:18 p. m.</t>
  </si>
  <si>
    <t>08:29:51 p. m.</t>
  </si>
  <si>
    <t>10:21:27 p. m.</t>
  </si>
  <si>
    <t>08:36:24 a. m.</t>
  </si>
  <si>
    <t>08:46:50 a. m.</t>
  </si>
  <si>
    <t>11:42:36 a. m.</t>
  </si>
  <si>
    <t>04:10:44 p. m.</t>
  </si>
  <si>
    <t>10:15:07 a. m.</t>
  </si>
  <si>
    <t>05:54:08 p. m.</t>
  </si>
  <si>
    <t>05:56:09 p. m.</t>
  </si>
  <si>
    <t>10:04:36 a. m.</t>
  </si>
  <si>
    <t>07:53:14 p. m.</t>
  </si>
  <si>
    <t>09:54:45 p. m.</t>
  </si>
  <si>
    <t>10:32:40 a. m.</t>
  </si>
  <si>
    <t>10:34:45 a. m.</t>
  </si>
  <si>
    <t>09:38:10 p. m.</t>
  </si>
  <si>
    <t>02:49:15 p. m.</t>
  </si>
  <si>
    <t>07:18:01 p. m.</t>
  </si>
  <si>
    <t>09:23:47 p. m.</t>
  </si>
  <si>
    <t>09:25:39 p. m.</t>
  </si>
  <si>
    <t>09:28:11 p. m.</t>
  </si>
  <si>
    <t>08:30:09 a. m.</t>
  </si>
  <si>
    <t>01:58:33 p. m.</t>
  </si>
  <si>
    <t>02:28:04 p. m.</t>
  </si>
  <si>
    <t>05:00:59 p. m.</t>
  </si>
  <si>
    <t>12:55:27 a. m.</t>
  </si>
  <si>
    <t>11:34:21 a. m.</t>
  </si>
  <si>
    <t>01:20:22 p. m.</t>
  </si>
  <si>
    <t>10:56:39 a. m.</t>
  </si>
  <si>
    <t>03:19:11 p. m.</t>
  </si>
  <si>
    <t>05:24:48 p. m.</t>
  </si>
  <si>
    <t>09:06:16 a. m.</t>
  </si>
  <si>
    <t>06:59:07 p. m.</t>
  </si>
  <si>
    <t>03:26:11 p. m.</t>
  </si>
  <si>
    <t>01:19:57 p. m.</t>
  </si>
  <si>
    <t>09:35:44 p. m.</t>
  </si>
  <si>
    <t>11:51:50 a. m.</t>
  </si>
  <si>
    <t>02:07:11 p. m.</t>
  </si>
  <si>
    <t>11:24:41 a. m.</t>
  </si>
  <si>
    <t>06:09:25 p. m.</t>
  </si>
  <si>
    <t>07:24:55 p. m.</t>
  </si>
  <si>
    <t>09:00:10 a. m.</t>
  </si>
  <si>
    <t>10:34:35 a. m.</t>
  </si>
  <si>
    <t>11:57:10 a. m.</t>
  </si>
  <si>
    <t>02:11:39 p. m.</t>
  </si>
  <si>
    <t>03:10:11 p. m.</t>
  </si>
  <si>
    <t>09:27:23 a. m.</t>
  </si>
  <si>
    <t>09:30:36 a. m.</t>
  </si>
  <si>
    <t>09:56:25 a. m.</t>
  </si>
  <si>
    <t>09:58:15 a. m.</t>
  </si>
  <si>
    <t>10:07:34 a. m.</t>
  </si>
  <si>
    <t>01:14:44 p. m.</t>
  </si>
  <si>
    <t>04:01:05 p. m.</t>
  </si>
  <si>
    <t>06:22:02 p. m.</t>
  </si>
  <si>
    <t>10:41:08 a. m.</t>
  </si>
  <si>
    <t>06:05:39 p. m.</t>
  </si>
  <si>
    <t>07:46:49 p. m.</t>
  </si>
  <si>
    <t>07:48:29 p. m.</t>
  </si>
  <si>
    <t>11:37:01 a. m.</t>
  </si>
  <si>
    <t>11:59:22 a. m.</t>
  </si>
  <si>
    <t>01:49:15 p. m.</t>
  </si>
  <si>
    <t>02:47:14 p. m.</t>
  </si>
  <si>
    <t>08:33:51 a. m.</t>
  </si>
  <si>
    <t>11:13:47 a. m.</t>
  </si>
  <si>
    <t>12:11:35 p. m.</t>
  </si>
  <si>
    <t>12:13:31 p. m.</t>
  </si>
  <si>
    <t>02:44:37 p. m.</t>
  </si>
  <si>
    <t>06:49:16 p. m.</t>
  </si>
  <si>
    <t>08:12:07 p. m.</t>
  </si>
  <si>
    <t>09:54:19 a. m.</t>
  </si>
  <si>
    <t>10:39:39 a. m.</t>
  </si>
  <si>
    <t>01:15:37 p. m.</t>
  </si>
  <si>
    <t>04:47:25 p. m.</t>
  </si>
  <si>
    <t>06:00:20 a. m.</t>
  </si>
  <si>
    <t>09:13:36 a. m.</t>
  </si>
  <si>
    <t>09:35:29 a. m.</t>
  </si>
  <si>
    <t>10:15:17 a. m.</t>
  </si>
  <si>
    <t>01:33:22 p. m.</t>
  </si>
  <si>
    <t>02:08:42 p. m.</t>
  </si>
  <si>
    <t>02:21:07 p. m.</t>
  </si>
  <si>
    <t>02:24:07 p. m.</t>
  </si>
  <si>
    <t>03:42:27 p. m.</t>
  </si>
  <si>
    <t>02:53:27 p. m.</t>
  </si>
  <si>
    <t>04:06:36 p. m.</t>
  </si>
  <si>
    <t>09:09:11 p. m.</t>
  </si>
  <si>
    <t>10:51:42 a. m.</t>
  </si>
  <si>
    <t>10:53:42 a. m.</t>
  </si>
  <si>
    <t>02:56:52 p. m.</t>
  </si>
  <si>
    <t>07:25:42 p. m.</t>
  </si>
  <si>
    <t>09:11:07 p. m.</t>
  </si>
  <si>
    <t>01:12:06 p. m.</t>
  </si>
  <si>
    <t>06:55:06 p. m.</t>
  </si>
  <si>
    <t>07:27:01 a. m.</t>
  </si>
  <si>
    <t>10:18:30 a. m.</t>
  </si>
  <si>
    <t>09:55:27 a. m.</t>
  </si>
  <si>
    <t>12:00:32 p. m.</t>
  </si>
  <si>
    <t>12:29:15 p. m.</t>
  </si>
  <si>
    <t>12:37:38 p. m.</t>
  </si>
  <si>
    <t>03:29:12 p. m.</t>
  </si>
  <si>
    <t>07:07:23 p. m.</t>
  </si>
  <si>
    <t>08:21:53 p. m.</t>
  </si>
  <si>
    <t>02:49:25 p. m.</t>
  </si>
  <si>
    <t>03:24:44 p. m.</t>
  </si>
  <si>
    <t>06:58:53 p. m.</t>
  </si>
  <si>
    <t>07:51:27 a. m.</t>
  </si>
  <si>
    <t>08:03:56 a. m.</t>
  </si>
  <si>
    <t>10:37:12 a. m.</t>
  </si>
  <si>
    <t>11:38:35 a. m.</t>
  </si>
  <si>
    <t>11:49:58 a. m.</t>
  </si>
  <si>
    <t>02:37:59 p. m.</t>
  </si>
  <si>
    <t>03:02:06 p. m.</t>
  </si>
  <si>
    <t>03:21:41 p. m.</t>
  </si>
  <si>
    <t>06:28:07 p. m.</t>
  </si>
  <si>
    <t>08:09:04 a. m.</t>
  </si>
  <si>
    <t>06:03:07 p. m.</t>
  </si>
  <si>
    <t>01:08:10 p. m.</t>
  </si>
  <si>
    <t>02:45:57 p. m.</t>
  </si>
  <si>
    <t>07:08:59 p. m.</t>
  </si>
  <si>
    <t>07:10:29 p. m.</t>
  </si>
  <si>
    <t>07:48:36 p. m.</t>
  </si>
  <si>
    <t>697081190560</t>
  </si>
  <si>
    <t>E697081190560</t>
  </si>
  <si>
    <t>697040432001</t>
  </si>
  <si>
    <t>E697040432001</t>
  </si>
  <si>
    <t>697040353110</t>
  </si>
  <si>
    <t>697090498143</t>
  </si>
  <si>
    <t>E697090498143</t>
  </si>
  <si>
    <t>697150194106</t>
  </si>
  <si>
    <t>E697150194106</t>
  </si>
  <si>
    <t>697090998014</t>
  </si>
  <si>
    <t>697100290635</t>
  </si>
  <si>
    <t>E697100290635</t>
  </si>
  <si>
    <t>697950620260</t>
  </si>
  <si>
    <t>697080452650</t>
  </si>
  <si>
    <t>E697080452650</t>
  </si>
  <si>
    <t>697120491009</t>
  </si>
  <si>
    <t>E697120491009</t>
  </si>
  <si>
    <t>697751000228</t>
  </si>
  <si>
    <t>E697751000228</t>
  </si>
  <si>
    <t>697180810421</t>
  </si>
  <si>
    <t>E697180810421</t>
  </si>
  <si>
    <t>697930902099</t>
  </si>
  <si>
    <t>E697930902099</t>
  </si>
  <si>
    <t>697141183100</t>
  </si>
  <si>
    <t>E697141183100</t>
  </si>
  <si>
    <t>697101294308</t>
  </si>
  <si>
    <t>697741100151</t>
  </si>
  <si>
    <t>E697741100151</t>
  </si>
  <si>
    <t>697950820536</t>
  </si>
  <si>
    <t>E697950820536</t>
  </si>
  <si>
    <t>697140582710</t>
  </si>
  <si>
    <t>E697140582710</t>
  </si>
  <si>
    <t>697001231848</t>
  </si>
  <si>
    <t>697910701046</t>
  </si>
  <si>
    <t>E697910701046</t>
  </si>
  <si>
    <t>697910701054</t>
  </si>
  <si>
    <t>E697910701054</t>
  </si>
  <si>
    <t>697110595515</t>
  </si>
  <si>
    <t>697010852570</t>
  </si>
  <si>
    <t>E697010852570</t>
  </si>
  <si>
    <t>697121092035</t>
  </si>
  <si>
    <t>E697121092035</t>
  </si>
  <si>
    <t>697090597036</t>
  </si>
  <si>
    <t>E697090597036</t>
  </si>
  <si>
    <t>697090498372</t>
  </si>
  <si>
    <t>E697090498372</t>
  </si>
  <si>
    <t>697121092027</t>
  </si>
  <si>
    <t>E697121092027</t>
  </si>
  <si>
    <t>697730800542</t>
  </si>
  <si>
    <t>E697730800542</t>
  </si>
  <si>
    <t>697151193545</t>
  </si>
  <si>
    <t>697770104930</t>
  </si>
  <si>
    <t>697811200043</t>
  </si>
  <si>
    <t>E697811200043</t>
  </si>
  <si>
    <t>697060327280</t>
  </si>
  <si>
    <t>E697060327280</t>
  </si>
  <si>
    <t>697931103301</t>
  </si>
  <si>
    <t>697090695216</t>
  </si>
  <si>
    <t>E697090695216</t>
  </si>
  <si>
    <t>697050113290</t>
  </si>
  <si>
    <t>E697050113290</t>
  </si>
  <si>
    <t>697130580581</t>
  </si>
  <si>
    <t>E697130580581</t>
  </si>
  <si>
    <t>697070852897</t>
  </si>
  <si>
    <t>E697070852897</t>
  </si>
  <si>
    <t>697080990414</t>
  </si>
  <si>
    <t>E697080990414</t>
  </si>
  <si>
    <t>697150290598</t>
  </si>
  <si>
    <t>697040851365</t>
  </si>
  <si>
    <t>E697040851365</t>
  </si>
  <si>
    <t>697970305808</t>
  </si>
  <si>
    <t>E697970305808</t>
  </si>
  <si>
    <t>697140472761</t>
  </si>
  <si>
    <t>697920602259</t>
  </si>
  <si>
    <t>E697920602259</t>
  </si>
  <si>
    <t>697870200707</t>
  </si>
  <si>
    <t>E697870200707</t>
  </si>
  <si>
    <t>697080451181</t>
  </si>
  <si>
    <t>E697080451181</t>
  </si>
  <si>
    <t>697970805576</t>
  </si>
  <si>
    <t>E697970805576</t>
  </si>
  <si>
    <t>697000201368</t>
  </si>
  <si>
    <t>E697000201368</t>
  </si>
  <si>
    <t>697150397295</t>
  </si>
  <si>
    <t>E697150397295</t>
  </si>
  <si>
    <t>697971003775</t>
  </si>
  <si>
    <t>697130881557</t>
  </si>
  <si>
    <t>E697130881557</t>
  </si>
  <si>
    <t>697050319050</t>
  </si>
  <si>
    <t>E697050319050</t>
  </si>
  <si>
    <t>697080132191</t>
  </si>
  <si>
    <t>E697080132191</t>
  </si>
  <si>
    <t>697860400694</t>
  </si>
  <si>
    <t>E697860400694</t>
  </si>
  <si>
    <t>697130381023</t>
  </si>
  <si>
    <t>697810400324</t>
  </si>
  <si>
    <t>E697810400324</t>
  </si>
  <si>
    <t>697740700040</t>
  </si>
  <si>
    <t>E697740700040</t>
  </si>
  <si>
    <t>$44.5, FALTA GENERAR $1</t>
  </si>
  <si>
    <t>697180512081</t>
  </si>
  <si>
    <t>E697180512081</t>
  </si>
  <si>
    <t>697130882065</t>
  </si>
  <si>
    <t>697140974383</t>
  </si>
  <si>
    <t>E697140974383</t>
  </si>
  <si>
    <t>697180510941</t>
  </si>
  <si>
    <t>E697180510941</t>
  </si>
  <si>
    <t>697890500847</t>
  </si>
  <si>
    <t>697130880780</t>
  </si>
  <si>
    <t>697060120707</t>
  </si>
  <si>
    <t>E697060120707</t>
  </si>
  <si>
    <t>697110494611</t>
  </si>
  <si>
    <t>E697110494611</t>
  </si>
  <si>
    <t>697011155805</t>
  </si>
  <si>
    <t>697060220191</t>
  </si>
  <si>
    <t>E697060220191</t>
  </si>
  <si>
    <t>697100192331</t>
  </si>
  <si>
    <t>E697100192331</t>
  </si>
  <si>
    <t>697090995376</t>
  </si>
  <si>
    <t>697050812040</t>
  </si>
  <si>
    <t>E697050812040</t>
  </si>
  <si>
    <t>697991130510</t>
  </si>
  <si>
    <t>E697991130510</t>
  </si>
  <si>
    <t>697090497422</t>
  </si>
  <si>
    <t>E697090497422</t>
  </si>
  <si>
    <t>697101294537</t>
  </si>
  <si>
    <t>697940990751</t>
  </si>
  <si>
    <t>E697940990751</t>
  </si>
  <si>
    <t>697880500563</t>
  </si>
  <si>
    <t>E697880500563</t>
  </si>
  <si>
    <t>697080693151</t>
  </si>
  <si>
    <t>E697080693151</t>
  </si>
  <si>
    <t>697901200824</t>
  </si>
  <si>
    <t>E697901200824</t>
  </si>
  <si>
    <t>697910801440</t>
  </si>
  <si>
    <t>E697910801440</t>
  </si>
  <si>
    <t>697001032136</t>
  </si>
  <si>
    <t>E697001032136</t>
  </si>
  <si>
    <t>697080454202</t>
  </si>
  <si>
    <t>E697080454202</t>
  </si>
  <si>
    <t>697770100144</t>
  </si>
  <si>
    <t>697150701041</t>
  </si>
  <si>
    <t>697140880613</t>
  </si>
  <si>
    <t>E697140880613</t>
  </si>
  <si>
    <t>697140973174</t>
  </si>
  <si>
    <t>697120292022</t>
  </si>
  <si>
    <t>697030930321</t>
  </si>
  <si>
    <t>E697030930321</t>
  </si>
  <si>
    <t>697871000141</t>
  </si>
  <si>
    <t>697040551353</t>
  </si>
  <si>
    <t>697910400631</t>
  </si>
  <si>
    <t>E697910400631</t>
  </si>
  <si>
    <t>697930208141</t>
  </si>
  <si>
    <t>E697930208141</t>
  </si>
  <si>
    <t>697090198735</t>
  </si>
  <si>
    <t>697150491933</t>
  </si>
  <si>
    <t>697060123731</t>
  </si>
  <si>
    <t>697140775194</t>
  </si>
  <si>
    <t>697060930954</t>
  </si>
  <si>
    <t>697080454555</t>
  </si>
  <si>
    <t>697100591864</t>
  </si>
  <si>
    <t>697040852418</t>
  </si>
  <si>
    <t>E697040852418</t>
  </si>
  <si>
    <t>697970606123</t>
  </si>
  <si>
    <t>E697970606123</t>
  </si>
  <si>
    <t>697010452873</t>
  </si>
  <si>
    <t>E697010452873</t>
  </si>
  <si>
    <t>697840100589</t>
  </si>
  <si>
    <t>E697840100589</t>
  </si>
  <si>
    <t>697140180867</t>
  </si>
  <si>
    <t>E697140180867</t>
  </si>
  <si>
    <t>697780300419</t>
  </si>
  <si>
    <t>E697780300419</t>
  </si>
  <si>
    <t>697000632369</t>
  </si>
  <si>
    <t>E697000632369</t>
  </si>
  <si>
    <t>697080454539</t>
  </si>
  <si>
    <t>E697080454539</t>
  </si>
  <si>
    <t>697111191868</t>
  </si>
  <si>
    <t>E697111191868</t>
  </si>
  <si>
    <t>697140882357</t>
  </si>
  <si>
    <t>E697140882357</t>
  </si>
  <si>
    <t>697150492638</t>
  </si>
  <si>
    <t>E697150492638</t>
  </si>
  <si>
    <t>697001032586</t>
  </si>
  <si>
    <t>697840700276</t>
  </si>
  <si>
    <t>697030833733</t>
  </si>
  <si>
    <t>696090134404</t>
  </si>
  <si>
    <t>E696090134404</t>
  </si>
  <si>
    <t>696110892769</t>
  </si>
  <si>
    <t>E696110892769</t>
  </si>
  <si>
    <t>696150970398</t>
  </si>
  <si>
    <t>E696150970398</t>
  </si>
  <si>
    <t>696920800259</t>
  </si>
  <si>
    <t>E696920800259</t>
  </si>
  <si>
    <t>696871100556</t>
  </si>
  <si>
    <t>E696871100556</t>
  </si>
  <si>
    <t>696020905250</t>
  </si>
  <si>
    <t>E696020905250</t>
  </si>
  <si>
    <t>696120850584</t>
  </si>
  <si>
    <t>E696120850584</t>
  </si>
  <si>
    <t>697040432036</t>
  </si>
  <si>
    <t>E697040432036</t>
  </si>
  <si>
    <t>697141284755</t>
  </si>
  <si>
    <t>697021050432</t>
  </si>
  <si>
    <t>E697021050432</t>
  </si>
  <si>
    <t>697091297508</t>
  </si>
  <si>
    <t>E697091297508</t>
  </si>
  <si>
    <t>697850500437</t>
  </si>
  <si>
    <t>E697850500437</t>
  </si>
  <si>
    <t>697920504940</t>
  </si>
  <si>
    <t>E697890500120</t>
  </si>
  <si>
    <t>697150291161</t>
  </si>
  <si>
    <t>E697150291161</t>
  </si>
  <si>
    <t>697150991588</t>
  </si>
  <si>
    <t>E697150991588</t>
  </si>
  <si>
    <t>697921006226</t>
  </si>
  <si>
    <t>E697921006226</t>
  </si>
  <si>
    <t>697020630532</t>
  </si>
  <si>
    <t>697960630506</t>
  </si>
  <si>
    <t>E697960630506</t>
  </si>
  <si>
    <t>697091296749</t>
  </si>
  <si>
    <t>697830900757</t>
  </si>
  <si>
    <t>E697830900757</t>
  </si>
  <si>
    <t>697880700147</t>
  </si>
  <si>
    <t>E697880700147</t>
  </si>
  <si>
    <t>697971103354</t>
  </si>
  <si>
    <t>E697971103354</t>
  </si>
  <si>
    <t>697020730308</t>
  </si>
  <si>
    <t>E697020730308</t>
  </si>
  <si>
    <t>697830600346</t>
  </si>
  <si>
    <t>E697830600346</t>
  </si>
  <si>
    <t>697860300142</t>
  </si>
  <si>
    <t>E697860300142</t>
  </si>
  <si>
    <t>697070953316</t>
  </si>
  <si>
    <t>697131092581</t>
  </si>
  <si>
    <t>697150293171</t>
  </si>
  <si>
    <t>E697150293171</t>
  </si>
  <si>
    <t>697070950147</t>
  </si>
  <si>
    <t>E697070950147</t>
  </si>
  <si>
    <t>697130785663</t>
  </si>
  <si>
    <t>E697130785663</t>
  </si>
  <si>
    <t>697130882987</t>
  </si>
  <si>
    <t>E697130882987</t>
  </si>
  <si>
    <t>697141181174</t>
  </si>
  <si>
    <t>E697141181174</t>
  </si>
  <si>
    <t>697901000167</t>
  </si>
  <si>
    <t>697951220567</t>
  </si>
  <si>
    <t>697180811762</t>
  </si>
  <si>
    <t>E697180811762</t>
  </si>
  <si>
    <t>CAMBIO DE CONCEPTO A CFE IUSA</t>
  </si>
  <si>
    <t>697980631843</t>
  </si>
  <si>
    <t>697150592331</t>
  </si>
  <si>
    <t>697880800940</t>
  </si>
  <si>
    <t>E697880800940</t>
  </si>
  <si>
    <t>697081092509</t>
  </si>
  <si>
    <t>697140580679</t>
  </si>
  <si>
    <t>E697140580679</t>
  </si>
  <si>
    <t>697060120561</t>
  </si>
  <si>
    <t>697051113552</t>
  </si>
  <si>
    <t>697041153416</t>
  </si>
  <si>
    <t>697040653083</t>
  </si>
  <si>
    <t>697740500024</t>
  </si>
  <si>
    <t>697940880468</t>
  </si>
  <si>
    <t>E697940880468</t>
  </si>
  <si>
    <t>697131093005</t>
  </si>
  <si>
    <t>E697131093005</t>
  </si>
  <si>
    <t>696140760794</t>
  </si>
  <si>
    <t>E696140760794</t>
  </si>
  <si>
    <t>697860700191</t>
  </si>
  <si>
    <t>697090195434</t>
  </si>
  <si>
    <t>E697090195434</t>
  </si>
  <si>
    <t>697141082371</t>
  </si>
  <si>
    <t>E697141082371</t>
  </si>
  <si>
    <t>697021253546</t>
  </si>
  <si>
    <t>501277016819</t>
  </si>
  <si>
    <t>501270108084</t>
  </si>
  <si>
    <t>697140281132310722</t>
  </si>
  <si>
    <t>696870800252</t>
  </si>
  <si>
    <t>016972011122662208060000019828</t>
  </si>
  <si>
    <t>6961124800</t>
  </si>
  <si>
    <t>697090897650</t>
  </si>
  <si>
    <t>Caja: 281</t>
  </si>
  <si>
    <t>-180.5</t>
  </si>
  <si>
    <t>SE GENERO CON $2.5 DE MAS.</t>
  </si>
  <si>
    <t>-238.5</t>
  </si>
  <si>
    <t>-148.5</t>
  </si>
  <si>
    <t>-1990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</si>
</sst>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12"/>
      <color theme="1"/>
      <name val="Tahoma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14" fontId="0" fillId="0" borderId="0" xfId="0" applyNumberFormat="1"/>
    <xf numFmtId="0" fontId="0" fillId="0" borderId="0" xfId="0" quotePrefix="1"/>
    <xf numFmtId="14" fontId="0" fillId="0" borderId="0" xfId="0" applyNumberFormat="1"/>
    <xf numFmtId="1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applyFill="1"/>
    <xf numFmtId="2" fontId="0" fillId="4" borderId="0" xfId="0" applyNumberFormat="1" applyFill="1"/>
    <xf numFmtId="0" fontId="4" fillId="0" borderId="5" xfId="0" applyFont="1" applyBorder="1"/>
    <xf numFmtId="14" fontId="4" fillId="0" borderId="5" xfId="0" applyNumberFormat="1" applyFont="1" applyBorder="1"/>
    <xf numFmtId="164" fontId="4" fillId="0" borderId="5" xfId="0" applyNumberFormat="1" applyFont="1" applyBorder="1"/>
    <xf numFmtId="0" fontId="4" fillId="0" borderId="5" xfId="0" applyFont="1" applyFill="1" applyBorder="1" applyAlignment="1">
      <alignment horizontal="center" vertical="top"/>
    </xf>
    <xf numFmtId="14" fontId="4" fillId="0" borderId="5" xfId="0" applyNumberFormat="1" applyFont="1" applyFill="1" applyBorder="1"/>
    <xf numFmtId="164" fontId="4" fillId="0" borderId="5" xfId="0" applyNumberFormat="1" applyFont="1" applyFill="1" applyBorder="1"/>
    <xf numFmtId="0" fontId="4" fillId="0" borderId="5" xfId="0" applyFont="1" applyFill="1" applyBorder="1"/>
    <xf numFmtId="0" fontId="4" fillId="0" borderId="5" xfId="0" quotePrefix="1" applyFont="1" applyBorder="1"/>
    <xf numFmtId="14" fontId="4" fillId="0" borderId="5" xfId="0" applyNumberFormat="1" applyFont="1" applyFill="1" applyBorder="1"/>
    <xf numFmtId="2" fontId="4" fillId="0" borderId="5" xfId="0" applyNumberFormat="1" applyFont="1" applyFill="1" applyBorder="1"/>
    <xf numFmtId="14" fontId="4" fillId="4" borderId="5" xfId="0" applyNumberFormat="1" applyFont="1" applyFill="1" applyBorder="1"/>
    <xf numFmtId="164" fontId="4" fillId="4" borderId="5" xfId="0" applyNumberFormat="1" applyFont="1" applyFill="1" applyBorder="1"/>
    <xf numFmtId="0" fontId="4" fillId="4" borderId="5" xfId="0" applyFont="1" applyFill="1" applyBorder="1"/>
    <xf numFmtId="0" fontId="4" fillId="4" borderId="5" xfId="0" quotePrefix="1" applyFont="1" applyFill="1" applyBorder="1"/>
    <xf numFmtId="14" fontId="4" fillId="5" borderId="5" xfId="0" applyNumberFormat="1" applyFont="1" applyFill="1" applyBorder="1"/>
    <xf numFmtId="164" fontId="4" fillId="5" borderId="5" xfId="0" applyNumberFormat="1" applyFont="1" applyFill="1" applyBorder="1"/>
    <xf numFmtId="0" fontId="4" fillId="5" borderId="5" xfId="0" applyFont="1" applyFill="1" applyBorder="1"/>
    <xf numFmtId="0" fontId="4" fillId="5" borderId="5" xfId="0" quotePrefix="1" applyFont="1" applyFill="1" applyBorder="1"/>
    <xf numFmtId="14" fontId="4" fillId="5" borderId="5" xfId="0" applyNumberFormat="1" applyFont="1" applyFill="1" applyBorder="1" applyAlignment="1">
      <alignment horizontal="center" vertical="center"/>
    </xf>
    <xf numFmtId="14" fontId="4" fillId="3" borderId="5" xfId="0" applyNumberFormat="1" applyFont="1" applyFill="1" applyBorder="1"/>
    <xf numFmtId="164" fontId="4" fillId="3" borderId="5" xfId="0" applyNumberFormat="1" applyFont="1" applyFill="1" applyBorder="1"/>
    <xf numFmtId="0" fontId="4" fillId="3" borderId="5" xfId="0" applyFont="1" applyFill="1" applyBorder="1"/>
    <xf numFmtId="0" fontId="4" fillId="3" borderId="5" xfId="0" quotePrefix="1" applyFont="1" applyFill="1" applyBorder="1"/>
    <xf numFmtId="14" fontId="4" fillId="3" borderId="5" xfId="0" applyNumberFormat="1" applyFont="1" applyFill="1" applyBorder="1" applyAlignment="1">
      <alignment horizontal="center" vertical="center"/>
    </xf>
    <xf numFmtId="0" fontId="4" fillId="0" borderId="5" xfId="0" applyFont="1" applyBorder="1" applyAlignment="1"/>
    <xf numFmtId="0" fontId="4" fillId="4" borderId="5" xfId="0" applyFont="1" applyFill="1" applyBorder="1" applyAlignment="1"/>
    <xf numFmtId="0" fontId="4" fillId="5" borderId="5" xfId="0" applyFont="1" applyFill="1" applyBorder="1" applyAlignment="1"/>
    <xf numFmtId="0" fontId="4" fillId="3" borderId="5" xfId="0" applyFont="1" applyFill="1" applyBorder="1" applyAlignment="1"/>
    <xf numFmtId="0" fontId="0" fillId="0" borderId="0" xfId="0" applyAlignment="1"/>
    <xf numFmtId="14" fontId="4" fillId="0" borderId="6" xfId="0" applyNumberFormat="1" applyFont="1" applyBorder="1"/>
    <xf numFmtId="14" fontId="4" fillId="0" borderId="7" xfId="0" applyNumberFormat="1" applyFont="1" applyBorder="1"/>
    <xf numFmtId="14" fontId="5" fillId="0" borderId="4" xfId="0" applyNumberFormat="1" applyFont="1" applyBorder="1"/>
    <xf numFmtId="4" fontId="5" fillId="0" borderId="5" xfId="0" applyNumberFormat="1" applyFont="1" applyBorder="1"/>
    <xf numFmtId="14" fontId="6" fillId="0" borderId="0" xfId="0" applyNumberFormat="1" applyFont="1"/>
    <xf numFmtId="4" fontId="6" fillId="0" borderId="0" xfId="0" applyNumberFormat="1" applyFont="1"/>
    <xf numFmtId="14" fontId="7" fillId="0" borderId="8" xfId="0" applyNumberFormat="1" applyFont="1" applyBorder="1"/>
    <xf numFmtId="14" fontId="0" fillId="0" borderId="9" xfId="0" applyNumberFormat="1" applyBorder="1"/>
    <xf numFmtId="4" fontId="7" fillId="0" borderId="9" xfId="0" applyNumberFormat="1" applyFont="1" applyBorder="1"/>
    <xf numFmtId="0" fontId="0" fillId="0" borderId="9" xfId="0" applyBorder="1"/>
    <xf numFmtId="0" fontId="0" fillId="0" borderId="10" xfId="0" applyBorder="1"/>
    <xf numFmtId="14" fontId="4" fillId="0" borderId="4" xfId="0" applyNumberFormat="1" applyFont="1" applyBorder="1" applyAlignment="1">
      <alignment horizontal="center"/>
    </xf>
    <xf numFmtId="14" fontId="4" fillId="0" borderId="6" xfId="0" applyNumberFormat="1" applyFont="1" applyBorder="1" applyAlignment="1">
      <alignment horizontal="center"/>
    </xf>
    <xf numFmtId="14" fontId="4" fillId="0" borderId="7" xfId="0" applyNumberFormat="1" applyFont="1" applyBorder="1" applyAlignment="1">
      <alignment horizontal="center"/>
    </xf>
    <xf numFmtId="14" fontId="4" fillId="6" borderId="5" xfId="0" applyNumberFormat="1" applyFont="1" applyFill="1" applyBorder="1"/>
    <xf numFmtId="164" fontId="4" fillId="6" borderId="5" xfId="0" applyNumberFormat="1" applyFont="1" applyFill="1" applyBorder="1"/>
    <xf numFmtId="0" fontId="4" fillId="6" borderId="5" xfId="0" applyFont="1" applyFill="1" applyBorder="1"/>
    <xf numFmtId="0" fontId="4" fillId="6" borderId="5" xfId="0" quotePrefix="1" applyFont="1" applyFill="1" applyBorder="1"/>
    <xf numFmtId="0" fontId="4" fillId="6" borderId="5" xfId="0" applyFont="1" applyFill="1" applyBorder="1" applyAlignment="1"/>
    <xf numFmtId="22" fontId="0" fillId="0" borderId="0" xfId="0" applyNumberFormat="1"/>
    <xf numFmtId="8" fontId="0" fillId="0" borderId="0" xfId="0" applyNumberFormat="1"/>
    <xf numFmtId="22" fontId="0" fillId="3" borderId="0" xfId="0" applyNumberFormat="1" applyFill="1"/>
    <xf numFmtId="22" fontId="0" fillId="5" borderId="0" xfId="0" applyNumberFormat="1" applyFill="1"/>
    <xf numFmtId="22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O28"/>
  <sheetViews>
    <sheetView workbookViewId="0">
      <selection activeCell="D20" sqref="D20"/>
    </sheetView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44784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1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3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702</v>
      </c>
      <c r="C5" s="4" t="s">
        <v>11</v>
      </c>
      <c r="D5" s="1" t="s">
        <v>703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692</v>
      </c>
      <c r="D8" s="1" t="s">
        <v>704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15" x14ac:dyDescent="0.25">
      <c r="D17" s="15"/>
    </row>
    <row r="18" spans="4:15" x14ac:dyDescent="0.25">
      <c r="H18" s="15"/>
    </row>
    <row r="26" spans="4:15" x14ac:dyDescent="0.25">
      <c r="D26" s="15"/>
      <c r="K26" s="15"/>
    </row>
    <row r="27" spans="4:15" x14ac:dyDescent="0.25">
      <c r="O27" s="15"/>
    </row>
    <row r="28" spans="4:15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2BBF-5B3A-4616-BEBB-5AE3A4906C9B}">
  <sheetPr codeName="Hoja2"/>
  <dimension ref="A1:J15"/>
  <sheetViews>
    <sheetView workbookViewId="0">
      <selection activeCell="E27" sqref="E27"/>
    </sheetView>
  </sheetViews>
  <sheetFormatPr baseColWidth="10" defaultRowHeight="15" x14ac:dyDescent="0.25"/>
  <sheetData>
    <row r="1" spans="1:10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H1" t="s">
        <v>700</v>
      </c>
      <c r="I1" t="s">
        <v>699</v>
      </c>
      <c r="J1" t="s">
        <v>701</v>
      </c>
    </row>
    <row r="2" spans="1:10" x14ac:dyDescent="0.25">
      <c r="A2">
        <v>91</v>
      </c>
      <c r="B2" s="17">
        <v>44783</v>
      </c>
      <c r="C2">
        <v>0.83975694444444438</v>
      </c>
      <c r="D2" t="s">
        <v>707</v>
      </c>
      <c r="E2" t="s">
        <v>708</v>
      </c>
      <c r="F2" s="18" t="s">
        <v>773</v>
      </c>
      <c r="G2">
        <v>-239</v>
      </c>
      <c r="H2" t="s">
        <v>828</v>
      </c>
      <c r="I2">
        <v>0.5</v>
      </c>
      <c r="J2" s="17">
        <v>44784</v>
      </c>
    </row>
    <row r="3" spans="1:10" x14ac:dyDescent="0.25">
      <c r="A3">
        <v>161</v>
      </c>
      <c r="B3" s="17">
        <v>44783</v>
      </c>
      <c r="C3">
        <v>0.9154282407407407</v>
      </c>
      <c r="D3" t="s">
        <v>728</v>
      </c>
      <c r="E3" t="s">
        <v>708</v>
      </c>
      <c r="F3" s="18" t="s">
        <v>777</v>
      </c>
      <c r="G3">
        <v>-30.5</v>
      </c>
      <c r="H3" t="s">
        <v>828</v>
      </c>
      <c r="I3">
        <v>30</v>
      </c>
      <c r="J3" s="17">
        <v>44784</v>
      </c>
    </row>
    <row r="4" spans="1:10" x14ac:dyDescent="0.25">
      <c r="A4">
        <v>91</v>
      </c>
      <c r="B4" s="17">
        <v>44776</v>
      </c>
      <c r="C4">
        <v>0.70973379629629629</v>
      </c>
      <c r="D4" t="s">
        <v>719</v>
      </c>
      <c r="E4" t="s">
        <v>708</v>
      </c>
      <c r="F4" s="18" t="s">
        <v>1093</v>
      </c>
      <c r="G4">
        <v>-43.5</v>
      </c>
      <c r="H4" t="s">
        <v>802</v>
      </c>
      <c r="I4">
        <v>1</v>
      </c>
      <c r="J4" s="17">
        <v>44784</v>
      </c>
    </row>
    <row r="5" spans="1:10" x14ac:dyDescent="0.25">
      <c r="A5">
        <v>91</v>
      </c>
      <c r="B5" s="17">
        <v>44776</v>
      </c>
      <c r="C5">
        <v>0.70973379629629629</v>
      </c>
      <c r="D5" t="s">
        <v>719</v>
      </c>
      <c r="E5" t="s">
        <v>708</v>
      </c>
      <c r="F5" s="18" t="s">
        <v>1093</v>
      </c>
      <c r="G5">
        <v>-43.5</v>
      </c>
      <c r="H5" t="s">
        <v>802</v>
      </c>
      <c r="I5">
        <v>1</v>
      </c>
      <c r="J5" s="17">
        <v>44784</v>
      </c>
    </row>
    <row r="6" spans="1:10" x14ac:dyDescent="0.25">
      <c r="B6" s="19"/>
      <c r="F6" s="18"/>
      <c r="J6" s="19"/>
    </row>
    <row r="7" spans="1:10" x14ac:dyDescent="0.25">
      <c r="B7" s="19"/>
      <c r="F7" s="18"/>
      <c r="J7" s="19"/>
    </row>
    <row r="8" spans="1:10" x14ac:dyDescent="0.25">
      <c r="B8" s="19"/>
      <c r="F8" s="18"/>
      <c r="J8" s="19"/>
    </row>
    <row r="9" spans="1:10" x14ac:dyDescent="0.25">
      <c r="B9" s="19"/>
      <c r="F9" s="18"/>
      <c r="J9" s="19"/>
    </row>
    <row r="10" spans="1:10" x14ac:dyDescent="0.25">
      <c r="B10" s="19"/>
      <c r="F10" s="18"/>
      <c r="J10" s="19"/>
    </row>
    <row r="11" spans="1:10" x14ac:dyDescent="0.25">
      <c r="B11" s="19"/>
      <c r="F11" s="18"/>
      <c r="J11" s="19"/>
    </row>
    <row r="12" spans="1:10" x14ac:dyDescent="0.25">
      <c r="B12" s="19"/>
      <c r="F12" s="18"/>
      <c r="J12" s="19"/>
    </row>
    <row r="13" spans="1:10" x14ac:dyDescent="0.25">
      <c r="B13" s="19"/>
      <c r="F13" s="18"/>
      <c r="J13" s="19"/>
    </row>
    <row r="14" spans="1:10" x14ac:dyDescent="0.25">
      <c r="B14" s="19"/>
      <c r="F14" s="18"/>
      <c r="J14" s="19"/>
    </row>
    <row r="15" spans="1:10" x14ac:dyDescent="0.25">
      <c r="B15" s="19"/>
      <c r="F15" s="18"/>
      <c r="J15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587-776E-42D4-8EE9-43B71C95D1B8}">
  <sheetPr codeName="Hoja3"/>
  <dimension ref="A1:I45"/>
  <sheetViews>
    <sheetView workbookViewId="0">
      <selection activeCell="E27" sqref="E27"/>
    </sheetView>
  </sheetViews>
  <sheetFormatPr baseColWidth="10" defaultRowHeight="15" x14ac:dyDescent="0.25"/>
  <sheetData>
    <row r="1" spans="1:9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I1" t="s">
        <v>699</v>
      </c>
    </row>
    <row r="2" spans="1:9" x14ac:dyDescent="0.25">
      <c r="A2">
        <v>121</v>
      </c>
      <c r="B2" s="17">
        <v>44783</v>
      </c>
      <c r="C2">
        <v>0.6624768518518519</v>
      </c>
      <c r="D2" t="s">
        <v>707</v>
      </c>
      <c r="E2" t="s">
        <v>708</v>
      </c>
      <c r="F2" s="18" t="s">
        <v>779</v>
      </c>
      <c r="G2">
        <v>-146</v>
      </c>
      <c r="H2" t="s">
        <v>778</v>
      </c>
    </row>
    <row r="3" spans="1:9" x14ac:dyDescent="0.25">
      <c r="A3">
        <v>121</v>
      </c>
      <c r="B3" s="17">
        <v>44783</v>
      </c>
      <c r="C3">
        <v>0.66366898148148146</v>
      </c>
      <c r="D3" t="s">
        <v>707</v>
      </c>
      <c r="E3" t="s">
        <v>708</v>
      </c>
      <c r="F3" s="18" t="s">
        <v>780</v>
      </c>
      <c r="G3">
        <v>-157</v>
      </c>
      <c r="H3" t="s">
        <v>778</v>
      </c>
    </row>
    <row r="4" spans="1:9" x14ac:dyDescent="0.25">
      <c r="A4">
        <v>121</v>
      </c>
      <c r="B4" s="17">
        <v>44783</v>
      </c>
      <c r="C4">
        <v>0.75746527777777783</v>
      </c>
      <c r="D4" t="s">
        <v>707</v>
      </c>
      <c r="E4" t="s">
        <v>708</v>
      </c>
      <c r="F4" s="18" t="s">
        <v>774</v>
      </c>
      <c r="G4">
        <v>-152.50200000000001</v>
      </c>
      <c r="H4" t="s">
        <v>803</v>
      </c>
    </row>
    <row r="5" spans="1:9" x14ac:dyDescent="0.25">
      <c r="A5">
        <v>131</v>
      </c>
      <c r="B5" s="17">
        <v>44783</v>
      </c>
      <c r="C5">
        <v>0.94811342592592596</v>
      </c>
      <c r="D5" t="s">
        <v>725</v>
      </c>
      <c r="E5" t="s">
        <v>708</v>
      </c>
      <c r="F5" s="18" t="s">
        <v>775</v>
      </c>
      <c r="G5">
        <v>-298</v>
      </c>
      <c r="H5" t="s">
        <v>804</v>
      </c>
    </row>
    <row r="6" spans="1:9" x14ac:dyDescent="0.25">
      <c r="A6">
        <v>131</v>
      </c>
      <c r="B6" s="17">
        <v>44783</v>
      </c>
      <c r="C6">
        <v>0.99081018518518515</v>
      </c>
      <c r="D6" t="s">
        <v>725</v>
      </c>
      <c r="E6" t="s">
        <v>708</v>
      </c>
      <c r="F6" s="18" t="s">
        <v>776</v>
      </c>
      <c r="G6">
        <v>-3411</v>
      </c>
      <c r="H6" t="s">
        <v>805</v>
      </c>
    </row>
    <row r="7" spans="1:9" x14ac:dyDescent="0.25">
      <c r="A7">
        <v>91</v>
      </c>
      <c r="B7" s="17">
        <v>44784</v>
      </c>
      <c r="C7">
        <v>0.67363425925925924</v>
      </c>
      <c r="D7" t="s">
        <v>719</v>
      </c>
      <c r="E7" t="s">
        <v>708</v>
      </c>
      <c r="F7" s="18" t="s">
        <v>824</v>
      </c>
      <c r="G7">
        <v>-0.5</v>
      </c>
      <c r="H7" t="s">
        <v>778</v>
      </c>
    </row>
    <row r="8" spans="1:9" x14ac:dyDescent="0.25">
      <c r="A8">
        <v>231</v>
      </c>
      <c r="B8" s="17">
        <v>44784</v>
      </c>
      <c r="C8">
        <v>0.45162037037037034</v>
      </c>
      <c r="D8" t="s">
        <v>730</v>
      </c>
      <c r="E8" t="s">
        <v>708</v>
      </c>
      <c r="F8" s="18" t="s">
        <v>825</v>
      </c>
      <c r="G8">
        <v>-2043</v>
      </c>
      <c r="H8" t="s">
        <v>778</v>
      </c>
    </row>
    <row r="9" spans="1:9" x14ac:dyDescent="0.25">
      <c r="A9">
        <v>331</v>
      </c>
      <c r="B9" s="17">
        <v>44784</v>
      </c>
      <c r="C9">
        <v>0.48777777777777781</v>
      </c>
      <c r="D9" t="s">
        <v>819</v>
      </c>
      <c r="E9" t="s">
        <v>708</v>
      </c>
      <c r="F9" s="18" t="s">
        <v>827</v>
      </c>
      <c r="G9">
        <v>-103</v>
      </c>
      <c r="H9" t="s">
        <v>778</v>
      </c>
    </row>
    <row r="10" spans="1:9" x14ac:dyDescent="0.25">
      <c r="A10">
        <v>41</v>
      </c>
      <c r="B10" s="17">
        <v>44774</v>
      </c>
      <c r="C10">
        <v>0.74306712962962962</v>
      </c>
      <c r="D10" t="s">
        <v>810</v>
      </c>
      <c r="E10" t="s">
        <v>712</v>
      </c>
      <c r="F10" s="18" t="s">
        <v>1243</v>
      </c>
      <c r="G10">
        <v>-180.5</v>
      </c>
      <c r="H10" t="s">
        <v>1242</v>
      </c>
    </row>
    <row r="11" spans="1:9" x14ac:dyDescent="0.25">
      <c r="A11">
        <v>91</v>
      </c>
      <c r="B11" s="17">
        <v>44774</v>
      </c>
      <c r="C11">
        <v>0.90219907407407407</v>
      </c>
      <c r="D11" t="s">
        <v>832</v>
      </c>
      <c r="E11" t="s">
        <v>708</v>
      </c>
      <c r="F11" s="18" t="s">
        <v>1076</v>
      </c>
      <c r="G11">
        <v>-209</v>
      </c>
      <c r="H11" t="s">
        <v>1276</v>
      </c>
    </row>
    <row r="12" spans="1:9" x14ac:dyDescent="0.25">
      <c r="A12">
        <v>111</v>
      </c>
      <c r="B12" s="17">
        <v>44774</v>
      </c>
      <c r="C12">
        <v>0.38232638888888887</v>
      </c>
      <c r="D12" t="s">
        <v>813</v>
      </c>
      <c r="E12" t="s">
        <v>708</v>
      </c>
      <c r="F12" s="18" t="s">
        <v>1267</v>
      </c>
      <c r="G12">
        <v>-238.5</v>
      </c>
      <c r="H12" t="s">
        <v>778</v>
      </c>
    </row>
    <row r="13" spans="1:9" x14ac:dyDescent="0.25">
      <c r="A13">
        <v>111</v>
      </c>
      <c r="B13" s="17">
        <v>44774</v>
      </c>
      <c r="C13">
        <v>0.54355324074074074</v>
      </c>
      <c r="D13" t="s">
        <v>721</v>
      </c>
      <c r="E13" t="s">
        <v>708</v>
      </c>
      <c r="F13" s="18" t="s">
        <v>1268</v>
      </c>
      <c r="G13">
        <v>-148.5</v>
      </c>
      <c r="H13" t="s">
        <v>778</v>
      </c>
    </row>
    <row r="14" spans="1:9" x14ac:dyDescent="0.25">
      <c r="A14">
        <v>261</v>
      </c>
      <c r="B14" s="17">
        <v>44776</v>
      </c>
      <c r="C14">
        <v>0.81718750000000007</v>
      </c>
      <c r="D14" t="s">
        <v>733</v>
      </c>
      <c r="E14" t="s">
        <v>708</v>
      </c>
      <c r="F14" s="18" t="s">
        <v>1271</v>
      </c>
      <c r="G14">
        <v>-1990</v>
      </c>
      <c r="H14" t="s">
        <v>778</v>
      </c>
    </row>
    <row r="15" spans="1:9" x14ac:dyDescent="0.25">
      <c r="A15">
        <v>41</v>
      </c>
      <c r="B15" s="17">
        <v>44774</v>
      </c>
      <c r="C15">
        <v>0.74306712962962962</v>
      </c>
      <c r="D15" t="s">
        <v>810</v>
      </c>
      <c r="E15" t="s">
        <v>712</v>
      </c>
      <c r="F15" s="18" t="s">
        <v>1243</v>
      </c>
      <c r="G15">
        <v>-180.5</v>
      </c>
      <c r="H15" t="s">
        <v>1242</v>
      </c>
    </row>
    <row r="16" spans="1:9" x14ac:dyDescent="0.25">
      <c r="A16">
        <v>91</v>
      </c>
      <c r="B16" s="17">
        <v>44774</v>
      </c>
      <c r="C16">
        <v>0.90219907407407407</v>
      </c>
      <c r="D16" t="s">
        <v>832</v>
      </c>
      <c r="E16" t="s">
        <v>708</v>
      </c>
      <c r="F16" s="18" t="s">
        <v>1076</v>
      </c>
      <c r="G16">
        <v>-209</v>
      </c>
      <c r="H16" t="s">
        <v>1276</v>
      </c>
    </row>
    <row r="17" spans="1:8" x14ac:dyDescent="0.25">
      <c r="A17">
        <v>111</v>
      </c>
      <c r="B17" s="17">
        <v>44774</v>
      </c>
      <c r="C17">
        <v>0.38232638888888887</v>
      </c>
      <c r="D17" t="s">
        <v>813</v>
      </c>
      <c r="E17" t="s">
        <v>708</v>
      </c>
      <c r="F17" s="18" t="s">
        <v>1267</v>
      </c>
      <c r="G17">
        <v>-238.5</v>
      </c>
      <c r="H17" t="s">
        <v>778</v>
      </c>
    </row>
    <row r="18" spans="1:8" x14ac:dyDescent="0.25">
      <c r="A18">
        <v>111</v>
      </c>
      <c r="B18" s="17">
        <v>44774</v>
      </c>
      <c r="C18">
        <v>0.54355324074074074</v>
      </c>
      <c r="D18" t="s">
        <v>721</v>
      </c>
      <c r="E18" t="s">
        <v>708</v>
      </c>
      <c r="F18" s="18" t="s">
        <v>1268</v>
      </c>
      <c r="G18">
        <v>-148.5</v>
      </c>
      <c r="H18" t="s">
        <v>778</v>
      </c>
    </row>
    <row r="19" spans="1:8" x14ac:dyDescent="0.25">
      <c r="A19">
        <v>261</v>
      </c>
      <c r="B19" s="17">
        <v>44776</v>
      </c>
      <c r="C19">
        <v>0.81718750000000007</v>
      </c>
      <c r="D19" t="s">
        <v>733</v>
      </c>
      <c r="E19" t="s">
        <v>708</v>
      </c>
      <c r="F19" s="18" t="s">
        <v>1271</v>
      </c>
      <c r="G19">
        <v>-1990</v>
      </c>
      <c r="H19" t="s">
        <v>778</v>
      </c>
    </row>
    <row r="20" spans="1:8" x14ac:dyDescent="0.25">
      <c r="B20" s="17"/>
      <c r="F20" s="18"/>
    </row>
    <row r="21" spans="1:8" x14ac:dyDescent="0.25">
      <c r="B21" s="17"/>
      <c r="F21" s="18"/>
    </row>
    <row r="22" spans="1:8" x14ac:dyDescent="0.25">
      <c r="B22" s="17"/>
      <c r="F22" s="18"/>
    </row>
    <row r="23" spans="1:8" x14ac:dyDescent="0.25">
      <c r="B23" s="17"/>
      <c r="F23" s="18"/>
    </row>
    <row r="24" spans="1:8" x14ac:dyDescent="0.25">
      <c r="B24" s="17"/>
      <c r="F24" s="18"/>
    </row>
    <row r="25" spans="1:8" x14ac:dyDescent="0.25">
      <c r="B25" s="17"/>
      <c r="F25" s="18"/>
    </row>
    <row r="26" spans="1:8" x14ac:dyDescent="0.25">
      <c r="B26" s="19"/>
      <c r="F26" s="18"/>
    </row>
    <row r="27" spans="1:8" x14ac:dyDescent="0.25">
      <c r="B27" s="19"/>
      <c r="F27" s="18"/>
    </row>
    <row r="28" spans="1:8" x14ac:dyDescent="0.25">
      <c r="B28" s="19"/>
      <c r="F28" s="18"/>
    </row>
    <row r="29" spans="1:8" x14ac:dyDescent="0.25">
      <c r="B29" s="19"/>
      <c r="F29" s="18"/>
    </row>
    <row r="30" spans="1:8" x14ac:dyDescent="0.25">
      <c r="B30" s="19"/>
      <c r="F30" s="18"/>
    </row>
    <row r="31" spans="1:8" x14ac:dyDescent="0.25">
      <c r="B31" s="19"/>
      <c r="F31" s="18"/>
    </row>
    <row r="32" spans="1:8" x14ac:dyDescent="0.25">
      <c r="B32" s="19"/>
      <c r="F32" s="18"/>
    </row>
    <row r="33" spans="2:6" x14ac:dyDescent="0.25">
      <c r="B33" s="19"/>
      <c r="F33" s="18"/>
    </row>
    <row r="34" spans="2:6" x14ac:dyDescent="0.25">
      <c r="B34" s="19"/>
      <c r="F34" s="18"/>
    </row>
    <row r="35" spans="2:6" x14ac:dyDescent="0.25">
      <c r="B35" s="19"/>
      <c r="F35" s="18"/>
    </row>
    <row r="36" spans="2:6" x14ac:dyDescent="0.25">
      <c r="B36" s="19"/>
      <c r="F36" s="18"/>
    </row>
    <row r="37" spans="2:6" x14ac:dyDescent="0.25">
      <c r="B37" s="19"/>
      <c r="F37" s="18"/>
    </row>
    <row r="38" spans="2:6" x14ac:dyDescent="0.25">
      <c r="B38" s="19"/>
      <c r="F38" s="18"/>
    </row>
    <row r="39" spans="2:6" x14ac:dyDescent="0.25">
      <c r="B39" s="19"/>
      <c r="F39" s="18"/>
    </row>
    <row r="40" spans="2:6" x14ac:dyDescent="0.25">
      <c r="B40" s="19"/>
      <c r="F40" s="18"/>
    </row>
    <row r="41" spans="2:6" x14ac:dyDescent="0.25">
      <c r="B41" s="19"/>
      <c r="F41" s="18"/>
    </row>
    <row r="42" spans="2:6" x14ac:dyDescent="0.25">
      <c r="B42" s="19"/>
      <c r="F42" s="18"/>
    </row>
    <row r="43" spans="2:6" x14ac:dyDescent="0.25">
      <c r="B43" s="19"/>
      <c r="F43" s="18"/>
    </row>
    <row r="44" spans="2:6" x14ac:dyDescent="0.25">
      <c r="B44" s="19"/>
      <c r="F44" s="18"/>
    </row>
    <row r="45" spans="2:6" x14ac:dyDescent="0.25">
      <c r="B45" s="19"/>
      <c r="F4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6546-A2EB-446F-A5EC-A625DE208E49}">
  <sheetPr codeName="Hoja43"/>
  <dimension ref="A3:I20"/>
  <sheetViews>
    <sheetView tabSelected="1" workbookViewId="0">
      <selection activeCell="H28" sqref="H28"/>
    </sheetView>
  </sheetViews>
  <sheetFormatPr baseColWidth="10" defaultRowHeight="15" x14ac:dyDescent="0.25"/>
  <cols>
    <col min="1" max="1" width="10.7109375" bestFit="1" customWidth="1"/>
    <col min="2" max="2" width="14.7109375" bestFit="1" customWidth="1"/>
    <col min="3" max="3" width="10.7109375" bestFit="1" customWidth="1"/>
    <col min="4" max="4" width="13" bestFit="1" customWidth="1"/>
    <col min="5" max="5" width="37.28515625" bestFit="1" customWidth="1"/>
    <col min="6" max="6" width="18" bestFit="1" customWidth="1"/>
    <col min="7" max="7" width="12" bestFit="1" customWidth="1"/>
    <col min="8" max="8" width="25.85546875" bestFit="1" customWidth="1"/>
    <col min="9" max="9" width="33.140625" bestFit="1" customWidth="1"/>
  </cols>
  <sheetData>
    <row r="3" spans="1:9" x14ac:dyDescent="0.25">
      <c r="A3" t="s">
        <v>770</v>
      </c>
      <c r="B3" t="s">
        <v>42</v>
      </c>
      <c r="C3" s="19">
        <v>44776</v>
      </c>
      <c r="D3" s="20">
        <v>0.83461805555555557</v>
      </c>
      <c r="E3" t="s">
        <v>725</v>
      </c>
      <c r="F3" s="74">
        <v>44.5</v>
      </c>
      <c r="G3">
        <v>697131093005</v>
      </c>
      <c r="H3" t="s">
        <v>771</v>
      </c>
      <c r="I3" t="s">
        <v>772</v>
      </c>
    </row>
    <row r="4" spans="1:9" x14ac:dyDescent="0.25">
      <c r="A4" t="s">
        <v>770</v>
      </c>
      <c r="B4" t="s">
        <v>27</v>
      </c>
      <c r="C4" s="19">
        <v>44775</v>
      </c>
      <c r="D4" s="20">
        <v>0.71031250000000001</v>
      </c>
      <c r="E4" t="s">
        <v>727</v>
      </c>
      <c r="F4" s="74">
        <v>44.5</v>
      </c>
      <c r="G4">
        <v>697140180867</v>
      </c>
      <c r="H4" t="s">
        <v>771</v>
      </c>
      <c r="I4" t="s">
        <v>772</v>
      </c>
    </row>
    <row r="5" spans="1:9" x14ac:dyDescent="0.25">
      <c r="A5" t="s">
        <v>770</v>
      </c>
      <c r="B5" t="s">
        <v>54</v>
      </c>
      <c r="C5" s="19">
        <v>44776</v>
      </c>
      <c r="D5" s="20">
        <v>0.85501157407407413</v>
      </c>
      <c r="E5" t="s">
        <v>733</v>
      </c>
      <c r="F5" s="74">
        <v>98.5</v>
      </c>
      <c r="G5">
        <v>697890500120</v>
      </c>
      <c r="H5" t="s">
        <v>771</v>
      </c>
      <c r="I5" t="s">
        <v>772</v>
      </c>
    </row>
    <row r="6" spans="1:9" x14ac:dyDescent="0.25">
      <c r="A6" t="s">
        <v>770</v>
      </c>
      <c r="B6" t="s">
        <v>43</v>
      </c>
      <c r="C6" s="19">
        <v>44774</v>
      </c>
      <c r="D6" s="20">
        <v>0.81670138888888888</v>
      </c>
      <c r="E6" t="s">
        <v>737</v>
      </c>
      <c r="F6" s="74">
        <v>137.5</v>
      </c>
      <c r="G6">
        <v>697141082371</v>
      </c>
      <c r="H6" t="s">
        <v>771</v>
      </c>
      <c r="I6" t="s">
        <v>772</v>
      </c>
    </row>
    <row r="8" spans="1:9" x14ac:dyDescent="0.25">
      <c r="A8" t="s">
        <v>821</v>
      </c>
      <c r="B8" t="s">
        <v>752</v>
      </c>
      <c r="C8" s="19">
        <v>44775</v>
      </c>
      <c r="D8" s="20">
        <v>0.78187499999999999</v>
      </c>
      <c r="E8" t="s">
        <v>711</v>
      </c>
      <c r="F8" t="s">
        <v>822</v>
      </c>
    </row>
    <row r="9" spans="1:9" x14ac:dyDescent="0.25">
      <c r="A9" t="s">
        <v>821</v>
      </c>
      <c r="B9" t="s">
        <v>755</v>
      </c>
      <c r="C9" s="19">
        <v>44775</v>
      </c>
      <c r="D9" s="20">
        <v>0.56732638888888887</v>
      </c>
      <c r="E9" t="s">
        <v>811</v>
      </c>
      <c r="F9" t="s">
        <v>822</v>
      </c>
    </row>
    <row r="10" spans="1:9" x14ac:dyDescent="0.25">
      <c r="A10" t="s">
        <v>821</v>
      </c>
      <c r="B10" t="s">
        <v>756</v>
      </c>
      <c r="C10" s="19">
        <v>44775</v>
      </c>
      <c r="D10" s="20">
        <v>0.748113425925926</v>
      </c>
      <c r="E10" t="s">
        <v>831</v>
      </c>
      <c r="F10" t="s">
        <v>822</v>
      </c>
    </row>
    <row r="11" spans="1:9" x14ac:dyDescent="0.25">
      <c r="A11" t="s">
        <v>821</v>
      </c>
      <c r="B11" t="s">
        <v>759</v>
      </c>
      <c r="C11" s="19">
        <v>44775</v>
      </c>
      <c r="D11" s="20">
        <v>0.56498842592592591</v>
      </c>
      <c r="E11" t="s">
        <v>721</v>
      </c>
      <c r="F11" t="s">
        <v>822</v>
      </c>
    </row>
    <row r="12" spans="1:9" x14ac:dyDescent="0.25">
      <c r="A12" t="s">
        <v>821</v>
      </c>
      <c r="B12" t="s">
        <v>759</v>
      </c>
      <c r="C12" s="19">
        <v>44775</v>
      </c>
      <c r="D12" s="20">
        <v>0.56498842592592591</v>
      </c>
      <c r="E12" t="s">
        <v>721</v>
      </c>
      <c r="F12" t="s">
        <v>822</v>
      </c>
    </row>
    <row r="13" spans="1:9" x14ac:dyDescent="0.25">
      <c r="A13" t="s">
        <v>821</v>
      </c>
      <c r="B13" t="s">
        <v>759</v>
      </c>
      <c r="C13" s="19">
        <v>44775</v>
      </c>
      <c r="D13" s="20">
        <v>0.56498842592592591</v>
      </c>
      <c r="E13" t="s">
        <v>721</v>
      </c>
      <c r="F13" t="s">
        <v>822</v>
      </c>
    </row>
    <row r="14" spans="1:9" x14ac:dyDescent="0.25">
      <c r="A14" t="s">
        <v>821</v>
      </c>
      <c r="B14" t="s">
        <v>759</v>
      </c>
      <c r="C14" s="19">
        <v>44775</v>
      </c>
      <c r="D14" s="20">
        <v>0.56498842592592591</v>
      </c>
      <c r="E14" t="s">
        <v>721</v>
      </c>
      <c r="F14" t="s">
        <v>822</v>
      </c>
    </row>
    <row r="15" spans="1:9" x14ac:dyDescent="0.25">
      <c r="A15" t="s">
        <v>821</v>
      </c>
      <c r="B15" t="s">
        <v>759</v>
      </c>
      <c r="C15" s="19">
        <v>44775</v>
      </c>
      <c r="D15" s="20">
        <v>0.56498842592592591</v>
      </c>
      <c r="E15" t="s">
        <v>721</v>
      </c>
      <c r="F15" t="s">
        <v>822</v>
      </c>
    </row>
    <row r="16" spans="1:9" x14ac:dyDescent="0.25">
      <c r="A16" t="s">
        <v>821</v>
      </c>
      <c r="B16" t="s">
        <v>759</v>
      </c>
      <c r="C16" s="19">
        <v>44775</v>
      </c>
      <c r="D16" s="20">
        <v>0.56498842592592591</v>
      </c>
      <c r="E16" t="s">
        <v>721</v>
      </c>
      <c r="F16" t="s">
        <v>822</v>
      </c>
    </row>
    <row r="17" spans="1:6" x14ac:dyDescent="0.25">
      <c r="A17" t="s">
        <v>821</v>
      </c>
      <c r="B17" t="s">
        <v>759</v>
      </c>
      <c r="C17" s="19">
        <v>44775</v>
      </c>
      <c r="D17" s="20">
        <v>0.56498842592592591</v>
      </c>
      <c r="E17" t="s">
        <v>721</v>
      </c>
      <c r="F17" t="s">
        <v>822</v>
      </c>
    </row>
    <row r="18" spans="1:6" x14ac:dyDescent="0.25">
      <c r="A18" t="s">
        <v>821</v>
      </c>
      <c r="B18" t="s">
        <v>759</v>
      </c>
      <c r="C18" s="19">
        <v>44775</v>
      </c>
      <c r="D18" s="20">
        <v>0.64415509259259263</v>
      </c>
      <c r="E18" t="s">
        <v>721</v>
      </c>
      <c r="F18" t="s">
        <v>822</v>
      </c>
    </row>
    <row r="19" spans="1:6" x14ac:dyDescent="0.25">
      <c r="A19" t="s">
        <v>821</v>
      </c>
      <c r="B19" t="s">
        <v>823</v>
      </c>
      <c r="C19" s="19">
        <v>44775</v>
      </c>
      <c r="D19" s="20">
        <v>0.75020833333333325</v>
      </c>
      <c r="E19" t="s">
        <v>812</v>
      </c>
      <c r="F19" t="s">
        <v>822</v>
      </c>
    </row>
    <row r="20" spans="1:6" x14ac:dyDescent="0.25">
      <c r="A20" t="s">
        <v>821</v>
      </c>
      <c r="B20" t="s">
        <v>769</v>
      </c>
      <c r="C20" s="19">
        <v>44775</v>
      </c>
      <c r="D20" s="20">
        <v>0.74821759259259257</v>
      </c>
      <c r="E20" t="s">
        <v>820</v>
      </c>
      <c r="F20" t="s">
        <v>822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0A59B-FFA3-4F4D-84F6-72244C17D02B}">
  <sheetPr codeName="Hoja42"/>
  <dimension ref="A2:F317"/>
  <sheetViews>
    <sheetView workbookViewId="0">
      <selection activeCell="D1" sqref="D1:D1048576"/>
    </sheetView>
  </sheetViews>
  <sheetFormatPr baseColWidth="10" defaultRowHeight="15" x14ac:dyDescent="0.25"/>
  <cols>
    <col min="4" max="4" width="13" style="21" bestFit="1" customWidth="1"/>
  </cols>
  <sheetData>
    <row r="2" spans="1:6" x14ac:dyDescent="0.25">
      <c r="A2" t="s">
        <v>749</v>
      </c>
      <c r="B2" t="s">
        <v>38</v>
      </c>
      <c r="C2" s="19">
        <v>44569</v>
      </c>
      <c r="D2" s="21" t="s">
        <v>835</v>
      </c>
      <c r="E2" t="s">
        <v>750</v>
      </c>
      <c r="F2" t="s">
        <v>748</v>
      </c>
    </row>
    <row r="3" spans="1:6" x14ac:dyDescent="0.25">
      <c r="A3" t="s">
        <v>751</v>
      </c>
      <c r="B3" t="s">
        <v>39</v>
      </c>
      <c r="C3" s="19">
        <v>44569</v>
      </c>
      <c r="D3" s="21">
        <v>1.54513888888889E-2</v>
      </c>
      <c r="E3" t="s">
        <v>707</v>
      </c>
      <c r="F3" t="s">
        <v>748</v>
      </c>
    </row>
    <row r="4" spans="1:6" x14ac:dyDescent="0.25">
      <c r="A4" t="s">
        <v>749</v>
      </c>
      <c r="B4" t="s">
        <v>38</v>
      </c>
      <c r="C4" s="19">
        <v>44569</v>
      </c>
      <c r="D4" s="21" t="s">
        <v>836</v>
      </c>
      <c r="E4" t="s">
        <v>750</v>
      </c>
      <c r="F4" t="s">
        <v>748</v>
      </c>
    </row>
    <row r="5" spans="1:6" x14ac:dyDescent="0.25">
      <c r="A5" t="s">
        <v>751</v>
      </c>
      <c r="B5" t="s">
        <v>39</v>
      </c>
      <c r="C5" s="19">
        <v>44569</v>
      </c>
      <c r="D5" s="21">
        <v>0.51245370370370402</v>
      </c>
      <c r="E5" t="s">
        <v>706</v>
      </c>
      <c r="F5" t="s">
        <v>748</v>
      </c>
    </row>
    <row r="6" spans="1:6" x14ac:dyDescent="0.25">
      <c r="A6" t="s">
        <v>749</v>
      </c>
      <c r="B6" t="s">
        <v>38</v>
      </c>
      <c r="C6" s="19">
        <v>44569</v>
      </c>
      <c r="D6" s="21" t="s">
        <v>837</v>
      </c>
      <c r="E6" t="s">
        <v>750</v>
      </c>
      <c r="F6" t="s">
        <v>748</v>
      </c>
    </row>
    <row r="7" spans="1:6" x14ac:dyDescent="0.25">
      <c r="A7" t="s">
        <v>751</v>
      </c>
      <c r="B7" t="s">
        <v>39</v>
      </c>
      <c r="C7" s="19">
        <v>44569</v>
      </c>
      <c r="D7" s="21">
        <v>0.51418981481481496</v>
      </c>
      <c r="E7" t="s">
        <v>706</v>
      </c>
      <c r="F7" t="s">
        <v>748</v>
      </c>
    </row>
    <row r="8" spans="1:6" x14ac:dyDescent="0.25">
      <c r="A8" t="s">
        <v>749</v>
      </c>
      <c r="B8" t="s">
        <v>38</v>
      </c>
      <c r="C8" s="19">
        <v>44569</v>
      </c>
      <c r="D8" s="21" t="s">
        <v>838</v>
      </c>
      <c r="E8" t="s">
        <v>750</v>
      </c>
      <c r="F8" t="s">
        <v>748</v>
      </c>
    </row>
    <row r="9" spans="1:6" x14ac:dyDescent="0.25">
      <c r="A9" t="s">
        <v>751</v>
      </c>
      <c r="B9" t="s">
        <v>39</v>
      </c>
      <c r="C9" s="19">
        <v>44569</v>
      </c>
      <c r="D9" s="21">
        <v>0.515856481481482</v>
      </c>
      <c r="E9" t="s">
        <v>706</v>
      </c>
      <c r="F9" t="s">
        <v>748</v>
      </c>
    </row>
    <row r="10" spans="1:6" x14ac:dyDescent="0.25">
      <c r="A10" t="s">
        <v>749</v>
      </c>
      <c r="B10" t="s">
        <v>38</v>
      </c>
      <c r="C10" s="19">
        <v>44628</v>
      </c>
      <c r="D10" s="21" t="s">
        <v>839</v>
      </c>
      <c r="E10" t="s">
        <v>750</v>
      </c>
      <c r="F10" t="s">
        <v>748</v>
      </c>
    </row>
    <row r="11" spans="1:6" x14ac:dyDescent="0.25">
      <c r="A11" t="s">
        <v>751</v>
      </c>
      <c r="B11" t="s">
        <v>39</v>
      </c>
      <c r="C11" s="19">
        <v>44628</v>
      </c>
      <c r="D11" s="21">
        <v>0.53689814814814796</v>
      </c>
      <c r="E11" t="s">
        <v>706</v>
      </c>
      <c r="F11" t="s">
        <v>748</v>
      </c>
    </row>
    <row r="12" spans="1:6" x14ac:dyDescent="0.25">
      <c r="A12" t="s">
        <v>749</v>
      </c>
      <c r="B12" t="s">
        <v>38</v>
      </c>
      <c r="C12" s="19">
        <v>44628</v>
      </c>
      <c r="D12" s="21" t="s">
        <v>840</v>
      </c>
      <c r="E12" t="s">
        <v>750</v>
      </c>
      <c r="F12" t="s">
        <v>748</v>
      </c>
    </row>
    <row r="13" spans="1:6" x14ac:dyDescent="0.25">
      <c r="A13" t="s">
        <v>751</v>
      </c>
      <c r="B13" t="s">
        <v>39</v>
      </c>
      <c r="C13" s="19">
        <v>44628</v>
      </c>
      <c r="D13" s="21">
        <v>0.64040509259259304</v>
      </c>
      <c r="E13" t="s">
        <v>706</v>
      </c>
      <c r="F13" t="s">
        <v>748</v>
      </c>
    </row>
    <row r="14" spans="1:6" x14ac:dyDescent="0.25">
      <c r="A14" t="s">
        <v>749</v>
      </c>
      <c r="B14" t="s">
        <v>40</v>
      </c>
      <c r="C14" s="19">
        <v>44569</v>
      </c>
      <c r="D14" s="21" t="s">
        <v>841</v>
      </c>
      <c r="E14" t="s">
        <v>750</v>
      </c>
      <c r="F14" t="s">
        <v>748</v>
      </c>
    </row>
    <row r="15" spans="1:6" x14ac:dyDescent="0.25">
      <c r="A15" t="s">
        <v>751</v>
      </c>
      <c r="B15" t="s">
        <v>50</v>
      </c>
      <c r="C15" s="19">
        <v>44569</v>
      </c>
      <c r="D15" s="21">
        <v>0.48736111111111102</v>
      </c>
      <c r="E15" t="s">
        <v>709</v>
      </c>
      <c r="F15" t="s">
        <v>748</v>
      </c>
    </row>
    <row r="16" spans="1:6" x14ac:dyDescent="0.25">
      <c r="A16" t="s">
        <v>749</v>
      </c>
      <c r="B16" t="s">
        <v>40</v>
      </c>
      <c r="C16" s="19">
        <v>44569</v>
      </c>
      <c r="D16" s="21" t="s">
        <v>842</v>
      </c>
      <c r="E16" t="s">
        <v>750</v>
      </c>
      <c r="F16" t="s">
        <v>748</v>
      </c>
    </row>
    <row r="17" spans="1:6" x14ac:dyDescent="0.25">
      <c r="A17" t="s">
        <v>751</v>
      </c>
      <c r="B17" t="s">
        <v>50</v>
      </c>
      <c r="C17" s="19">
        <v>44569</v>
      </c>
      <c r="D17" s="21">
        <v>0.54996527777777804</v>
      </c>
      <c r="E17" t="s">
        <v>709</v>
      </c>
      <c r="F17" t="s">
        <v>748</v>
      </c>
    </row>
    <row r="18" spans="1:6" x14ac:dyDescent="0.25">
      <c r="A18" t="s">
        <v>749</v>
      </c>
      <c r="B18" t="s">
        <v>40</v>
      </c>
      <c r="C18" s="19">
        <v>44569</v>
      </c>
      <c r="D18" s="21" t="s">
        <v>843</v>
      </c>
      <c r="E18" t="s">
        <v>750</v>
      </c>
      <c r="F18" t="s">
        <v>748</v>
      </c>
    </row>
    <row r="19" spans="1:6" x14ac:dyDescent="0.25">
      <c r="A19" t="s">
        <v>751</v>
      </c>
      <c r="B19" t="s">
        <v>50</v>
      </c>
      <c r="C19" s="19">
        <v>44569</v>
      </c>
      <c r="D19" s="21">
        <v>0.89723379629629596</v>
      </c>
      <c r="E19" t="s">
        <v>829</v>
      </c>
      <c r="F19" t="s">
        <v>748</v>
      </c>
    </row>
    <row r="20" spans="1:6" x14ac:dyDescent="0.25">
      <c r="A20" t="s">
        <v>749</v>
      </c>
      <c r="B20" t="s">
        <v>40</v>
      </c>
      <c r="C20" s="19">
        <v>44628</v>
      </c>
      <c r="D20" s="21" t="s">
        <v>844</v>
      </c>
      <c r="E20" t="s">
        <v>750</v>
      </c>
      <c r="F20" t="s">
        <v>748</v>
      </c>
    </row>
    <row r="21" spans="1:6" x14ac:dyDescent="0.25">
      <c r="A21" t="s">
        <v>751</v>
      </c>
      <c r="B21" t="s">
        <v>50</v>
      </c>
      <c r="C21" s="19">
        <v>44628</v>
      </c>
      <c r="D21" s="21">
        <v>0.79906250000000001</v>
      </c>
      <c r="E21" t="s">
        <v>709</v>
      </c>
      <c r="F21" t="s">
        <v>748</v>
      </c>
    </row>
    <row r="22" spans="1:6" x14ac:dyDescent="0.25">
      <c r="A22" t="s">
        <v>749</v>
      </c>
      <c r="B22" t="s">
        <v>40</v>
      </c>
      <c r="C22" s="19">
        <v>44628</v>
      </c>
      <c r="D22" s="21" t="s">
        <v>845</v>
      </c>
      <c r="E22" t="s">
        <v>750</v>
      </c>
      <c r="F22" t="s">
        <v>748</v>
      </c>
    </row>
    <row r="23" spans="1:6" x14ac:dyDescent="0.25">
      <c r="A23" t="s">
        <v>751</v>
      </c>
      <c r="B23" t="s">
        <v>50</v>
      </c>
      <c r="C23" s="19">
        <v>44628</v>
      </c>
      <c r="D23" s="21">
        <v>0.87631944444444398</v>
      </c>
      <c r="E23" t="s">
        <v>729</v>
      </c>
      <c r="F23" t="s">
        <v>748</v>
      </c>
    </row>
    <row r="24" spans="1:6" x14ac:dyDescent="0.25">
      <c r="A24" t="s">
        <v>749</v>
      </c>
      <c r="B24" t="s">
        <v>37</v>
      </c>
      <c r="C24" s="19">
        <v>44628</v>
      </c>
      <c r="D24" s="21" t="s">
        <v>846</v>
      </c>
      <c r="E24" t="s">
        <v>750</v>
      </c>
      <c r="F24" t="s">
        <v>748</v>
      </c>
    </row>
    <row r="25" spans="1:6" x14ac:dyDescent="0.25">
      <c r="A25" t="s">
        <v>751</v>
      </c>
      <c r="B25" t="s">
        <v>59</v>
      </c>
      <c r="C25" s="19">
        <v>44628</v>
      </c>
      <c r="D25" s="21">
        <v>0.49009259259259302</v>
      </c>
      <c r="E25" t="s">
        <v>710</v>
      </c>
      <c r="F25" t="s">
        <v>748</v>
      </c>
    </row>
    <row r="26" spans="1:6" x14ac:dyDescent="0.25">
      <c r="A26" t="s">
        <v>749</v>
      </c>
      <c r="B26" t="s">
        <v>37</v>
      </c>
      <c r="C26" s="19">
        <v>44628</v>
      </c>
      <c r="D26" s="21" t="s">
        <v>847</v>
      </c>
      <c r="E26" t="s">
        <v>750</v>
      </c>
      <c r="F26" t="s">
        <v>748</v>
      </c>
    </row>
    <row r="27" spans="1:6" x14ac:dyDescent="0.25">
      <c r="A27" t="s">
        <v>751</v>
      </c>
      <c r="B27" t="s">
        <v>59</v>
      </c>
      <c r="C27" s="19">
        <v>44628</v>
      </c>
      <c r="D27" s="21">
        <v>0.51217592592592598</v>
      </c>
      <c r="E27" t="s">
        <v>710</v>
      </c>
      <c r="F27" t="s">
        <v>748</v>
      </c>
    </row>
    <row r="28" spans="1:6" x14ac:dyDescent="0.25">
      <c r="A28" t="s">
        <v>749</v>
      </c>
      <c r="B28" t="s">
        <v>30</v>
      </c>
      <c r="C28" s="19">
        <v>44569</v>
      </c>
      <c r="D28" s="21" t="s">
        <v>848</v>
      </c>
      <c r="E28" t="s">
        <v>750</v>
      </c>
      <c r="F28" t="s">
        <v>748</v>
      </c>
    </row>
    <row r="29" spans="1:6" x14ac:dyDescent="0.25">
      <c r="A29" t="s">
        <v>751</v>
      </c>
      <c r="B29" t="s">
        <v>752</v>
      </c>
      <c r="C29" s="19">
        <v>44569</v>
      </c>
      <c r="D29" s="21">
        <v>0.39664351851851798</v>
      </c>
      <c r="E29" t="s">
        <v>810</v>
      </c>
      <c r="F29" t="s">
        <v>748</v>
      </c>
    </row>
    <row r="30" spans="1:6" x14ac:dyDescent="0.25">
      <c r="A30" t="s">
        <v>749</v>
      </c>
      <c r="B30" t="s">
        <v>30</v>
      </c>
      <c r="C30" s="19">
        <v>44569</v>
      </c>
      <c r="D30" s="21" t="s">
        <v>849</v>
      </c>
      <c r="E30" t="s">
        <v>750</v>
      </c>
      <c r="F30" t="s">
        <v>748</v>
      </c>
    </row>
    <row r="31" spans="1:6" x14ac:dyDescent="0.25">
      <c r="A31" t="s">
        <v>751</v>
      </c>
      <c r="B31" t="s">
        <v>752</v>
      </c>
      <c r="C31" s="19">
        <v>44569</v>
      </c>
      <c r="D31" s="21">
        <v>0.50739583333333305</v>
      </c>
      <c r="E31" t="s">
        <v>810</v>
      </c>
      <c r="F31" t="s">
        <v>748</v>
      </c>
    </row>
    <row r="32" spans="1:6" x14ac:dyDescent="0.25">
      <c r="A32" t="s">
        <v>749</v>
      </c>
      <c r="B32" t="s">
        <v>30</v>
      </c>
      <c r="C32" s="19">
        <v>44569</v>
      </c>
      <c r="D32" s="21" t="s">
        <v>850</v>
      </c>
      <c r="E32" t="s">
        <v>750</v>
      </c>
      <c r="F32" t="s">
        <v>748</v>
      </c>
    </row>
    <row r="33" spans="1:6" x14ac:dyDescent="0.25">
      <c r="A33" t="s">
        <v>751</v>
      </c>
      <c r="B33" t="s">
        <v>752</v>
      </c>
      <c r="C33" s="19">
        <v>44569</v>
      </c>
      <c r="D33" s="21">
        <v>0.63237268518518497</v>
      </c>
      <c r="E33" t="s">
        <v>816</v>
      </c>
      <c r="F33" t="s">
        <v>748</v>
      </c>
    </row>
    <row r="34" spans="1:6" x14ac:dyDescent="0.25">
      <c r="A34" t="s">
        <v>749</v>
      </c>
      <c r="B34" t="s">
        <v>30</v>
      </c>
      <c r="C34" s="19">
        <v>44569</v>
      </c>
      <c r="D34" s="21" t="s">
        <v>851</v>
      </c>
      <c r="E34" t="s">
        <v>750</v>
      </c>
      <c r="F34" t="s">
        <v>748</v>
      </c>
    </row>
    <row r="35" spans="1:6" x14ac:dyDescent="0.25">
      <c r="A35" t="s">
        <v>751</v>
      </c>
      <c r="B35" t="s">
        <v>752</v>
      </c>
      <c r="C35" s="19">
        <v>44569</v>
      </c>
      <c r="D35" s="21">
        <v>0.743113425925926</v>
      </c>
      <c r="E35" t="s">
        <v>810</v>
      </c>
      <c r="F35" t="s">
        <v>748</v>
      </c>
    </row>
    <row r="36" spans="1:6" x14ac:dyDescent="0.25">
      <c r="A36" t="s">
        <v>749</v>
      </c>
      <c r="B36" t="s">
        <v>30</v>
      </c>
      <c r="C36" s="19">
        <v>44569</v>
      </c>
      <c r="D36" s="21" t="s">
        <v>852</v>
      </c>
      <c r="E36" t="s">
        <v>750</v>
      </c>
      <c r="F36" t="s">
        <v>748</v>
      </c>
    </row>
    <row r="37" spans="1:6" x14ac:dyDescent="0.25">
      <c r="A37" t="s">
        <v>751</v>
      </c>
      <c r="B37" t="s">
        <v>752</v>
      </c>
      <c r="C37" s="19">
        <v>44569</v>
      </c>
      <c r="D37" s="21">
        <v>0.76937500000000003</v>
      </c>
      <c r="E37" t="s">
        <v>810</v>
      </c>
      <c r="F37" t="s">
        <v>748</v>
      </c>
    </row>
    <row r="38" spans="1:6" x14ac:dyDescent="0.25">
      <c r="A38" t="s">
        <v>749</v>
      </c>
      <c r="B38" t="s">
        <v>30</v>
      </c>
      <c r="C38" s="19">
        <v>44569</v>
      </c>
      <c r="D38" s="21" t="s">
        <v>853</v>
      </c>
      <c r="E38" t="s">
        <v>750</v>
      </c>
      <c r="F38" t="s">
        <v>748</v>
      </c>
    </row>
    <row r="39" spans="1:6" x14ac:dyDescent="0.25">
      <c r="A39" t="s">
        <v>751</v>
      </c>
      <c r="B39" t="s">
        <v>752</v>
      </c>
      <c r="C39" s="19">
        <v>44569</v>
      </c>
      <c r="D39" s="21">
        <v>0.78619212962963003</v>
      </c>
      <c r="E39" t="s">
        <v>810</v>
      </c>
      <c r="F39" t="s">
        <v>748</v>
      </c>
    </row>
    <row r="40" spans="1:6" x14ac:dyDescent="0.25">
      <c r="A40" t="s">
        <v>749</v>
      </c>
      <c r="B40" t="s">
        <v>30</v>
      </c>
      <c r="C40" s="19">
        <v>44569</v>
      </c>
      <c r="D40" s="21" t="s">
        <v>854</v>
      </c>
      <c r="E40" t="s">
        <v>750</v>
      </c>
      <c r="F40" t="s">
        <v>748</v>
      </c>
    </row>
    <row r="41" spans="1:6" x14ac:dyDescent="0.25">
      <c r="A41" t="s">
        <v>751</v>
      </c>
      <c r="B41" t="s">
        <v>752</v>
      </c>
      <c r="C41" s="19">
        <v>44569</v>
      </c>
      <c r="D41" s="21">
        <v>0.78769675925925897</v>
      </c>
      <c r="E41" t="s">
        <v>810</v>
      </c>
      <c r="F41" t="s">
        <v>748</v>
      </c>
    </row>
    <row r="42" spans="1:6" x14ac:dyDescent="0.25">
      <c r="A42" t="s">
        <v>749</v>
      </c>
      <c r="B42" t="s">
        <v>30</v>
      </c>
      <c r="C42" s="19">
        <v>44600</v>
      </c>
      <c r="D42" s="21" t="s">
        <v>855</v>
      </c>
      <c r="E42" t="s">
        <v>750</v>
      </c>
      <c r="F42" t="s">
        <v>748</v>
      </c>
    </row>
    <row r="43" spans="1:6" x14ac:dyDescent="0.25">
      <c r="A43" t="s">
        <v>751</v>
      </c>
      <c r="B43" t="s">
        <v>752</v>
      </c>
      <c r="C43" s="19">
        <v>44600</v>
      </c>
      <c r="D43" s="21">
        <v>0.38726851851851901</v>
      </c>
      <c r="E43" t="s">
        <v>810</v>
      </c>
      <c r="F43" t="s">
        <v>748</v>
      </c>
    </row>
    <row r="44" spans="1:6" x14ac:dyDescent="0.25">
      <c r="A44" t="s">
        <v>749</v>
      </c>
      <c r="B44" t="s">
        <v>30</v>
      </c>
      <c r="C44" s="19">
        <v>44600</v>
      </c>
      <c r="D44" s="21" t="s">
        <v>856</v>
      </c>
      <c r="E44" t="s">
        <v>750</v>
      </c>
      <c r="F44" t="s">
        <v>748</v>
      </c>
    </row>
    <row r="45" spans="1:6" x14ac:dyDescent="0.25">
      <c r="A45" t="s">
        <v>751</v>
      </c>
      <c r="B45" t="s">
        <v>752</v>
      </c>
      <c r="C45" s="19">
        <v>44600</v>
      </c>
      <c r="D45" s="21">
        <v>0.50879629629629597</v>
      </c>
      <c r="E45" t="s">
        <v>810</v>
      </c>
      <c r="F45" t="s">
        <v>748</v>
      </c>
    </row>
    <row r="46" spans="1:6" x14ac:dyDescent="0.25">
      <c r="A46" t="s">
        <v>749</v>
      </c>
      <c r="B46" t="s">
        <v>30</v>
      </c>
      <c r="C46" s="19">
        <v>44600</v>
      </c>
      <c r="D46" s="21" t="s">
        <v>857</v>
      </c>
      <c r="E46" t="s">
        <v>750</v>
      </c>
      <c r="F46" t="s">
        <v>748</v>
      </c>
    </row>
    <row r="47" spans="1:6" x14ac:dyDescent="0.25">
      <c r="A47" t="s">
        <v>751</v>
      </c>
      <c r="B47" t="s">
        <v>752</v>
      </c>
      <c r="C47" s="19">
        <v>44600</v>
      </c>
      <c r="D47" s="21">
        <v>0.51087962962962996</v>
      </c>
      <c r="E47" t="s">
        <v>810</v>
      </c>
      <c r="F47" t="s">
        <v>748</v>
      </c>
    </row>
    <row r="48" spans="1:6" x14ac:dyDescent="0.25">
      <c r="A48" t="s">
        <v>749</v>
      </c>
      <c r="B48" t="s">
        <v>30</v>
      </c>
      <c r="C48" s="19">
        <v>44600</v>
      </c>
      <c r="D48" s="21" t="s">
        <v>858</v>
      </c>
      <c r="E48" t="s">
        <v>750</v>
      </c>
      <c r="F48" t="s">
        <v>748</v>
      </c>
    </row>
    <row r="49" spans="1:6" x14ac:dyDescent="0.25">
      <c r="A49" t="s">
        <v>751</v>
      </c>
      <c r="B49" t="s">
        <v>752</v>
      </c>
      <c r="C49" s="19">
        <v>44600</v>
      </c>
      <c r="D49" s="21">
        <v>0.57186342592592598</v>
      </c>
      <c r="E49" t="s">
        <v>810</v>
      </c>
      <c r="F49" t="s">
        <v>748</v>
      </c>
    </row>
    <row r="50" spans="1:6" x14ac:dyDescent="0.25">
      <c r="A50" t="s">
        <v>749</v>
      </c>
      <c r="B50" t="s">
        <v>30</v>
      </c>
      <c r="C50" s="19">
        <v>44600</v>
      </c>
      <c r="D50" s="21" t="s">
        <v>859</v>
      </c>
      <c r="E50" t="s">
        <v>750</v>
      </c>
      <c r="F50" t="s">
        <v>748</v>
      </c>
    </row>
    <row r="51" spans="1:6" x14ac:dyDescent="0.25">
      <c r="A51" t="s">
        <v>751</v>
      </c>
      <c r="B51" t="s">
        <v>752</v>
      </c>
      <c r="C51" s="19">
        <v>44600</v>
      </c>
      <c r="D51" s="21">
        <v>0.57357638888888896</v>
      </c>
      <c r="E51" t="s">
        <v>810</v>
      </c>
      <c r="F51" t="s">
        <v>748</v>
      </c>
    </row>
    <row r="52" spans="1:6" x14ac:dyDescent="0.25">
      <c r="A52" t="s">
        <v>749</v>
      </c>
      <c r="B52" t="s">
        <v>30</v>
      </c>
      <c r="C52" s="19">
        <v>44600</v>
      </c>
      <c r="D52" s="21" t="s">
        <v>860</v>
      </c>
      <c r="E52" t="s">
        <v>750</v>
      </c>
      <c r="F52" t="s">
        <v>748</v>
      </c>
    </row>
    <row r="53" spans="1:6" x14ac:dyDescent="0.25">
      <c r="A53" t="s">
        <v>751</v>
      </c>
      <c r="B53" t="s">
        <v>752</v>
      </c>
      <c r="C53" s="19">
        <v>44600</v>
      </c>
      <c r="D53" s="21">
        <v>0.61563657407407402</v>
      </c>
      <c r="E53" t="s">
        <v>810</v>
      </c>
      <c r="F53" t="s">
        <v>748</v>
      </c>
    </row>
    <row r="54" spans="1:6" x14ac:dyDescent="0.25">
      <c r="A54" t="s">
        <v>749</v>
      </c>
      <c r="B54" t="s">
        <v>30</v>
      </c>
      <c r="C54" s="19">
        <v>44600</v>
      </c>
      <c r="D54" s="21" t="s">
        <v>861</v>
      </c>
      <c r="E54" t="s">
        <v>750</v>
      </c>
      <c r="F54" t="s">
        <v>748</v>
      </c>
    </row>
    <row r="55" spans="1:6" x14ac:dyDescent="0.25">
      <c r="A55" t="s">
        <v>751</v>
      </c>
      <c r="B55" t="s">
        <v>752</v>
      </c>
      <c r="C55" s="19">
        <v>44600</v>
      </c>
      <c r="D55" s="21">
        <v>0.75343749999999998</v>
      </c>
      <c r="E55" t="s">
        <v>810</v>
      </c>
      <c r="F55" t="s">
        <v>748</v>
      </c>
    </row>
    <row r="56" spans="1:6" x14ac:dyDescent="0.25">
      <c r="A56" t="s">
        <v>749</v>
      </c>
      <c r="B56" t="s">
        <v>30</v>
      </c>
      <c r="C56" s="19">
        <v>44628</v>
      </c>
      <c r="D56" s="21" t="s">
        <v>862</v>
      </c>
      <c r="E56" t="s">
        <v>750</v>
      </c>
      <c r="F56" t="s">
        <v>748</v>
      </c>
    </row>
    <row r="57" spans="1:6" x14ac:dyDescent="0.25">
      <c r="A57" t="s">
        <v>751</v>
      </c>
      <c r="B57" t="s">
        <v>752</v>
      </c>
      <c r="C57" s="19">
        <v>44628</v>
      </c>
      <c r="D57" s="21">
        <v>0.46271990740740698</v>
      </c>
      <c r="E57" t="s">
        <v>713</v>
      </c>
      <c r="F57" t="s">
        <v>748</v>
      </c>
    </row>
    <row r="58" spans="1:6" x14ac:dyDescent="0.25">
      <c r="A58" t="s">
        <v>749</v>
      </c>
      <c r="B58" t="s">
        <v>30</v>
      </c>
      <c r="C58" s="19">
        <v>44628</v>
      </c>
      <c r="D58" s="21" t="s">
        <v>863</v>
      </c>
      <c r="E58" t="s">
        <v>750</v>
      </c>
      <c r="F58" t="s">
        <v>748</v>
      </c>
    </row>
    <row r="59" spans="1:6" x14ac:dyDescent="0.25">
      <c r="A59" t="s">
        <v>751</v>
      </c>
      <c r="B59" t="s">
        <v>752</v>
      </c>
      <c r="C59" s="19">
        <v>44628</v>
      </c>
      <c r="D59" s="21">
        <v>0.60256944444444405</v>
      </c>
      <c r="E59" t="s">
        <v>713</v>
      </c>
      <c r="F59" t="s">
        <v>748</v>
      </c>
    </row>
    <row r="60" spans="1:6" x14ac:dyDescent="0.25">
      <c r="A60" t="s">
        <v>749</v>
      </c>
      <c r="B60" t="s">
        <v>30</v>
      </c>
      <c r="C60" s="19">
        <v>44628</v>
      </c>
      <c r="D60" s="21" t="s">
        <v>864</v>
      </c>
      <c r="E60" t="s">
        <v>750</v>
      </c>
      <c r="F60" t="s">
        <v>748</v>
      </c>
    </row>
    <row r="61" spans="1:6" x14ac:dyDescent="0.25">
      <c r="A61" t="s">
        <v>751</v>
      </c>
      <c r="B61" t="s">
        <v>752</v>
      </c>
      <c r="C61" s="19">
        <v>44628</v>
      </c>
      <c r="D61" s="21">
        <v>0.77185185185185201</v>
      </c>
      <c r="E61" t="s">
        <v>713</v>
      </c>
      <c r="F61" t="s">
        <v>748</v>
      </c>
    </row>
    <row r="62" spans="1:6" x14ac:dyDescent="0.25">
      <c r="A62" t="s">
        <v>749</v>
      </c>
      <c r="B62" t="s">
        <v>29</v>
      </c>
      <c r="C62" s="19">
        <v>44628</v>
      </c>
      <c r="D62" s="21" t="s">
        <v>865</v>
      </c>
      <c r="E62" t="s">
        <v>750</v>
      </c>
      <c r="F62" t="s">
        <v>748</v>
      </c>
    </row>
    <row r="63" spans="1:6" x14ac:dyDescent="0.25">
      <c r="A63" t="s">
        <v>751</v>
      </c>
      <c r="B63" t="s">
        <v>753</v>
      </c>
      <c r="C63" s="19">
        <v>44628</v>
      </c>
      <c r="D63" s="21">
        <v>0.46607638888888903</v>
      </c>
      <c r="E63" t="s">
        <v>714</v>
      </c>
      <c r="F63" t="s">
        <v>748</v>
      </c>
    </row>
    <row r="64" spans="1:6" x14ac:dyDescent="0.25">
      <c r="A64" t="s">
        <v>749</v>
      </c>
      <c r="B64" t="s">
        <v>29</v>
      </c>
      <c r="C64" s="19">
        <v>44628</v>
      </c>
      <c r="D64" s="21" t="s">
        <v>866</v>
      </c>
      <c r="E64" t="s">
        <v>750</v>
      </c>
      <c r="F64" t="s">
        <v>748</v>
      </c>
    </row>
    <row r="65" spans="1:6" x14ac:dyDescent="0.25">
      <c r="A65" t="s">
        <v>751</v>
      </c>
      <c r="B65" t="s">
        <v>753</v>
      </c>
      <c r="C65" s="19">
        <v>44628</v>
      </c>
      <c r="D65" s="21">
        <v>0.62706018518518503</v>
      </c>
      <c r="E65" t="s">
        <v>714</v>
      </c>
      <c r="F65" t="s">
        <v>748</v>
      </c>
    </row>
    <row r="66" spans="1:6" x14ac:dyDescent="0.25">
      <c r="A66" t="s">
        <v>749</v>
      </c>
      <c r="B66" t="s">
        <v>31</v>
      </c>
      <c r="C66" s="19">
        <v>44569</v>
      </c>
      <c r="D66" s="21" t="s">
        <v>867</v>
      </c>
      <c r="E66" t="s">
        <v>750</v>
      </c>
      <c r="F66" t="s">
        <v>748</v>
      </c>
    </row>
    <row r="67" spans="1:6" x14ac:dyDescent="0.25">
      <c r="A67" t="s">
        <v>751</v>
      </c>
      <c r="B67" t="s">
        <v>754</v>
      </c>
      <c r="C67" s="19">
        <v>44569</v>
      </c>
      <c r="D67" s="21">
        <v>0.71689814814814801</v>
      </c>
      <c r="E67" t="s">
        <v>715</v>
      </c>
      <c r="F67" t="s">
        <v>748</v>
      </c>
    </row>
    <row r="68" spans="1:6" x14ac:dyDescent="0.25">
      <c r="A68" t="s">
        <v>749</v>
      </c>
      <c r="B68" t="s">
        <v>31</v>
      </c>
      <c r="C68" s="19">
        <v>44600</v>
      </c>
      <c r="D68" s="21" t="s">
        <v>868</v>
      </c>
      <c r="E68" t="s">
        <v>750</v>
      </c>
      <c r="F68" t="s">
        <v>748</v>
      </c>
    </row>
    <row r="69" spans="1:6" x14ac:dyDescent="0.25">
      <c r="A69" t="s">
        <v>751</v>
      </c>
      <c r="B69" t="s">
        <v>754</v>
      </c>
      <c r="C69" s="19">
        <v>44600</v>
      </c>
      <c r="D69" s="21">
        <v>0.66387731481481504</v>
      </c>
      <c r="E69" t="s">
        <v>715</v>
      </c>
      <c r="F69" t="s">
        <v>748</v>
      </c>
    </row>
    <row r="70" spans="1:6" x14ac:dyDescent="0.25">
      <c r="A70" t="s">
        <v>749</v>
      </c>
      <c r="B70" t="s">
        <v>44</v>
      </c>
      <c r="C70" s="19">
        <v>44569</v>
      </c>
      <c r="D70" s="21" t="s">
        <v>869</v>
      </c>
      <c r="E70" t="s">
        <v>750</v>
      </c>
      <c r="F70" t="s">
        <v>748</v>
      </c>
    </row>
    <row r="71" spans="1:6" x14ac:dyDescent="0.25">
      <c r="A71" t="s">
        <v>751</v>
      </c>
      <c r="B71" t="s">
        <v>755</v>
      </c>
      <c r="C71" s="19">
        <v>44569</v>
      </c>
      <c r="D71" s="21">
        <v>0.37035879629629598</v>
      </c>
      <c r="E71" t="s">
        <v>811</v>
      </c>
      <c r="F71" t="s">
        <v>748</v>
      </c>
    </row>
    <row r="72" spans="1:6" x14ac:dyDescent="0.25">
      <c r="A72" t="s">
        <v>749</v>
      </c>
      <c r="B72" t="s">
        <v>44</v>
      </c>
      <c r="C72" s="19">
        <v>44569</v>
      </c>
      <c r="D72" s="21" t="s">
        <v>870</v>
      </c>
      <c r="E72" t="s">
        <v>750</v>
      </c>
      <c r="F72" t="s">
        <v>748</v>
      </c>
    </row>
    <row r="73" spans="1:6" x14ac:dyDescent="0.25">
      <c r="A73" t="s">
        <v>751</v>
      </c>
      <c r="B73" t="s">
        <v>755</v>
      </c>
      <c r="C73" s="19">
        <v>44569</v>
      </c>
      <c r="D73" s="21">
        <v>0.56269675925925899</v>
      </c>
      <c r="E73" t="s">
        <v>811</v>
      </c>
      <c r="F73" t="s">
        <v>748</v>
      </c>
    </row>
    <row r="74" spans="1:6" x14ac:dyDescent="0.25">
      <c r="A74" t="s">
        <v>749</v>
      </c>
      <c r="B74" t="s">
        <v>44</v>
      </c>
      <c r="C74" s="19">
        <v>44600</v>
      </c>
      <c r="D74" s="21" t="s">
        <v>871</v>
      </c>
      <c r="E74" t="s">
        <v>750</v>
      </c>
      <c r="F74" t="s">
        <v>748</v>
      </c>
    </row>
    <row r="75" spans="1:6" x14ac:dyDescent="0.25">
      <c r="A75" t="s">
        <v>751</v>
      </c>
      <c r="B75" t="s">
        <v>755</v>
      </c>
      <c r="C75" s="19">
        <v>44600</v>
      </c>
      <c r="D75" s="21">
        <v>0.46003472222222203</v>
      </c>
      <c r="E75" t="s">
        <v>811</v>
      </c>
      <c r="F75" t="s">
        <v>748</v>
      </c>
    </row>
    <row r="76" spans="1:6" x14ac:dyDescent="0.25">
      <c r="A76" t="s">
        <v>749</v>
      </c>
      <c r="B76" t="s">
        <v>44</v>
      </c>
      <c r="C76" s="19">
        <v>44600</v>
      </c>
      <c r="D76" s="21" t="s">
        <v>872</v>
      </c>
      <c r="E76" t="s">
        <v>750</v>
      </c>
      <c r="F76" t="s">
        <v>748</v>
      </c>
    </row>
    <row r="77" spans="1:6" x14ac:dyDescent="0.25">
      <c r="A77" t="s">
        <v>751</v>
      </c>
      <c r="B77" t="s">
        <v>755</v>
      </c>
      <c r="C77" s="19">
        <v>44600</v>
      </c>
      <c r="D77" s="21">
        <v>0.467708333333333</v>
      </c>
      <c r="E77" t="s">
        <v>811</v>
      </c>
      <c r="F77" t="s">
        <v>748</v>
      </c>
    </row>
    <row r="78" spans="1:6" x14ac:dyDescent="0.25">
      <c r="A78" t="s">
        <v>749</v>
      </c>
      <c r="B78" t="s">
        <v>44</v>
      </c>
      <c r="C78" s="19">
        <v>44628</v>
      </c>
      <c r="D78" s="21" t="s">
        <v>873</v>
      </c>
      <c r="E78" t="s">
        <v>750</v>
      </c>
      <c r="F78" t="s">
        <v>748</v>
      </c>
    </row>
    <row r="79" spans="1:6" x14ac:dyDescent="0.25">
      <c r="A79" t="s">
        <v>751</v>
      </c>
      <c r="B79" t="s">
        <v>755</v>
      </c>
      <c r="C79" s="19">
        <v>44628</v>
      </c>
      <c r="D79" s="21">
        <v>0.78353009259259299</v>
      </c>
      <c r="E79" t="s">
        <v>716</v>
      </c>
      <c r="F79" t="s">
        <v>748</v>
      </c>
    </row>
    <row r="80" spans="1:6" x14ac:dyDescent="0.25">
      <c r="A80" t="s">
        <v>749</v>
      </c>
      <c r="B80" t="s">
        <v>44</v>
      </c>
      <c r="C80" s="19">
        <v>44628</v>
      </c>
      <c r="D80" s="21" t="s">
        <v>874</v>
      </c>
      <c r="E80" t="s">
        <v>750</v>
      </c>
      <c r="F80" t="s">
        <v>748</v>
      </c>
    </row>
    <row r="81" spans="1:6" x14ac:dyDescent="0.25">
      <c r="A81" t="s">
        <v>751</v>
      </c>
      <c r="B81" t="s">
        <v>755</v>
      </c>
      <c r="C81" s="19">
        <v>44628</v>
      </c>
      <c r="D81" s="21">
        <v>0.85525462962962995</v>
      </c>
      <c r="E81" t="s">
        <v>716</v>
      </c>
      <c r="F81" t="s">
        <v>748</v>
      </c>
    </row>
    <row r="82" spans="1:6" x14ac:dyDescent="0.25">
      <c r="A82" t="s">
        <v>749</v>
      </c>
      <c r="B82" t="s">
        <v>44</v>
      </c>
      <c r="C82" s="19">
        <v>44628</v>
      </c>
      <c r="D82" s="21" t="s">
        <v>875</v>
      </c>
      <c r="E82" t="s">
        <v>750</v>
      </c>
      <c r="F82" t="s">
        <v>748</v>
      </c>
    </row>
    <row r="83" spans="1:6" x14ac:dyDescent="0.25">
      <c r="A83" t="s">
        <v>751</v>
      </c>
      <c r="B83" t="s">
        <v>755</v>
      </c>
      <c r="C83" s="19">
        <v>44628</v>
      </c>
      <c r="D83" s="21">
        <v>0.93267361111111102</v>
      </c>
      <c r="E83" t="s">
        <v>716</v>
      </c>
      <c r="F83" t="s">
        <v>748</v>
      </c>
    </row>
    <row r="84" spans="1:6" x14ac:dyDescent="0.25">
      <c r="A84" t="s">
        <v>749</v>
      </c>
      <c r="B84" t="s">
        <v>33</v>
      </c>
      <c r="C84" s="19">
        <v>44569</v>
      </c>
      <c r="D84" s="21" t="s">
        <v>876</v>
      </c>
      <c r="E84" t="s">
        <v>750</v>
      </c>
      <c r="F84" t="s">
        <v>748</v>
      </c>
    </row>
    <row r="85" spans="1:6" x14ac:dyDescent="0.25">
      <c r="A85" t="s">
        <v>751</v>
      </c>
      <c r="B85" t="s">
        <v>756</v>
      </c>
      <c r="C85" s="19">
        <v>44569</v>
      </c>
      <c r="D85" s="21">
        <v>0.359375</v>
      </c>
      <c r="E85" t="s">
        <v>831</v>
      </c>
      <c r="F85" t="s">
        <v>748</v>
      </c>
    </row>
    <row r="86" spans="1:6" x14ac:dyDescent="0.25">
      <c r="A86" t="s">
        <v>749</v>
      </c>
      <c r="B86" t="s">
        <v>33</v>
      </c>
      <c r="C86" s="19">
        <v>44569</v>
      </c>
      <c r="D86" s="21" t="s">
        <v>877</v>
      </c>
      <c r="E86" t="s">
        <v>750</v>
      </c>
      <c r="F86" t="s">
        <v>748</v>
      </c>
    </row>
    <row r="87" spans="1:6" x14ac:dyDescent="0.25">
      <c r="A87" t="s">
        <v>751</v>
      </c>
      <c r="B87" t="s">
        <v>756</v>
      </c>
      <c r="C87" s="19">
        <v>44569</v>
      </c>
      <c r="D87" s="21">
        <v>0.366574074074074</v>
      </c>
      <c r="E87" t="s">
        <v>831</v>
      </c>
      <c r="F87" t="s">
        <v>748</v>
      </c>
    </row>
    <row r="88" spans="1:6" x14ac:dyDescent="0.25">
      <c r="A88" t="s">
        <v>749</v>
      </c>
      <c r="B88" t="s">
        <v>33</v>
      </c>
      <c r="C88" s="19">
        <v>44569</v>
      </c>
      <c r="D88" s="21" t="s">
        <v>878</v>
      </c>
      <c r="E88" t="s">
        <v>750</v>
      </c>
      <c r="F88" t="s">
        <v>748</v>
      </c>
    </row>
    <row r="89" spans="1:6" x14ac:dyDescent="0.25">
      <c r="A89" t="s">
        <v>751</v>
      </c>
      <c r="B89" t="s">
        <v>756</v>
      </c>
      <c r="C89" s="19">
        <v>44569</v>
      </c>
      <c r="D89" s="21">
        <v>0.48868055555555601</v>
      </c>
      <c r="E89" t="s">
        <v>831</v>
      </c>
      <c r="F89" t="s">
        <v>748</v>
      </c>
    </row>
    <row r="90" spans="1:6" x14ac:dyDescent="0.25">
      <c r="A90" t="s">
        <v>749</v>
      </c>
      <c r="B90" t="s">
        <v>33</v>
      </c>
      <c r="C90" s="19">
        <v>44569</v>
      </c>
      <c r="D90" s="21" t="s">
        <v>879</v>
      </c>
      <c r="E90" t="s">
        <v>750</v>
      </c>
      <c r="F90" t="s">
        <v>748</v>
      </c>
    </row>
    <row r="91" spans="1:6" x14ac:dyDescent="0.25">
      <c r="A91" t="s">
        <v>751</v>
      </c>
      <c r="B91" t="s">
        <v>756</v>
      </c>
      <c r="C91" s="19">
        <v>44569</v>
      </c>
      <c r="D91" s="21">
        <v>0.67535879629629603</v>
      </c>
      <c r="E91" t="s">
        <v>831</v>
      </c>
      <c r="F91" t="s">
        <v>748</v>
      </c>
    </row>
    <row r="92" spans="1:6" x14ac:dyDescent="0.25">
      <c r="A92" t="s">
        <v>749</v>
      </c>
      <c r="B92" t="s">
        <v>33</v>
      </c>
      <c r="C92" s="19">
        <v>44600</v>
      </c>
      <c r="D92" s="21" t="s">
        <v>880</v>
      </c>
      <c r="E92" t="s">
        <v>750</v>
      </c>
      <c r="F92" t="s">
        <v>748</v>
      </c>
    </row>
    <row r="93" spans="1:6" x14ac:dyDescent="0.25">
      <c r="A93" t="s">
        <v>751</v>
      </c>
      <c r="B93" t="s">
        <v>756</v>
      </c>
      <c r="C93" s="19">
        <v>44600</v>
      </c>
      <c r="D93" s="21">
        <v>0.42800925925925898</v>
      </c>
      <c r="E93" t="s">
        <v>831</v>
      </c>
      <c r="F93" t="s">
        <v>748</v>
      </c>
    </row>
    <row r="94" spans="1:6" x14ac:dyDescent="0.25">
      <c r="A94" t="s">
        <v>749</v>
      </c>
      <c r="B94" t="s">
        <v>33</v>
      </c>
      <c r="C94" s="19">
        <v>44600</v>
      </c>
      <c r="D94" s="21" t="s">
        <v>881</v>
      </c>
      <c r="E94" t="s">
        <v>750</v>
      </c>
      <c r="F94" t="s">
        <v>748</v>
      </c>
    </row>
    <row r="95" spans="1:6" x14ac:dyDescent="0.25">
      <c r="A95" t="s">
        <v>751</v>
      </c>
      <c r="B95" t="s">
        <v>756</v>
      </c>
      <c r="C95" s="19">
        <v>44600</v>
      </c>
      <c r="D95" s="21">
        <v>0.57203703703703701</v>
      </c>
      <c r="E95" t="s">
        <v>831</v>
      </c>
      <c r="F95" t="s">
        <v>748</v>
      </c>
    </row>
    <row r="96" spans="1:6" x14ac:dyDescent="0.25">
      <c r="A96" t="s">
        <v>749</v>
      </c>
      <c r="B96" t="s">
        <v>33</v>
      </c>
      <c r="C96" s="19">
        <v>44600</v>
      </c>
      <c r="D96" s="21" t="s">
        <v>882</v>
      </c>
      <c r="E96" t="s">
        <v>750</v>
      </c>
      <c r="F96" t="s">
        <v>748</v>
      </c>
    </row>
    <row r="97" spans="1:6" x14ac:dyDescent="0.25">
      <c r="A97" t="s">
        <v>751</v>
      </c>
      <c r="B97" t="s">
        <v>756</v>
      </c>
      <c r="C97" s="19">
        <v>44600</v>
      </c>
      <c r="D97" s="21">
        <v>0.74674768518518497</v>
      </c>
      <c r="E97" t="s">
        <v>831</v>
      </c>
      <c r="F97" t="s">
        <v>748</v>
      </c>
    </row>
    <row r="98" spans="1:6" x14ac:dyDescent="0.25">
      <c r="A98" t="s">
        <v>749</v>
      </c>
      <c r="B98" t="s">
        <v>33</v>
      </c>
      <c r="C98" s="19">
        <v>44628</v>
      </c>
      <c r="D98" s="21" t="s">
        <v>883</v>
      </c>
      <c r="E98" t="s">
        <v>750</v>
      </c>
      <c r="F98" t="s">
        <v>748</v>
      </c>
    </row>
    <row r="99" spans="1:6" x14ac:dyDescent="0.25">
      <c r="A99" t="s">
        <v>751</v>
      </c>
      <c r="B99" t="s">
        <v>756</v>
      </c>
      <c r="C99" s="19">
        <v>44628</v>
      </c>
      <c r="D99" s="21">
        <v>0.42072916666666699</v>
      </c>
      <c r="E99" t="s">
        <v>718</v>
      </c>
      <c r="F99" t="s">
        <v>748</v>
      </c>
    </row>
    <row r="100" spans="1:6" x14ac:dyDescent="0.25">
      <c r="A100" t="s">
        <v>749</v>
      </c>
      <c r="B100" t="s">
        <v>33</v>
      </c>
      <c r="C100" s="19">
        <v>44628</v>
      </c>
      <c r="D100" s="21" t="s">
        <v>884</v>
      </c>
      <c r="E100" t="s">
        <v>750</v>
      </c>
      <c r="F100" t="s">
        <v>748</v>
      </c>
    </row>
    <row r="101" spans="1:6" x14ac:dyDescent="0.25">
      <c r="A101" t="s">
        <v>751</v>
      </c>
      <c r="B101" t="s">
        <v>756</v>
      </c>
      <c r="C101" s="19">
        <v>44628</v>
      </c>
      <c r="D101" s="21">
        <v>0.82990740740740698</v>
      </c>
      <c r="E101" t="s">
        <v>717</v>
      </c>
      <c r="F101" t="s">
        <v>748</v>
      </c>
    </row>
    <row r="102" spans="1:6" x14ac:dyDescent="0.25">
      <c r="A102" t="s">
        <v>749</v>
      </c>
      <c r="B102" t="s">
        <v>33</v>
      </c>
      <c r="C102" s="19">
        <v>44628</v>
      </c>
      <c r="D102" s="21" t="s">
        <v>885</v>
      </c>
      <c r="E102" t="s">
        <v>750</v>
      </c>
      <c r="F102" t="s">
        <v>748</v>
      </c>
    </row>
    <row r="103" spans="1:6" x14ac:dyDescent="0.25">
      <c r="A103" t="s">
        <v>751</v>
      </c>
      <c r="B103" t="s">
        <v>756</v>
      </c>
      <c r="C103" s="19">
        <v>44628</v>
      </c>
      <c r="D103" s="21">
        <v>0.91467592592592595</v>
      </c>
      <c r="E103" t="s">
        <v>717</v>
      </c>
      <c r="F103" t="s">
        <v>748</v>
      </c>
    </row>
    <row r="104" spans="1:6" x14ac:dyDescent="0.25">
      <c r="A104" t="s">
        <v>749</v>
      </c>
      <c r="B104" t="s">
        <v>32</v>
      </c>
      <c r="C104" s="19">
        <v>44569</v>
      </c>
      <c r="D104" s="21" t="s">
        <v>886</v>
      </c>
      <c r="E104" t="s">
        <v>750</v>
      </c>
      <c r="F104" t="s">
        <v>748</v>
      </c>
    </row>
    <row r="105" spans="1:6" x14ac:dyDescent="0.25">
      <c r="A105" t="s">
        <v>751</v>
      </c>
      <c r="B105" t="s">
        <v>757</v>
      </c>
      <c r="C105" s="19">
        <v>44569</v>
      </c>
      <c r="D105" s="21">
        <v>0.44003472222222201</v>
      </c>
      <c r="E105" t="s">
        <v>719</v>
      </c>
      <c r="F105" t="s">
        <v>748</v>
      </c>
    </row>
    <row r="106" spans="1:6" x14ac:dyDescent="0.25">
      <c r="A106" t="s">
        <v>749</v>
      </c>
      <c r="B106" t="s">
        <v>32</v>
      </c>
      <c r="C106" s="19">
        <v>44569</v>
      </c>
      <c r="D106" s="21" t="s">
        <v>887</v>
      </c>
      <c r="E106" t="s">
        <v>750</v>
      </c>
      <c r="F106" t="s">
        <v>748</v>
      </c>
    </row>
    <row r="107" spans="1:6" x14ac:dyDescent="0.25">
      <c r="A107" t="s">
        <v>751</v>
      </c>
      <c r="B107" t="s">
        <v>757</v>
      </c>
      <c r="C107" s="19">
        <v>44569</v>
      </c>
      <c r="D107" s="21">
        <v>0.44152777777777802</v>
      </c>
      <c r="E107" t="s">
        <v>719</v>
      </c>
      <c r="F107" t="s">
        <v>748</v>
      </c>
    </row>
    <row r="108" spans="1:6" x14ac:dyDescent="0.25">
      <c r="A108" t="s">
        <v>749</v>
      </c>
      <c r="B108" t="s">
        <v>32</v>
      </c>
      <c r="C108" s="19">
        <v>44569</v>
      </c>
      <c r="D108" s="21" t="s">
        <v>888</v>
      </c>
      <c r="E108" t="s">
        <v>750</v>
      </c>
      <c r="F108" t="s">
        <v>748</v>
      </c>
    </row>
    <row r="109" spans="1:6" x14ac:dyDescent="0.25">
      <c r="A109" t="s">
        <v>751</v>
      </c>
      <c r="B109" t="s">
        <v>757</v>
      </c>
      <c r="C109" s="19">
        <v>44569</v>
      </c>
      <c r="D109" s="21">
        <v>0.90226851851851897</v>
      </c>
      <c r="E109" t="s">
        <v>832</v>
      </c>
      <c r="F109" t="s">
        <v>748</v>
      </c>
    </row>
    <row r="110" spans="1:6" x14ac:dyDescent="0.25">
      <c r="A110" t="s">
        <v>749</v>
      </c>
      <c r="B110" t="s">
        <v>32</v>
      </c>
      <c r="C110" s="19">
        <v>44600</v>
      </c>
      <c r="D110" s="21" t="s">
        <v>889</v>
      </c>
      <c r="E110" t="s">
        <v>750</v>
      </c>
      <c r="F110" t="s">
        <v>748</v>
      </c>
    </row>
    <row r="111" spans="1:6" x14ac:dyDescent="0.25">
      <c r="A111" t="s">
        <v>751</v>
      </c>
      <c r="B111" t="s">
        <v>757</v>
      </c>
      <c r="C111" s="19">
        <v>44600</v>
      </c>
      <c r="D111" s="21">
        <v>0.61825231481481502</v>
      </c>
      <c r="E111" t="s">
        <v>719</v>
      </c>
      <c r="F111" t="s">
        <v>748</v>
      </c>
    </row>
    <row r="112" spans="1:6" x14ac:dyDescent="0.25">
      <c r="A112" t="s">
        <v>749</v>
      </c>
      <c r="B112" t="s">
        <v>32</v>
      </c>
      <c r="C112" s="19">
        <v>44600</v>
      </c>
      <c r="D112" s="21" t="s">
        <v>890</v>
      </c>
      <c r="E112" t="s">
        <v>750</v>
      </c>
      <c r="F112" t="s">
        <v>748</v>
      </c>
    </row>
    <row r="113" spans="1:6" x14ac:dyDescent="0.25">
      <c r="A113" t="s">
        <v>751</v>
      </c>
      <c r="B113" t="s">
        <v>757</v>
      </c>
      <c r="C113" s="19">
        <v>44600</v>
      </c>
      <c r="D113" s="21">
        <v>0.80483796296296295</v>
      </c>
      <c r="E113" t="s">
        <v>832</v>
      </c>
      <c r="F113" t="s">
        <v>748</v>
      </c>
    </row>
    <row r="114" spans="1:6" x14ac:dyDescent="0.25">
      <c r="A114" t="s">
        <v>749</v>
      </c>
      <c r="B114" t="s">
        <v>32</v>
      </c>
      <c r="C114" s="19">
        <v>44600</v>
      </c>
      <c r="D114" s="21" t="s">
        <v>891</v>
      </c>
      <c r="E114" t="s">
        <v>750</v>
      </c>
      <c r="F114" t="s">
        <v>748</v>
      </c>
    </row>
    <row r="115" spans="1:6" x14ac:dyDescent="0.25">
      <c r="A115" t="s">
        <v>751</v>
      </c>
      <c r="B115" t="s">
        <v>757</v>
      </c>
      <c r="C115" s="19">
        <v>44600</v>
      </c>
      <c r="D115" s="21">
        <v>0.89217592592592598</v>
      </c>
      <c r="E115" t="s">
        <v>832</v>
      </c>
      <c r="F115" t="s">
        <v>748</v>
      </c>
    </row>
    <row r="116" spans="1:6" x14ac:dyDescent="0.25">
      <c r="A116" t="s">
        <v>749</v>
      </c>
      <c r="B116" t="s">
        <v>32</v>
      </c>
      <c r="C116" s="19">
        <v>44600</v>
      </c>
      <c r="D116" s="21" t="s">
        <v>892</v>
      </c>
      <c r="E116" t="s">
        <v>750</v>
      </c>
      <c r="F116" t="s">
        <v>748</v>
      </c>
    </row>
    <row r="117" spans="1:6" x14ac:dyDescent="0.25">
      <c r="A117" t="s">
        <v>751</v>
      </c>
      <c r="B117" t="s">
        <v>757</v>
      </c>
      <c r="C117" s="19">
        <v>44600</v>
      </c>
      <c r="D117" s="21">
        <v>0.89348379629629604</v>
      </c>
      <c r="E117" t="s">
        <v>832</v>
      </c>
      <c r="F117" t="s">
        <v>748</v>
      </c>
    </row>
    <row r="118" spans="1:6" x14ac:dyDescent="0.25">
      <c r="A118" t="s">
        <v>749</v>
      </c>
      <c r="B118" t="s">
        <v>32</v>
      </c>
      <c r="C118" s="19">
        <v>44600</v>
      </c>
      <c r="D118" s="21" t="s">
        <v>893</v>
      </c>
      <c r="E118" t="s">
        <v>750</v>
      </c>
      <c r="F118" t="s">
        <v>748</v>
      </c>
    </row>
    <row r="119" spans="1:6" x14ac:dyDescent="0.25">
      <c r="A119" t="s">
        <v>751</v>
      </c>
      <c r="B119" t="s">
        <v>757</v>
      </c>
      <c r="C119" s="19">
        <v>44600</v>
      </c>
      <c r="D119" s="21">
        <v>0.89518518518518497</v>
      </c>
      <c r="E119" t="s">
        <v>832</v>
      </c>
      <c r="F119" t="s">
        <v>748</v>
      </c>
    </row>
    <row r="120" spans="1:6" x14ac:dyDescent="0.25">
      <c r="A120" t="s">
        <v>749</v>
      </c>
      <c r="B120" t="s">
        <v>32</v>
      </c>
      <c r="C120" s="19">
        <v>44628</v>
      </c>
      <c r="D120" s="21" t="s">
        <v>894</v>
      </c>
      <c r="E120" t="s">
        <v>750</v>
      </c>
      <c r="F120" t="s">
        <v>748</v>
      </c>
    </row>
    <row r="121" spans="1:6" x14ac:dyDescent="0.25">
      <c r="A121" t="s">
        <v>751</v>
      </c>
      <c r="B121" t="s">
        <v>757</v>
      </c>
      <c r="C121" s="19">
        <v>44628</v>
      </c>
      <c r="D121" s="21">
        <v>0.35501157407407402</v>
      </c>
      <c r="E121" t="s">
        <v>719</v>
      </c>
      <c r="F121" t="s">
        <v>748</v>
      </c>
    </row>
    <row r="122" spans="1:6" x14ac:dyDescent="0.25">
      <c r="A122" t="s">
        <v>749</v>
      </c>
      <c r="B122" t="s">
        <v>32</v>
      </c>
      <c r="C122" s="19">
        <v>44628</v>
      </c>
      <c r="D122" s="21" t="s">
        <v>895</v>
      </c>
      <c r="E122" t="s">
        <v>750</v>
      </c>
      <c r="F122" t="s">
        <v>748</v>
      </c>
    </row>
    <row r="123" spans="1:6" x14ac:dyDescent="0.25">
      <c r="A123" t="s">
        <v>751</v>
      </c>
      <c r="B123" t="s">
        <v>757</v>
      </c>
      <c r="C123" s="19">
        <v>44628</v>
      </c>
      <c r="D123" s="21">
        <v>0.58302083333333299</v>
      </c>
      <c r="E123" t="s">
        <v>719</v>
      </c>
      <c r="F123" t="s">
        <v>748</v>
      </c>
    </row>
    <row r="124" spans="1:6" x14ac:dyDescent="0.25">
      <c r="A124" t="s">
        <v>749</v>
      </c>
      <c r="B124" t="s">
        <v>32</v>
      </c>
      <c r="C124" s="19">
        <v>44628</v>
      </c>
      <c r="D124" s="21" t="s">
        <v>896</v>
      </c>
      <c r="E124" t="s">
        <v>750</v>
      </c>
      <c r="F124" t="s">
        <v>748</v>
      </c>
    </row>
    <row r="125" spans="1:6" x14ac:dyDescent="0.25">
      <c r="A125" t="s">
        <v>751</v>
      </c>
      <c r="B125" t="s">
        <v>757</v>
      </c>
      <c r="C125" s="19">
        <v>44628</v>
      </c>
      <c r="D125" s="21">
        <v>0.60347222222222197</v>
      </c>
      <c r="E125" t="s">
        <v>719</v>
      </c>
      <c r="F125" t="s">
        <v>748</v>
      </c>
    </row>
    <row r="126" spans="1:6" x14ac:dyDescent="0.25">
      <c r="A126" t="s">
        <v>749</v>
      </c>
      <c r="B126" t="s">
        <v>32</v>
      </c>
      <c r="C126" s="19">
        <v>44628</v>
      </c>
      <c r="D126" s="21" t="s">
        <v>897</v>
      </c>
      <c r="E126" t="s">
        <v>750</v>
      </c>
      <c r="F126" t="s">
        <v>748</v>
      </c>
    </row>
    <row r="127" spans="1:6" x14ac:dyDescent="0.25">
      <c r="A127" t="s">
        <v>751</v>
      </c>
      <c r="B127" t="s">
        <v>757</v>
      </c>
      <c r="C127" s="19">
        <v>44628</v>
      </c>
      <c r="D127" s="21">
        <v>0.70975694444444404</v>
      </c>
      <c r="E127" t="s">
        <v>719</v>
      </c>
      <c r="F127" t="s">
        <v>748</v>
      </c>
    </row>
    <row r="128" spans="1:6" x14ac:dyDescent="0.25">
      <c r="A128" t="s">
        <v>749</v>
      </c>
      <c r="B128" t="s">
        <v>35</v>
      </c>
      <c r="C128" s="19">
        <v>44569</v>
      </c>
      <c r="D128" s="21" t="s">
        <v>898</v>
      </c>
      <c r="E128" t="s">
        <v>750</v>
      </c>
      <c r="F128" t="s">
        <v>748</v>
      </c>
    </row>
    <row r="129" spans="1:6" x14ac:dyDescent="0.25">
      <c r="A129" t="s">
        <v>751</v>
      </c>
      <c r="B129" t="s">
        <v>758</v>
      </c>
      <c r="C129" s="19">
        <v>44569</v>
      </c>
      <c r="D129" s="21">
        <v>3.9224537037037002E-2</v>
      </c>
      <c r="E129" t="s">
        <v>720</v>
      </c>
      <c r="F129" t="s">
        <v>748</v>
      </c>
    </row>
    <row r="130" spans="1:6" x14ac:dyDescent="0.25">
      <c r="A130" t="s">
        <v>749</v>
      </c>
      <c r="B130" t="s">
        <v>35</v>
      </c>
      <c r="C130" s="19">
        <v>44569</v>
      </c>
      <c r="D130" s="21" t="s">
        <v>899</v>
      </c>
      <c r="E130" t="s">
        <v>750</v>
      </c>
      <c r="F130" t="s">
        <v>748</v>
      </c>
    </row>
    <row r="131" spans="1:6" x14ac:dyDescent="0.25">
      <c r="A131" t="s">
        <v>751</v>
      </c>
      <c r="B131" t="s">
        <v>758</v>
      </c>
      <c r="C131" s="19">
        <v>44569</v>
      </c>
      <c r="D131" s="21">
        <v>0.48282407407407402</v>
      </c>
      <c r="E131" t="s">
        <v>833</v>
      </c>
      <c r="F131" t="s">
        <v>748</v>
      </c>
    </row>
    <row r="132" spans="1:6" x14ac:dyDescent="0.25">
      <c r="A132" t="s">
        <v>749</v>
      </c>
      <c r="B132" t="s">
        <v>35</v>
      </c>
      <c r="C132" s="19">
        <v>44569</v>
      </c>
      <c r="D132" s="21" t="s">
        <v>900</v>
      </c>
      <c r="E132" t="s">
        <v>750</v>
      </c>
      <c r="F132" t="s">
        <v>748</v>
      </c>
    </row>
    <row r="133" spans="1:6" x14ac:dyDescent="0.25">
      <c r="A133" t="s">
        <v>751</v>
      </c>
      <c r="B133" t="s">
        <v>758</v>
      </c>
      <c r="C133" s="19">
        <v>44569</v>
      </c>
      <c r="D133" s="21">
        <v>0.55695601851851895</v>
      </c>
      <c r="E133" t="s">
        <v>833</v>
      </c>
      <c r="F133" t="s">
        <v>748</v>
      </c>
    </row>
    <row r="134" spans="1:6" x14ac:dyDescent="0.25">
      <c r="A134" t="s">
        <v>749</v>
      </c>
      <c r="B134" t="s">
        <v>35</v>
      </c>
      <c r="C134" s="19">
        <v>44600</v>
      </c>
      <c r="D134" s="21" t="s">
        <v>901</v>
      </c>
      <c r="E134" t="s">
        <v>750</v>
      </c>
      <c r="F134" t="s">
        <v>748</v>
      </c>
    </row>
    <row r="135" spans="1:6" x14ac:dyDescent="0.25">
      <c r="A135" t="s">
        <v>751</v>
      </c>
      <c r="B135" t="s">
        <v>758</v>
      </c>
      <c r="C135" s="19">
        <v>44600</v>
      </c>
      <c r="D135" s="21">
        <v>0.45659722222222199</v>
      </c>
      <c r="E135" t="s">
        <v>833</v>
      </c>
      <c r="F135" t="s">
        <v>748</v>
      </c>
    </row>
    <row r="136" spans="1:6" x14ac:dyDescent="0.25">
      <c r="A136" t="s">
        <v>749</v>
      </c>
      <c r="B136" t="s">
        <v>35</v>
      </c>
      <c r="C136" s="19">
        <v>44600</v>
      </c>
      <c r="D136" s="21" t="s">
        <v>902</v>
      </c>
      <c r="E136" t="s">
        <v>750</v>
      </c>
      <c r="F136" t="s">
        <v>748</v>
      </c>
    </row>
    <row r="137" spans="1:6" x14ac:dyDescent="0.25">
      <c r="A137" t="s">
        <v>751</v>
      </c>
      <c r="B137" t="s">
        <v>758</v>
      </c>
      <c r="C137" s="19">
        <v>44600</v>
      </c>
      <c r="D137" s="21">
        <v>0.63885416666666694</v>
      </c>
      <c r="E137" t="s">
        <v>833</v>
      </c>
      <c r="F137" t="s">
        <v>748</v>
      </c>
    </row>
    <row r="138" spans="1:6" x14ac:dyDescent="0.25">
      <c r="A138" t="s">
        <v>749</v>
      </c>
      <c r="B138" t="s">
        <v>35</v>
      </c>
      <c r="C138" s="19">
        <v>44628</v>
      </c>
      <c r="D138" s="21" t="s">
        <v>903</v>
      </c>
      <c r="E138" t="s">
        <v>750</v>
      </c>
      <c r="F138" t="s">
        <v>748</v>
      </c>
    </row>
    <row r="139" spans="1:6" x14ac:dyDescent="0.25">
      <c r="A139" t="s">
        <v>751</v>
      </c>
      <c r="B139" t="s">
        <v>758</v>
      </c>
      <c r="C139" s="19">
        <v>44628</v>
      </c>
      <c r="D139" s="21">
        <v>0.72636574074074101</v>
      </c>
      <c r="E139" t="s">
        <v>720</v>
      </c>
      <c r="F139" t="s">
        <v>748</v>
      </c>
    </row>
    <row r="140" spans="1:6" x14ac:dyDescent="0.25">
      <c r="A140" t="s">
        <v>749</v>
      </c>
      <c r="B140" t="s">
        <v>39</v>
      </c>
      <c r="C140" s="19">
        <v>44569</v>
      </c>
      <c r="D140" s="21" t="s">
        <v>904</v>
      </c>
      <c r="E140" t="s">
        <v>750</v>
      </c>
      <c r="F140" t="s">
        <v>748</v>
      </c>
    </row>
    <row r="141" spans="1:6" x14ac:dyDescent="0.25">
      <c r="A141" t="s">
        <v>751</v>
      </c>
      <c r="B141" t="s">
        <v>759</v>
      </c>
      <c r="C141" s="19">
        <v>44569</v>
      </c>
      <c r="D141" s="21">
        <v>0.38050925925925899</v>
      </c>
      <c r="E141" t="s">
        <v>813</v>
      </c>
      <c r="F141" t="s">
        <v>748</v>
      </c>
    </row>
    <row r="142" spans="1:6" x14ac:dyDescent="0.25">
      <c r="A142" t="s">
        <v>749</v>
      </c>
      <c r="B142" t="s">
        <v>39</v>
      </c>
      <c r="C142" s="19">
        <v>44569</v>
      </c>
      <c r="D142" s="21" t="s">
        <v>905</v>
      </c>
      <c r="E142" t="s">
        <v>750</v>
      </c>
      <c r="F142" t="s">
        <v>748</v>
      </c>
    </row>
    <row r="143" spans="1:6" x14ac:dyDescent="0.25">
      <c r="A143" t="s">
        <v>751</v>
      </c>
      <c r="B143" t="s">
        <v>759</v>
      </c>
      <c r="C143" s="19">
        <v>44569</v>
      </c>
      <c r="D143" s="21">
        <v>0.79261574074074104</v>
      </c>
      <c r="E143" t="s">
        <v>722</v>
      </c>
      <c r="F143" t="s">
        <v>748</v>
      </c>
    </row>
    <row r="144" spans="1:6" x14ac:dyDescent="0.25">
      <c r="A144" t="s">
        <v>749</v>
      </c>
      <c r="B144" t="s">
        <v>39</v>
      </c>
      <c r="C144" s="19">
        <v>44600</v>
      </c>
      <c r="D144" s="21" t="s">
        <v>906</v>
      </c>
      <c r="E144" t="s">
        <v>750</v>
      </c>
      <c r="F144" t="s">
        <v>748</v>
      </c>
    </row>
    <row r="145" spans="1:6" x14ac:dyDescent="0.25">
      <c r="A145" t="s">
        <v>751</v>
      </c>
      <c r="B145" t="s">
        <v>759</v>
      </c>
      <c r="C145" s="19">
        <v>44600</v>
      </c>
      <c r="D145" s="21">
        <v>0.56498842592592602</v>
      </c>
      <c r="E145" t="s">
        <v>721</v>
      </c>
      <c r="F145" t="s">
        <v>748</v>
      </c>
    </row>
    <row r="146" spans="1:6" x14ac:dyDescent="0.25">
      <c r="A146" t="s">
        <v>749</v>
      </c>
      <c r="B146" t="s">
        <v>39</v>
      </c>
      <c r="C146" s="19">
        <v>44628</v>
      </c>
      <c r="D146" s="21" t="s">
        <v>907</v>
      </c>
      <c r="E146" t="s">
        <v>750</v>
      </c>
      <c r="F146" t="s">
        <v>748</v>
      </c>
    </row>
    <row r="147" spans="1:6" x14ac:dyDescent="0.25">
      <c r="A147" t="s">
        <v>751</v>
      </c>
      <c r="B147" t="s">
        <v>759</v>
      </c>
      <c r="C147" s="19">
        <v>44628</v>
      </c>
      <c r="D147" s="21">
        <v>0.55650462962962999</v>
      </c>
      <c r="E147" t="s">
        <v>721</v>
      </c>
      <c r="F147" t="s">
        <v>748</v>
      </c>
    </row>
    <row r="148" spans="1:6" x14ac:dyDescent="0.25">
      <c r="A148" t="s">
        <v>749</v>
      </c>
      <c r="B148" t="s">
        <v>39</v>
      </c>
      <c r="C148" s="19">
        <v>44628</v>
      </c>
      <c r="D148" s="21" t="s">
        <v>908</v>
      </c>
      <c r="E148" t="s">
        <v>750</v>
      </c>
      <c r="F148" t="s">
        <v>748</v>
      </c>
    </row>
    <row r="149" spans="1:6" x14ac:dyDescent="0.25">
      <c r="A149" t="s">
        <v>751</v>
      </c>
      <c r="B149" t="s">
        <v>759</v>
      </c>
      <c r="C149" s="19">
        <v>44628</v>
      </c>
      <c r="D149" s="21">
        <v>0.90107638888888897</v>
      </c>
      <c r="E149" t="s">
        <v>722</v>
      </c>
      <c r="F149" t="s">
        <v>748</v>
      </c>
    </row>
    <row r="150" spans="1:6" x14ac:dyDescent="0.25">
      <c r="A150" t="s">
        <v>749</v>
      </c>
      <c r="B150" t="s">
        <v>36</v>
      </c>
      <c r="C150" s="19">
        <v>44569</v>
      </c>
      <c r="D150" s="21" t="s">
        <v>909</v>
      </c>
      <c r="E150" t="s">
        <v>750</v>
      </c>
      <c r="F150" t="s">
        <v>748</v>
      </c>
    </row>
    <row r="151" spans="1:6" x14ac:dyDescent="0.25">
      <c r="A151" t="s">
        <v>751</v>
      </c>
      <c r="B151" t="s">
        <v>760</v>
      </c>
      <c r="C151" s="19">
        <v>44569</v>
      </c>
      <c r="D151" s="21">
        <v>0.49528935185185202</v>
      </c>
      <c r="E151" t="s">
        <v>814</v>
      </c>
      <c r="F151" t="s">
        <v>748</v>
      </c>
    </row>
    <row r="152" spans="1:6" x14ac:dyDescent="0.25">
      <c r="A152" t="s">
        <v>749</v>
      </c>
      <c r="B152" t="s">
        <v>36</v>
      </c>
      <c r="C152" s="19">
        <v>44569</v>
      </c>
      <c r="D152" s="21" t="s">
        <v>910</v>
      </c>
      <c r="E152" t="s">
        <v>750</v>
      </c>
      <c r="F152" t="s">
        <v>748</v>
      </c>
    </row>
    <row r="153" spans="1:6" x14ac:dyDescent="0.25">
      <c r="A153" t="s">
        <v>751</v>
      </c>
      <c r="B153" t="s">
        <v>760</v>
      </c>
      <c r="C153" s="19">
        <v>44569</v>
      </c>
      <c r="D153" s="21">
        <v>0.58893518518518495</v>
      </c>
      <c r="E153" t="s">
        <v>814</v>
      </c>
      <c r="F153" t="s">
        <v>748</v>
      </c>
    </row>
    <row r="154" spans="1:6" x14ac:dyDescent="0.25">
      <c r="A154" t="s">
        <v>749</v>
      </c>
      <c r="B154" t="s">
        <v>36</v>
      </c>
      <c r="C154" s="19">
        <v>44600</v>
      </c>
      <c r="D154" s="21" t="s">
        <v>911</v>
      </c>
      <c r="E154" t="s">
        <v>750</v>
      </c>
      <c r="F154" t="s">
        <v>748</v>
      </c>
    </row>
    <row r="155" spans="1:6" x14ac:dyDescent="0.25">
      <c r="A155" t="s">
        <v>751</v>
      </c>
      <c r="B155" t="s">
        <v>760</v>
      </c>
      <c r="C155" s="19">
        <v>44600</v>
      </c>
      <c r="D155" s="21">
        <v>0.47613425925925901</v>
      </c>
      <c r="E155" t="s">
        <v>814</v>
      </c>
      <c r="F155" t="s">
        <v>748</v>
      </c>
    </row>
    <row r="156" spans="1:6" x14ac:dyDescent="0.25">
      <c r="A156" t="s">
        <v>749</v>
      </c>
      <c r="B156" t="s">
        <v>36</v>
      </c>
      <c r="C156" s="19">
        <v>44600</v>
      </c>
      <c r="D156" s="21" t="s">
        <v>912</v>
      </c>
      <c r="E156" t="s">
        <v>750</v>
      </c>
      <c r="F156" t="s">
        <v>748</v>
      </c>
    </row>
    <row r="157" spans="1:6" x14ac:dyDescent="0.25">
      <c r="A157" t="s">
        <v>751</v>
      </c>
      <c r="B157" t="s">
        <v>760</v>
      </c>
      <c r="C157" s="19">
        <v>44600</v>
      </c>
      <c r="D157" s="21">
        <v>0.75775462962963003</v>
      </c>
      <c r="E157" t="s">
        <v>814</v>
      </c>
      <c r="F157" t="s">
        <v>748</v>
      </c>
    </row>
    <row r="158" spans="1:6" x14ac:dyDescent="0.25">
      <c r="A158" t="s">
        <v>749</v>
      </c>
      <c r="B158" t="s">
        <v>36</v>
      </c>
      <c r="C158" s="19">
        <v>44600</v>
      </c>
      <c r="D158" s="21" t="s">
        <v>913</v>
      </c>
      <c r="E158" t="s">
        <v>750</v>
      </c>
      <c r="F158" t="s">
        <v>748</v>
      </c>
    </row>
    <row r="159" spans="1:6" x14ac:dyDescent="0.25">
      <c r="A159" t="s">
        <v>751</v>
      </c>
      <c r="B159" t="s">
        <v>760</v>
      </c>
      <c r="C159" s="19">
        <v>44600</v>
      </c>
      <c r="D159" s="21">
        <v>0.81087962962963001</v>
      </c>
      <c r="E159" t="s">
        <v>723</v>
      </c>
      <c r="F159" t="s">
        <v>748</v>
      </c>
    </row>
    <row r="160" spans="1:6" x14ac:dyDescent="0.25">
      <c r="A160" t="s">
        <v>749</v>
      </c>
      <c r="B160" t="s">
        <v>36</v>
      </c>
      <c r="C160" s="19">
        <v>44628</v>
      </c>
      <c r="D160" s="21" t="s">
        <v>914</v>
      </c>
      <c r="E160" t="s">
        <v>750</v>
      </c>
      <c r="F160" t="s">
        <v>748</v>
      </c>
    </row>
    <row r="161" spans="1:6" x14ac:dyDescent="0.25">
      <c r="A161" t="s">
        <v>751</v>
      </c>
      <c r="B161" t="s">
        <v>760</v>
      </c>
      <c r="C161" s="19">
        <v>44628</v>
      </c>
      <c r="D161" s="21">
        <v>0.37593749999999998</v>
      </c>
      <c r="E161" t="s">
        <v>814</v>
      </c>
      <c r="F161" t="s">
        <v>748</v>
      </c>
    </row>
    <row r="162" spans="1:6" x14ac:dyDescent="0.25">
      <c r="A162" t="s">
        <v>749</v>
      </c>
      <c r="B162" t="s">
        <v>36</v>
      </c>
      <c r="C162" s="19">
        <v>44628</v>
      </c>
      <c r="D162" s="21" t="s">
        <v>915</v>
      </c>
      <c r="E162" t="s">
        <v>750</v>
      </c>
      <c r="F162" t="s">
        <v>748</v>
      </c>
    </row>
    <row r="163" spans="1:6" x14ac:dyDescent="0.25">
      <c r="A163" t="s">
        <v>751</v>
      </c>
      <c r="B163" t="s">
        <v>760</v>
      </c>
      <c r="C163" s="19">
        <v>44628</v>
      </c>
      <c r="D163" s="21">
        <v>0.44135416666666699</v>
      </c>
      <c r="E163" t="s">
        <v>814</v>
      </c>
      <c r="F163" t="s">
        <v>748</v>
      </c>
    </row>
    <row r="164" spans="1:6" x14ac:dyDescent="0.25">
      <c r="A164" t="s">
        <v>749</v>
      </c>
      <c r="B164" t="s">
        <v>36</v>
      </c>
      <c r="C164" s="19">
        <v>44628</v>
      </c>
      <c r="D164" s="21" t="s">
        <v>916</v>
      </c>
      <c r="E164" t="s">
        <v>750</v>
      </c>
      <c r="F164" t="s">
        <v>748</v>
      </c>
    </row>
    <row r="165" spans="1:6" x14ac:dyDescent="0.25">
      <c r="A165" t="s">
        <v>751</v>
      </c>
      <c r="B165" t="s">
        <v>760</v>
      </c>
      <c r="C165" s="19">
        <v>44628</v>
      </c>
      <c r="D165" s="21">
        <v>0.49901620370370398</v>
      </c>
      <c r="E165" t="s">
        <v>814</v>
      </c>
      <c r="F165" t="s">
        <v>748</v>
      </c>
    </row>
    <row r="166" spans="1:6" x14ac:dyDescent="0.25">
      <c r="A166" t="s">
        <v>749</v>
      </c>
      <c r="B166" t="s">
        <v>36</v>
      </c>
      <c r="C166" s="19">
        <v>44628</v>
      </c>
      <c r="D166" s="21" t="s">
        <v>917</v>
      </c>
      <c r="E166" t="s">
        <v>750</v>
      </c>
      <c r="F166" t="s">
        <v>748</v>
      </c>
    </row>
    <row r="167" spans="1:6" x14ac:dyDescent="0.25">
      <c r="A167" t="s">
        <v>751</v>
      </c>
      <c r="B167" t="s">
        <v>760</v>
      </c>
      <c r="C167" s="19">
        <v>44628</v>
      </c>
      <c r="D167" s="21">
        <v>0.59203703703703703</v>
      </c>
      <c r="E167" t="s">
        <v>814</v>
      </c>
      <c r="F167" t="s">
        <v>748</v>
      </c>
    </row>
    <row r="168" spans="1:6" x14ac:dyDescent="0.25">
      <c r="A168" t="s">
        <v>749</v>
      </c>
      <c r="B168" t="s">
        <v>36</v>
      </c>
      <c r="C168" s="19">
        <v>44628</v>
      </c>
      <c r="D168" s="21" t="s">
        <v>918</v>
      </c>
      <c r="E168" t="s">
        <v>750</v>
      </c>
      <c r="F168" t="s">
        <v>748</v>
      </c>
    </row>
    <row r="169" spans="1:6" x14ac:dyDescent="0.25">
      <c r="A169" t="s">
        <v>751</v>
      </c>
      <c r="B169" t="s">
        <v>760</v>
      </c>
      <c r="C169" s="19">
        <v>44628</v>
      </c>
      <c r="D169" s="21">
        <v>0.63268518518518502</v>
      </c>
      <c r="E169" t="s">
        <v>814</v>
      </c>
      <c r="F169" t="s">
        <v>748</v>
      </c>
    </row>
    <row r="170" spans="1:6" x14ac:dyDescent="0.25">
      <c r="A170" t="s">
        <v>749</v>
      </c>
      <c r="B170" t="s">
        <v>42</v>
      </c>
      <c r="C170" s="19">
        <v>44569</v>
      </c>
      <c r="D170" s="21" t="s">
        <v>919</v>
      </c>
      <c r="E170" t="s">
        <v>750</v>
      </c>
      <c r="F170" t="s">
        <v>748</v>
      </c>
    </row>
    <row r="171" spans="1:6" x14ac:dyDescent="0.25">
      <c r="A171" t="s">
        <v>751</v>
      </c>
      <c r="B171" t="s">
        <v>761</v>
      </c>
      <c r="C171" s="19">
        <v>44569</v>
      </c>
      <c r="D171" s="21">
        <v>0.39468750000000002</v>
      </c>
      <c r="E171" t="s">
        <v>815</v>
      </c>
      <c r="F171" t="s">
        <v>748</v>
      </c>
    </row>
    <row r="172" spans="1:6" x14ac:dyDescent="0.25">
      <c r="A172" t="s">
        <v>749</v>
      </c>
      <c r="B172" t="s">
        <v>42</v>
      </c>
      <c r="C172" s="19">
        <v>44569</v>
      </c>
      <c r="D172" s="21" t="s">
        <v>920</v>
      </c>
      <c r="E172" t="s">
        <v>750</v>
      </c>
      <c r="F172" t="s">
        <v>748</v>
      </c>
    </row>
    <row r="173" spans="1:6" x14ac:dyDescent="0.25">
      <c r="A173" t="s">
        <v>751</v>
      </c>
      <c r="B173" t="s">
        <v>761</v>
      </c>
      <c r="C173" s="19">
        <v>44569</v>
      </c>
      <c r="D173" s="21">
        <v>0.39697916666666699</v>
      </c>
      <c r="E173" t="s">
        <v>815</v>
      </c>
      <c r="F173" t="s">
        <v>748</v>
      </c>
    </row>
    <row r="174" spans="1:6" x14ac:dyDescent="0.25">
      <c r="A174" t="s">
        <v>749</v>
      </c>
      <c r="B174" t="s">
        <v>42</v>
      </c>
      <c r="C174" s="19">
        <v>44569</v>
      </c>
      <c r="D174" s="21" t="s">
        <v>921</v>
      </c>
      <c r="E174" t="s">
        <v>750</v>
      </c>
      <c r="F174" t="s">
        <v>748</v>
      </c>
    </row>
    <row r="175" spans="1:6" x14ac:dyDescent="0.25">
      <c r="A175" t="s">
        <v>751</v>
      </c>
      <c r="B175" t="s">
        <v>761</v>
      </c>
      <c r="C175" s="19">
        <v>44569</v>
      </c>
      <c r="D175" s="21">
        <v>0.415023148148148</v>
      </c>
      <c r="E175" t="s">
        <v>815</v>
      </c>
      <c r="F175" t="s">
        <v>748</v>
      </c>
    </row>
    <row r="176" spans="1:6" x14ac:dyDescent="0.25">
      <c r="A176" t="s">
        <v>749</v>
      </c>
      <c r="B176" t="s">
        <v>42</v>
      </c>
      <c r="C176" s="19">
        <v>44569</v>
      </c>
      <c r="D176" s="21" t="s">
        <v>922</v>
      </c>
      <c r="E176" t="s">
        <v>750</v>
      </c>
      <c r="F176" t="s">
        <v>748</v>
      </c>
    </row>
    <row r="177" spans="1:6" x14ac:dyDescent="0.25">
      <c r="A177" t="s">
        <v>751</v>
      </c>
      <c r="B177" t="s">
        <v>761</v>
      </c>
      <c r="C177" s="19">
        <v>44569</v>
      </c>
      <c r="D177" s="21">
        <v>0.41622685185185199</v>
      </c>
      <c r="E177" t="s">
        <v>815</v>
      </c>
      <c r="F177" t="s">
        <v>748</v>
      </c>
    </row>
    <row r="178" spans="1:6" x14ac:dyDescent="0.25">
      <c r="A178" t="s">
        <v>749</v>
      </c>
      <c r="B178" t="s">
        <v>42</v>
      </c>
      <c r="C178" s="19">
        <v>44569</v>
      </c>
      <c r="D178" s="21" t="s">
        <v>923</v>
      </c>
      <c r="E178" t="s">
        <v>750</v>
      </c>
      <c r="F178" t="s">
        <v>748</v>
      </c>
    </row>
    <row r="179" spans="1:6" x14ac:dyDescent="0.25">
      <c r="A179" t="s">
        <v>751</v>
      </c>
      <c r="B179" t="s">
        <v>761</v>
      </c>
      <c r="C179" s="19">
        <v>44569</v>
      </c>
      <c r="D179" s="21">
        <v>0.42319444444444398</v>
      </c>
      <c r="E179" t="s">
        <v>815</v>
      </c>
      <c r="F179" t="s">
        <v>748</v>
      </c>
    </row>
    <row r="180" spans="1:6" x14ac:dyDescent="0.25">
      <c r="A180" t="s">
        <v>749</v>
      </c>
      <c r="B180" t="s">
        <v>42</v>
      </c>
      <c r="C180" s="19">
        <v>44569</v>
      </c>
      <c r="D180" s="21" t="s">
        <v>924</v>
      </c>
      <c r="E180" t="s">
        <v>750</v>
      </c>
      <c r="F180" t="s">
        <v>748</v>
      </c>
    </row>
    <row r="181" spans="1:6" x14ac:dyDescent="0.25">
      <c r="A181" t="s">
        <v>751</v>
      </c>
      <c r="B181" t="s">
        <v>761</v>
      </c>
      <c r="C181" s="19">
        <v>44569</v>
      </c>
      <c r="D181" s="21">
        <v>0.55298611111111096</v>
      </c>
      <c r="E181" t="s">
        <v>816</v>
      </c>
      <c r="F181" t="s">
        <v>748</v>
      </c>
    </row>
    <row r="182" spans="1:6" x14ac:dyDescent="0.25">
      <c r="A182" t="s">
        <v>749</v>
      </c>
      <c r="B182" t="s">
        <v>42</v>
      </c>
      <c r="C182" s="19">
        <v>44569</v>
      </c>
      <c r="D182" s="21" t="s">
        <v>925</v>
      </c>
      <c r="E182" t="s">
        <v>750</v>
      </c>
      <c r="F182" t="s">
        <v>748</v>
      </c>
    </row>
    <row r="183" spans="1:6" x14ac:dyDescent="0.25">
      <c r="A183" t="s">
        <v>751</v>
      </c>
      <c r="B183" t="s">
        <v>761</v>
      </c>
      <c r="C183" s="19">
        <v>44569</v>
      </c>
      <c r="D183" s="21">
        <v>0.66855324074074096</v>
      </c>
      <c r="E183" t="s">
        <v>815</v>
      </c>
      <c r="F183" t="s">
        <v>748</v>
      </c>
    </row>
    <row r="184" spans="1:6" x14ac:dyDescent="0.25">
      <c r="A184" t="s">
        <v>749</v>
      </c>
      <c r="B184" t="s">
        <v>42</v>
      </c>
      <c r="C184" s="19">
        <v>44569</v>
      </c>
      <c r="D184" s="21" t="s">
        <v>926</v>
      </c>
      <c r="E184" t="s">
        <v>750</v>
      </c>
      <c r="F184" t="s">
        <v>748</v>
      </c>
    </row>
    <row r="185" spans="1:6" x14ac:dyDescent="0.25">
      <c r="A185" t="s">
        <v>751</v>
      </c>
      <c r="B185" t="s">
        <v>761</v>
      </c>
      <c r="C185" s="19">
        <v>44569</v>
      </c>
      <c r="D185" s="21">
        <v>0.76616898148148105</v>
      </c>
      <c r="E185" t="s">
        <v>815</v>
      </c>
      <c r="F185" t="s">
        <v>748</v>
      </c>
    </row>
    <row r="186" spans="1:6" x14ac:dyDescent="0.25">
      <c r="A186" t="s">
        <v>749</v>
      </c>
      <c r="B186" t="s">
        <v>42</v>
      </c>
      <c r="C186" s="19">
        <v>44600</v>
      </c>
      <c r="D186" s="21" t="s">
        <v>927</v>
      </c>
      <c r="E186" t="s">
        <v>750</v>
      </c>
      <c r="F186" t="s">
        <v>748</v>
      </c>
    </row>
    <row r="187" spans="1:6" x14ac:dyDescent="0.25">
      <c r="A187" t="s">
        <v>751</v>
      </c>
      <c r="B187" t="s">
        <v>761</v>
      </c>
      <c r="C187" s="19">
        <v>44600</v>
      </c>
      <c r="D187" s="21">
        <v>0.44643518518518499</v>
      </c>
      <c r="E187" t="s">
        <v>815</v>
      </c>
      <c r="F187" t="s">
        <v>748</v>
      </c>
    </row>
    <row r="188" spans="1:6" x14ac:dyDescent="0.25">
      <c r="A188" t="s">
        <v>749</v>
      </c>
      <c r="B188" t="s">
        <v>42</v>
      </c>
      <c r="C188" s="19">
        <v>44600</v>
      </c>
      <c r="D188" s="21" t="s">
        <v>928</v>
      </c>
      <c r="E188" t="s">
        <v>750</v>
      </c>
      <c r="F188" t="s">
        <v>748</v>
      </c>
    </row>
    <row r="189" spans="1:6" x14ac:dyDescent="0.25">
      <c r="A189" t="s">
        <v>751</v>
      </c>
      <c r="B189" t="s">
        <v>761</v>
      </c>
      <c r="C189" s="19">
        <v>44600</v>
      </c>
      <c r="D189" s="21">
        <v>0.75480324074074101</v>
      </c>
      <c r="E189" t="s">
        <v>724</v>
      </c>
      <c r="F189" t="s">
        <v>748</v>
      </c>
    </row>
    <row r="190" spans="1:6" x14ac:dyDescent="0.25">
      <c r="A190" t="s">
        <v>749</v>
      </c>
      <c r="B190" t="s">
        <v>42</v>
      </c>
      <c r="C190" s="19">
        <v>44600</v>
      </c>
      <c r="D190" s="21" t="s">
        <v>929</v>
      </c>
      <c r="E190" t="s">
        <v>750</v>
      </c>
      <c r="F190" t="s">
        <v>748</v>
      </c>
    </row>
    <row r="191" spans="1:6" x14ac:dyDescent="0.25">
      <c r="A191" t="s">
        <v>751</v>
      </c>
      <c r="B191" t="s">
        <v>761</v>
      </c>
      <c r="C191" s="19">
        <v>44600</v>
      </c>
      <c r="D191" s="21">
        <v>0.82525462962963003</v>
      </c>
      <c r="E191" t="s">
        <v>724</v>
      </c>
      <c r="F191" t="s">
        <v>748</v>
      </c>
    </row>
    <row r="192" spans="1:6" x14ac:dyDescent="0.25">
      <c r="A192" t="s">
        <v>749</v>
      </c>
      <c r="B192" t="s">
        <v>42</v>
      </c>
      <c r="C192" s="19">
        <v>44600</v>
      </c>
      <c r="D192" s="21" t="s">
        <v>930</v>
      </c>
      <c r="E192" t="s">
        <v>750</v>
      </c>
      <c r="F192" t="s">
        <v>748</v>
      </c>
    </row>
    <row r="193" spans="1:6" x14ac:dyDescent="0.25">
      <c r="A193" t="s">
        <v>751</v>
      </c>
      <c r="B193" t="s">
        <v>761</v>
      </c>
      <c r="C193" s="19">
        <v>44600</v>
      </c>
      <c r="D193" s="21">
        <v>0.82618055555555603</v>
      </c>
      <c r="E193" t="s">
        <v>724</v>
      </c>
      <c r="F193" t="s">
        <v>748</v>
      </c>
    </row>
    <row r="194" spans="1:6" x14ac:dyDescent="0.25">
      <c r="A194" t="s">
        <v>749</v>
      </c>
      <c r="B194" t="s">
        <v>42</v>
      </c>
      <c r="C194" s="19">
        <v>44628</v>
      </c>
      <c r="D194" s="21" t="s">
        <v>931</v>
      </c>
      <c r="E194" t="s">
        <v>750</v>
      </c>
      <c r="F194" t="s">
        <v>748</v>
      </c>
    </row>
    <row r="195" spans="1:6" x14ac:dyDescent="0.25">
      <c r="A195" t="s">
        <v>751</v>
      </c>
      <c r="B195" t="s">
        <v>761</v>
      </c>
      <c r="C195" s="19">
        <v>44628</v>
      </c>
      <c r="D195" s="21">
        <v>0.48509259259259302</v>
      </c>
      <c r="E195" t="s">
        <v>815</v>
      </c>
      <c r="F195" t="s">
        <v>748</v>
      </c>
    </row>
    <row r="196" spans="1:6" x14ac:dyDescent="0.25">
      <c r="A196" t="s">
        <v>749</v>
      </c>
      <c r="B196" t="s">
        <v>42</v>
      </c>
      <c r="C196" s="19">
        <v>44628</v>
      </c>
      <c r="D196" s="21" t="s">
        <v>932</v>
      </c>
      <c r="E196" t="s">
        <v>750</v>
      </c>
      <c r="F196" t="s">
        <v>748</v>
      </c>
    </row>
    <row r="197" spans="1:6" x14ac:dyDescent="0.25">
      <c r="A197" t="s">
        <v>751</v>
      </c>
      <c r="B197" t="s">
        <v>761</v>
      </c>
      <c r="C197" s="19">
        <v>44628</v>
      </c>
      <c r="D197" s="21">
        <v>0.50056712962963001</v>
      </c>
      <c r="E197" t="s">
        <v>815</v>
      </c>
      <c r="F197" t="s">
        <v>748</v>
      </c>
    </row>
    <row r="198" spans="1:6" x14ac:dyDescent="0.25">
      <c r="A198" t="s">
        <v>749</v>
      </c>
      <c r="B198" t="s">
        <v>42</v>
      </c>
      <c r="C198" s="19">
        <v>44628</v>
      </c>
      <c r="D198" s="21" t="s">
        <v>933</v>
      </c>
      <c r="E198" t="s">
        <v>750</v>
      </c>
      <c r="F198" t="s">
        <v>748</v>
      </c>
    </row>
    <row r="199" spans="1:6" x14ac:dyDescent="0.25">
      <c r="A199" t="s">
        <v>751</v>
      </c>
      <c r="B199" t="s">
        <v>761</v>
      </c>
      <c r="C199" s="19">
        <v>44628</v>
      </c>
      <c r="D199" s="21">
        <v>0.57694444444444404</v>
      </c>
      <c r="E199" t="s">
        <v>815</v>
      </c>
      <c r="F199" t="s">
        <v>748</v>
      </c>
    </row>
    <row r="200" spans="1:6" x14ac:dyDescent="0.25">
      <c r="A200" t="s">
        <v>749</v>
      </c>
      <c r="B200" t="s">
        <v>42</v>
      </c>
      <c r="C200" s="19">
        <v>44628</v>
      </c>
      <c r="D200" s="21" t="s">
        <v>934</v>
      </c>
      <c r="E200" t="s">
        <v>750</v>
      </c>
      <c r="F200" t="s">
        <v>748</v>
      </c>
    </row>
    <row r="201" spans="1:6" x14ac:dyDescent="0.25">
      <c r="A201" t="s">
        <v>751</v>
      </c>
      <c r="B201" t="s">
        <v>761</v>
      </c>
      <c r="C201" s="19">
        <v>44628</v>
      </c>
      <c r="D201" s="21">
        <v>0.61697916666666697</v>
      </c>
      <c r="E201" t="s">
        <v>815</v>
      </c>
      <c r="F201" t="s">
        <v>748</v>
      </c>
    </row>
    <row r="202" spans="1:6" x14ac:dyDescent="0.25">
      <c r="A202" t="s">
        <v>749</v>
      </c>
      <c r="B202" t="s">
        <v>27</v>
      </c>
      <c r="C202" s="19">
        <v>44569</v>
      </c>
      <c r="D202" s="21" t="s">
        <v>935</v>
      </c>
      <c r="E202" t="s">
        <v>750</v>
      </c>
      <c r="F202" t="s">
        <v>748</v>
      </c>
    </row>
    <row r="203" spans="1:6" x14ac:dyDescent="0.25">
      <c r="A203" t="s">
        <v>751</v>
      </c>
      <c r="B203" t="s">
        <v>762</v>
      </c>
      <c r="C203" s="19">
        <v>44569</v>
      </c>
      <c r="D203" s="21">
        <v>0.35776620370370399</v>
      </c>
      <c r="E203" t="s">
        <v>726</v>
      </c>
      <c r="F203" t="s">
        <v>748</v>
      </c>
    </row>
    <row r="204" spans="1:6" x14ac:dyDescent="0.25">
      <c r="A204" t="s">
        <v>749</v>
      </c>
      <c r="B204" t="s">
        <v>27</v>
      </c>
      <c r="C204" s="19">
        <v>44569</v>
      </c>
      <c r="D204" s="21" t="s">
        <v>936</v>
      </c>
      <c r="E204" t="s">
        <v>750</v>
      </c>
      <c r="F204" t="s">
        <v>748</v>
      </c>
    </row>
    <row r="205" spans="1:6" x14ac:dyDescent="0.25">
      <c r="A205" t="s">
        <v>751</v>
      </c>
      <c r="B205" t="s">
        <v>762</v>
      </c>
      <c r="C205" s="19">
        <v>44569</v>
      </c>
      <c r="D205" s="21">
        <v>0.46880787037036997</v>
      </c>
      <c r="E205" t="s">
        <v>726</v>
      </c>
      <c r="F205" t="s">
        <v>748</v>
      </c>
    </row>
    <row r="206" spans="1:6" x14ac:dyDescent="0.25">
      <c r="A206" t="s">
        <v>749</v>
      </c>
      <c r="B206" t="s">
        <v>27</v>
      </c>
      <c r="C206" s="19">
        <v>44569</v>
      </c>
      <c r="D206" s="21" t="s">
        <v>937</v>
      </c>
      <c r="E206" t="s">
        <v>750</v>
      </c>
      <c r="F206" t="s">
        <v>748</v>
      </c>
    </row>
    <row r="207" spans="1:6" x14ac:dyDescent="0.25">
      <c r="A207" t="s">
        <v>751</v>
      </c>
      <c r="B207" t="s">
        <v>762</v>
      </c>
      <c r="C207" s="19">
        <v>44569</v>
      </c>
      <c r="D207" s="21">
        <v>0.50891203703703702</v>
      </c>
      <c r="E207" t="s">
        <v>726</v>
      </c>
      <c r="F207" t="s">
        <v>748</v>
      </c>
    </row>
    <row r="208" spans="1:6" x14ac:dyDescent="0.25">
      <c r="A208" t="s">
        <v>749</v>
      </c>
      <c r="B208" t="s">
        <v>27</v>
      </c>
      <c r="C208" s="19">
        <v>44569</v>
      </c>
      <c r="D208" s="21" t="s">
        <v>938</v>
      </c>
      <c r="E208" t="s">
        <v>750</v>
      </c>
      <c r="F208" t="s">
        <v>748</v>
      </c>
    </row>
    <row r="209" spans="1:6" x14ac:dyDescent="0.25">
      <c r="A209" t="s">
        <v>751</v>
      </c>
      <c r="B209" t="s">
        <v>762</v>
      </c>
      <c r="C209" s="19">
        <v>44569</v>
      </c>
      <c r="D209" s="21">
        <v>0.51032407407407399</v>
      </c>
      <c r="E209" t="s">
        <v>726</v>
      </c>
      <c r="F209" t="s">
        <v>748</v>
      </c>
    </row>
    <row r="210" spans="1:6" x14ac:dyDescent="0.25">
      <c r="A210" t="s">
        <v>749</v>
      </c>
      <c r="B210" t="s">
        <v>27</v>
      </c>
      <c r="C210" s="19">
        <v>44569</v>
      </c>
      <c r="D210" s="21" t="s">
        <v>939</v>
      </c>
      <c r="E210" t="s">
        <v>750</v>
      </c>
      <c r="F210" t="s">
        <v>748</v>
      </c>
    </row>
    <row r="211" spans="1:6" x14ac:dyDescent="0.25">
      <c r="A211" t="s">
        <v>751</v>
      </c>
      <c r="B211" t="s">
        <v>762</v>
      </c>
      <c r="C211" s="19">
        <v>44569</v>
      </c>
      <c r="D211" s="21">
        <v>0.61521990740740695</v>
      </c>
      <c r="E211" t="s">
        <v>726</v>
      </c>
      <c r="F211" t="s">
        <v>748</v>
      </c>
    </row>
    <row r="212" spans="1:6" x14ac:dyDescent="0.25">
      <c r="A212" t="s">
        <v>749</v>
      </c>
      <c r="B212" t="s">
        <v>27</v>
      </c>
      <c r="C212" s="19">
        <v>44569</v>
      </c>
      <c r="D212" s="21" t="s">
        <v>940</v>
      </c>
      <c r="E212" t="s">
        <v>750</v>
      </c>
      <c r="F212" t="s">
        <v>748</v>
      </c>
    </row>
    <row r="213" spans="1:6" x14ac:dyDescent="0.25">
      <c r="A213" t="s">
        <v>751</v>
      </c>
      <c r="B213" t="s">
        <v>762</v>
      </c>
      <c r="C213" s="19">
        <v>44569</v>
      </c>
      <c r="D213" s="21">
        <v>0.78520833333333295</v>
      </c>
      <c r="E213" t="s">
        <v>726</v>
      </c>
      <c r="F213" t="s">
        <v>748</v>
      </c>
    </row>
    <row r="214" spans="1:6" x14ac:dyDescent="0.25">
      <c r="A214" t="s">
        <v>749</v>
      </c>
      <c r="B214" t="s">
        <v>27</v>
      </c>
      <c r="C214" s="19">
        <v>44569</v>
      </c>
      <c r="D214" s="21" t="s">
        <v>941</v>
      </c>
      <c r="E214" t="s">
        <v>750</v>
      </c>
      <c r="F214" t="s">
        <v>748</v>
      </c>
    </row>
    <row r="215" spans="1:6" x14ac:dyDescent="0.25">
      <c r="A215" t="s">
        <v>751</v>
      </c>
      <c r="B215" t="s">
        <v>762</v>
      </c>
      <c r="C215" s="19">
        <v>44569</v>
      </c>
      <c r="D215" s="21">
        <v>0.84277777777777796</v>
      </c>
      <c r="E215" t="s">
        <v>726</v>
      </c>
      <c r="F215" t="s">
        <v>748</v>
      </c>
    </row>
    <row r="216" spans="1:6" x14ac:dyDescent="0.25">
      <c r="A216" t="s">
        <v>749</v>
      </c>
      <c r="B216" t="s">
        <v>27</v>
      </c>
      <c r="C216" s="19">
        <v>44600</v>
      </c>
      <c r="D216" s="21" t="s">
        <v>942</v>
      </c>
      <c r="E216" t="s">
        <v>750</v>
      </c>
      <c r="F216" t="s">
        <v>748</v>
      </c>
    </row>
    <row r="217" spans="1:6" x14ac:dyDescent="0.25">
      <c r="A217" t="s">
        <v>751</v>
      </c>
      <c r="B217" t="s">
        <v>762</v>
      </c>
      <c r="C217" s="19">
        <v>44600</v>
      </c>
      <c r="D217" s="21">
        <v>0.413680555555556</v>
      </c>
      <c r="E217" t="s">
        <v>726</v>
      </c>
      <c r="F217" t="s">
        <v>748</v>
      </c>
    </row>
    <row r="218" spans="1:6" x14ac:dyDescent="0.25">
      <c r="A218" t="s">
        <v>749</v>
      </c>
      <c r="B218" t="s">
        <v>27</v>
      </c>
      <c r="C218" s="19">
        <v>44600</v>
      </c>
      <c r="D218" s="21" t="s">
        <v>943</v>
      </c>
      <c r="E218" t="s">
        <v>750</v>
      </c>
      <c r="F218" t="s">
        <v>748</v>
      </c>
    </row>
    <row r="219" spans="1:6" x14ac:dyDescent="0.25">
      <c r="A219" t="s">
        <v>751</v>
      </c>
      <c r="B219" t="s">
        <v>762</v>
      </c>
      <c r="C219" s="19">
        <v>44600</v>
      </c>
      <c r="D219" s="21">
        <v>0.44533564814814802</v>
      </c>
      <c r="E219" t="s">
        <v>726</v>
      </c>
      <c r="F219" t="s">
        <v>748</v>
      </c>
    </row>
    <row r="220" spans="1:6" x14ac:dyDescent="0.25">
      <c r="A220" t="s">
        <v>749</v>
      </c>
      <c r="B220" t="s">
        <v>27</v>
      </c>
      <c r="C220" s="19">
        <v>44600</v>
      </c>
      <c r="D220" s="21" t="s">
        <v>944</v>
      </c>
      <c r="E220" t="s">
        <v>750</v>
      </c>
      <c r="F220" t="s">
        <v>748</v>
      </c>
    </row>
    <row r="221" spans="1:6" x14ac:dyDescent="0.25">
      <c r="A221" t="s">
        <v>751</v>
      </c>
      <c r="B221" t="s">
        <v>762</v>
      </c>
      <c r="C221" s="19">
        <v>44600</v>
      </c>
      <c r="D221" s="21">
        <v>0.55371527777777796</v>
      </c>
      <c r="E221" t="s">
        <v>726</v>
      </c>
      <c r="F221" t="s">
        <v>748</v>
      </c>
    </row>
    <row r="222" spans="1:6" x14ac:dyDescent="0.25">
      <c r="A222" t="s">
        <v>749</v>
      </c>
      <c r="B222" t="s">
        <v>27</v>
      </c>
      <c r="C222" s="19">
        <v>44600</v>
      </c>
      <c r="D222" s="21" t="s">
        <v>945</v>
      </c>
      <c r="E222" t="s">
        <v>750</v>
      </c>
      <c r="F222" t="s">
        <v>748</v>
      </c>
    </row>
    <row r="223" spans="1:6" x14ac:dyDescent="0.25">
      <c r="A223" t="s">
        <v>751</v>
      </c>
      <c r="B223" t="s">
        <v>762</v>
      </c>
      <c r="C223" s="19">
        <v>44600</v>
      </c>
      <c r="D223" s="21">
        <v>0.71195601851851897</v>
      </c>
      <c r="E223" t="s">
        <v>727</v>
      </c>
      <c r="F223" t="s">
        <v>748</v>
      </c>
    </row>
    <row r="224" spans="1:6" x14ac:dyDescent="0.25">
      <c r="A224" t="s">
        <v>749</v>
      </c>
      <c r="B224" t="s">
        <v>27</v>
      </c>
      <c r="C224" s="19">
        <v>44628</v>
      </c>
      <c r="D224" s="21" t="s">
        <v>946</v>
      </c>
      <c r="E224" t="s">
        <v>750</v>
      </c>
      <c r="F224" t="s">
        <v>748</v>
      </c>
    </row>
    <row r="225" spans="1:6" x14ac:dyDescent="0.25">
      <c r="A225" t="s">
        <v>751</v>
      </c>
      <c r="B225" t="s">
        <v>762</v>
      </c>
      <c r="C225" s="19">
        <v>44628</v>
      </c>
      <c r="D225" s="21">
        <v>0.25430555555555601</v>
      </c>
      <c r="E225" t="s">
        <v>726</v>
      </c>
      <c r="F225" t="s">
        <v>748</v>
      </c>
    </row>
    <row r="226" spans="1:6" x14ac:dyDescent="0.25">
      <c r="A226" t="s">
        <v>749</v>
      </c>
      <c r="B226" t="s">
        <v>27</v>
      </c>
      <c r="C226" s="19">
        <v>44628</v>
      </c>
      <c r="D226" s="21" t="s">
        <v>947</v>
      </c>
      <c r="E226" t="s">
        <v>750</v>
      </c>
      <c r="F226" t="s">
        <v>748</v>
      </c>
    </row>
    <row r="227" spans="1:6" x14ac:dyDescent="0.25">
      <c r="A227" t="s">
        <v>751</v>
      </c>
      <c r="B227" t="s">
        <v>762</v>
      </c>
      <c r="C227" s="19">
        <v>44628</v>
      </c>
      <c r="D227" s="21">
        <v>0.38564814814814802</v>
      </c>
      <c r="E227" t="s">
        <v>816</v>
      </c>
      <c r="F227" t="s">
        <v>748</v>
      </c>
    </row>
    <row r="228" spans="1:6" x14ac:dyDescent="0.25">
      <c r="A228" t="s">
        <v>749</v>
      </c>
      <c r="B228" t="s">
        <v>27</v>
      </c>
      <c r="C228" s="19">
        <v>44628</v>
      </c>
      <c r="D228" s="21" t="s">
        <v>948</v>
      </c>
      <c r="E228" t="s">
        <v>750</v>
      </c>
      <c r="F228" t="s">
        <v>748</v>
      </c>
    </row>
    <row r="229" spans="1:6" x14ac:dyDescent="0.25">
      <c r="A229" t="s">
        <v>751</v>
      </c>
      <c r="B229" t="s">
        <v>762</v>
      </c>
      <c r="C229" s="19">
        <v>44628</v>
      </c>
      <c r="D229" s="21">
        <v>0.40069444444444402</v>
      </c>
      <c r="E229" t="s">
        <v>816</v>
      </c>
      <c r="F229" t="s">
        <v>748</v>
      </c>
    </row>
    <row r="230" spans="1:6" x14ac:dyDescent="0.25">
      <c r="A230" t="s">
        <v>749</v>
      </c>
      <c r="B230" t="s">
        <v>27</v>
      </c>
      <c r="C230" s="19">
        <v>44628</v>
      </c>
      <c r="D230" s="21" t="s">
        <v>949</v>
      </c>
      <c r="E230" t="s">
        <v>750</v>
      </c>
      <c r="F230" t="s">
        <v>748</v>
      </c>
    </row>
    <row r="231" spans="1:6" x14ac:dyDescent="0.25">
      <c r="A231" t="s">
        <v>751</v>
      </c>
      <c r="B231" t="s">
        <v>762</v>
      </c>
      <c r="C231" s="19">
        <v>44628</v>
      </c>
      <c r="D231" s="21">
        <v>0.42890046296296302</v>
      </c>
      <c r="E231" t="s">
        <v>726</v>
      </c>
      <c r="F231" t="s">
        <v>748</v>
      </c>
    </row>
    <row r="232" spans="1:6" x14ac:dyDescent="0.25">
      <c r="A232" t="s">
        <v>749</v>
      </c>
      <c r="B232" t="s">
        <v>27</v>
      </c>
      <c r="C232" s="19">
        <v>44628</v>
      </c>
      <c r="D232" s="21" t="s">
        <v>950</v>
      </c>
      <c r="E232" t="s">
        <v>750</v>
      </c>
      <c r="F232" t="s">
        <v>748</v>
      </c>
    </row>
    <row r="233" spans="1:6" x14ac:dyDescent="0.25">
      <c r="A233" t="s">
        <v>751</v>
      </c>
      <c r="B233" t="s">
        <v>762</v>
      </c>
      <c r="C233" s="19">
        <v>44628</v>
      </c>
      <c r="D233" s="21">
        <v>0.56600694444444399</v>
      </c>
      <c r="E233" t="s">
        <v>726</v>
      </c>
      <c r="F233" t="s">
        <v>748</v>
      </c>
    </row>
    <row r="234" spans="1:6" x14ac:dyDescent="0.25">
      <c r="A234" t="s">
        <v>749</v>
      </c>
      <c r="B234" t="s">
        <v>27</v>
      </c>
      <c r="C234" s="19">
        <v>44628</v>
      </c>
      <c r="D234" s="21" t="s">
        <v>951</v>
      </c>
      <c r="E234" t="s">
        <v>750</v>
      </c>
      <c r="F234" t="s">
        <v>748</v>
      </c>
    </row>
    <row r="235" spans="1:6" x14ac:dyDescent="0.25">
      <c r="A235" t="s">
        <v>751</v>
      </c>
      <c r="B235" t="s">
        <v>762</v>
      </c>
      <c r="C235" s="19">
        <v>44628</v>
      </c>
      <c r="D235" s="21">
        <v>0.59055555555555606</v>
      </c>
      <c r="E235" t="s">
        <v>726</v>
      </c>
      <c r="F235" t="s">
        <v>748</v>
      </c>
    </row>
    <row r="236" spans="1:6" x14ac:dyDescent="0.25">
      <c r="A236" t="s">
        <v>749</v>
      </c>
      <c r="B236" t="s">
        <v>27</v>
      </c>
      <c r="C236" s="19">
        <v>44628</v>
      </c>
      <c r="D236" s="21" t="s">
        <v>952</v>
      </c>
      <c r="E236" t="s">
        <v>750</v>
      </c>
      <c r="F236" t="s">
        <v>748</v>
      </c>
    </row>
    <row r="237" spans="1:6" x14ac:dyDescent="0.25">
      <c r="A237" t="s">
        <v>751</v>
      </c>
      <c r="B237" t="s">
        <v>762</v>
      </c>
      <c r="C237" s="19">
        <v>44628</v>
      </c>
      <c r="D237" s="21">
        <v>0.59914351851851899</v>
      </c>
      <c r="E237" t="s">
        <v>727</v>
      </c>
      <c r="F237" t="s">
        <v>748</v>
      </c>
    </row>
    <row r="238" spans="1:6" x14ac:dyDescent="0.25">
      <c r="A238" t="s">
        <v>749</v>
      </c>
      <c r="B238" t="s">
        <v>27</v>
      </c>
      <c r="C238" s="19">
        <v>44628</v>
      </c>
      <c r="D238" s="21" t="s">
        <v>953</v>
      </c>
      <c r="E238" t="s">
        <v>750</v>
      </c>
      <c r="F238" t="s">
        <v>748</v>
      </c>
    </row>
    <row r="239" spans="1:6" x14ac:dyDescent="0.25">
      <c r="A239" t="s">
        <v>751</v>
      </c>
      <c r="B239" t="s">
        <v>762</v>
      </c>
      <c r="C239" s="19">
        <v>44628</v>
      </c>
      <c r="D239" s="21">
        <v>0.60119212962962998</v>
      </c>
      <c r="E239" t="s">
        <v>727</v>
      </c>
      <c r="F239" t="s">
        <v>748</v>
      </c>
    </row>
    <row r="240" spans="1:6" x14ac:dyDescent="0.25">
      <c r="A240" t="s">
        <v>749</v>
      </c>
      <c r="B240" t="s">
        <v>27</v>
      </c>
      <c r="C240" s="19">
        <v>44628</v>
      </c>
      <c r="D240" s="21" t="s">
        <v>954</v>
      </c>
      <c r="E240" t="s">
        <v>750</v>
      </c>
      <c r="F240" t="s">
        <v>748</v>
      </c>
    </row>
    <row r="241" spans="1:6" x14ac:dyDescent="0.25">
      <c r="A241" t="s">
        <v>751</v>
      </c>
      <c r="B241" t="s">
        <v>762</v>
      </c>
      <c r="C241" s="19">
        <v>44628</v>
      </c>
      <c r="D241" s="21">
        <v>0.656018518518518</v>
      </c>
      <c r="E241" t="s">
        <v>727</v>
      </c>
      <c r="F241" t="s">
        <v>748</v>
      </c>
    </row>
    <row r="242" spans="1:6" x14ac:dyDescent="0.25">
      <c r="A242" t="s">
        <v>749</v>
      </c>
      <c r="B242" t="s">
        <v>28</v>
      </c>
      <c r="C242" s="19">
        <v>44569</v>
      </c>
      <c r="D242" s="21" t="s">
        <v>955</v>
      </c>
      <c r="E242" t="s">
        <v>750</v>
      </c>
      <c r="F242" t="s">
        <v>748</v>
      </c>
    </row>
    <row r="243" spans="1:6" x14ac:dyDescent="0.25">
      <c r="A243" t="s">
        <v>751</v>
      </c>
      <c r="B243" t="s">
        <v>763</v>
      </c>
      <c r="C243" s="19">
        <v>44569</v>
      </c>
      <c r="D243" s="21">
        <v>0.62113425925925903</v>
      </c>
      <c r="E243" t="s">
        <v>817</v>
      </c>
      <c r="F243" t="s">
        <v>748</v>
      </c>
    </row>
    <row r="244" spans="1:6" x14ac:dyDescent="0.25">
      <c r="A244" t="s">
        <v>749</v>
      </c>
      <c r="B244" t="s">
        <v>28</v>
      </c>
      <c r="C244" s="19">
        <v>44569</v>
      </c>
      <c r="D244" s="21" t="s">
        <v>956</v>
      </c>
      <c r="E244" t="s">
        <v>750</v>
      </c>
      <c r="F244" t="s">
        <v>748</v>
      </c>
    </row>
    <row r="245" spans="1:6" x14ac:dyDescent="0.25">
      <c r="A245" t="s">
        <v>751</v>
      </c>
      <c r="B245" t="s">
        <v>763</v>
      </c>
      <c r="C245" s="19">
        <v>44569</v>
      </c>
      <c r="D245" s="21">
        <v>0.67186342592592596</v>
      </c>
      <c r="E245" t="s">
        <v>817</v>
      </c>
      <c r="F245" t="s">
        <v>748</v>
      </c>
    </row>
    <row r="246" spans="1:6" x14ac:dyDescent="0.25">
      <c r="A246" t="s">
        <v>749</v>
      </c>
      <c r="B246" t="s">
        <v>28</v>
      </c>
      <c r="C246" s="19">
        <v>44569</v>
      </c>
      <c r="D246" s="21" t="s">
        <v>957</v>
      </c>
      <c r="E246" t="s">
        <v>750</v>
      </c>
      <c r="F246" t="s">
        <v>748</v>
      </c>
    </row>
    <row r="247" spans="1:6" x14ac:dyDescent="0.25">
      <c r="A247" t="s">
        <v>751</v>
      </c>
      <c r="B247" t="s">
        <v>763</v>
      </c>
      <c r="C247" s="19">
        <v>44569</v>
      </c>
      <c r="D247" s="21">
        <v>0.88218750000000001</v>
      </c>
      <c r="E247" t="s">
        <v>728</v>
      </c>
      <c r="F247" t="s">
        <v>748</v>
      </c>
    </row>
    <row r="248" spans="1:6" x14ac:dyDescent="0.25">
      <c r="A248" t="s">
        <v>749</v>
      </c>
      <c r="B248" t="s">
        <v>28</v>
      </c>
      <c r="C248" s="19">
        <v>44600</v>
      </c>
      <c r="D248" s="21" t="s">
        <v>958</v>
      </c>
      <c r="E248" t="s">
        <v>750</v>
      </c>
      <c r="F248" t="s">
        <v>748</v>
      </c>
    </row>
    <row r="249" spans="1:6" x14ac:dyDescent="0.25">
      <c r="A249" t="s">
        <v>751</v>
      </c>
      <c r="B249" t="s">
        <v>763</v>
      </c>
      <c r="C249" s="19">
        <v>44600</v>
      </c>
      <c r="D249" s="21">
        <v>0.45319444444444401</v>
      </c>
      <c r="E249" t="s">
        <v>817</v>
      </c>
      <c r="F249" t="s">
        <v>748</v>
      </c>
    </row>
    <row r="250" spans="1:6" x14ac:dyDescent="0.25">
      <c r="A250" t="s">
        <v>749</v>
      </c>
      <c r="B250" t="s">
        <v>28</v>
      </c>
      <c r="C250" s="19">
        <v>44600</v>
      </c>
      <c r="D250" s="21" t="s">
        <v>959</v>
      </c>
      <c r="E250" t="s">
        <v>750</v>
      </c>
      <c r="F250" t="s">
        <v>748</v>
      </c>
    </row>
    <row r="251" spans="1:6" x14ac:dyDescent="0.25">
      <c r="A251" t="s">
        <v>751</v>
      </c>
      <c r="B251" t="s">
        <v>763</v>
      </c>
      <c r="C251" s="19">
        <v>44600</v>
      </c>
      <c r="D251" s="21">
        <v>0.45464120370370398</v>
      </c>
      <c r="E251" t="s">
        <v>817</v>
      </c>
      <c r="F251" t="s">
        <v>748</v>
      </c>
    </row>
    <row r="252" spans="1:6" x14ac:dyDescent="0.25">
      <c r="A252" t="s">
        <v>749</v>
      </c>
      <c r="B252" t="s">
        <v>28</v>
      </c>
      <c r="C252" s="19">
        <v>44628</v>
      </c>
      <c r="D252" s="21" t="s">
        <v>960</v>
      </c>
      <c r="E252" t="s">
        <v>750</v>
      </c>
      <c r="F252" t="s">
        <v>748</v>
      </c>
    </row>
    <row r="253" spans="1:6" x14ac:dyDescent="0.25">
      <c r="A253" t="s">
        <v>751</v>
      </c>
      <c r="B253" t="s">
        <v>763</v>
      </c>
      <c r="C253" s="19">
        <v>44628</v>
      </c>
      <c r="D253" s="21">
        <v>0.62364583333333301</v>
      </c>
      <c r="E253" t="s">
        <v>728</v>
      </c>
      <c r="F253" t="s">
        <v>748</v>
      </c>
    </row>
    <row r="254" spans="1:6" x14ac:dyDescent="0.25">
      <c r="A254" t="s">
        <v>749</v>
      </c>
      <c r="B254" t="s">
        <v>28</v>
      </c>
      <c r="C254" s="19">
        <v>44628</v>
      </c>
      <c r="D254" s="21" t="s">
        <v>961</v>
      </c>
      <c r="E254" t="s">
        <v>750</v>
      </c>
      <c r="F254" t="s">
        <v>748</v>
      </c>
    </row>
    <row r="255" spans="1:6" x14ac:dyDescent="0.25">
      <c r="A255" t="s">
        <v>751</v>
      </c>
      <c r="B255" t="s">
        <v>763</v>
      </c>
      <c r="C255" s="19">
        <v>44628</v>
      </c>
      <c r="D255" s="21">
        <v>0.81042824074074105</v>
      </c>
      <c r="E255" t="s">
        <v>707</v>
      </c>
      <c r="F255" t="s">
        <v>748</v>
      </c>
    </row>
    <row r="256" spans="1:6" x14ac:dyDescent="0.25">
      <c r="A256" t="s">
        <v>749</v>
      </c>
      <c r="B256" t="s">
        <v>28</v>
      </c>
      <c r="C256" s="19">
        <v>44628</v>
      </c>
      <c r="D256" s="21" t="s">
        <v>962</v>
      </c>
      <c r="E256" t="s">
        <v>750</v>
      </c>
      <c r="F256" t="s">
        <v>748</v>
      </c>
    </row>
    <row r="257" spans="1:6" x14ac:dyDescent="0.25">
      <c r="A257" t="s">
        <v>751</v>
      </c>
      <c r="B257" t="s">
        <v>763</v>
      </c>
      <c r="C257" s="19">
        <v>44628</v>
      </c>
      <c r="D257" s="21">
        <v>0.88347222222222199</v>
      </c>
      <c r="E257" t="s">
        <v>707</v>
      </c>
      <c r="F257" t="s">
        <v>748</v>
      </c>
    </row>
    <row r="258" spans="1:6" x14ac:dyDescent="0.25">
      <c r="A258" t="s">
        <v>749</v>
      </c>
      <c r="B258" t="s">
        <v>51</v>
      </c>
      <c r="C258" s="19">
        <v>44569</v>
      </c>
      <c r="D258" s="21" t="s">
        <v>963</v>
      </c>
      <c r="E258" t="s">
        <v>750</v>
      </c>
      <c r="F258" t="s">
        <v>748</v>
      </c>
    </row>
    <row r="259" spans="1:6" x14ac:dyDescent="0.25">
      <c r="A259" t="s">
        <v>751</v>
      </c>
      <c r="B259" t="s">
        <v>764</v>
      </c>
      <c r="C259" s="19">
        <v>44569</v>
      </c>
      <c r="D259" s="21">
        <v>0.55084490740740699</v>
      </c>
      <c r="E259" t="s">
        <v>730</v>
      </c>
      <c r="F259" t="s">
        <v>748</v>
      </c>
    </row>
    <row r="260" spans="1:6" x14ac:dyDescent="0.25">
      <c r="A260" t="s">
        <v>749</v>
      </c>
      <c r="B260" t="s">
        <v>51</v>
      </c>
      <c r="C260" s="19">
        <v>44569</v>
      </c>
      <c r="D260" s="21" t="s">
        <v>964</v>
      </c>
      <c r="E260" t="s">
        <v>750</v>
      </c>
      <c r="F260" t="s">
        <v>748</v>
      </c>
    </row>
    <row r="261" spans="1:6" x14ac:dyDescent="0.25">
      <c r="A261" t="s">
        <v>751</v>
      </c>
      <c r="B261" t="s">
        <v>764</v>
      </c>
      <c r="C261" s="19">
        <v>44569</v>
      </c>
      <c r="D261" s="21">
        <v>0.78901620370370396</v>
      </c>
      <c r="E261" t="s">
        <v>730</v>
      </c>
      <c r="F261" t="s">
        <v>748</v>
      </c>
    </row>
    <row r="262" spans="1:6" x14ac:dyDescent="0.25">
      <c r="A262" t="s">
        <v>749</v>
      </c>
      <c r="B262" t="s">
        <v>51</v>
      </c>
      <c r="C262" s="19">
        <v>44628</v>
      </c>
      <c r="D262" s="21" t="s">
        <v>965</v>
      </c>
      <c r="E262" t="s">
        <v>750</v>
      </c>
      <c r="F262" t="s">
        <v>748</v>
      </c>
    </row>
    <row r="263" spans="1:6" x14ac:dyDescent="0.25">
      <c r="A263" t="s">
        <v>751</v>
      </c>
      <c r="B263" t="s">
        <v>764</v>
      </c>
      <c r="C263" s="19">
        <v>44628</v>
      </c>
      <c r="D263" s="21">
        <v>0.31071759259259302</v>
      </c>
      <c r="E263" t="s">
        <v>731</v>
      </c>
      <c r="F263" t="s">
        <v>748</v>
      </c>
    </row>
    <row r="264" spans="1:6" x14ac:dyDescent="0.25">
      <c r="A264" t="s">
        <v>749</v>
      </c>
      <c r="B264" t="s">
        <v>51</v>
      </c>
      <c r="C264" s="19">
        <v>44628</v>
      </c>
      <c r="D264" s="21" t="s">
        <v>966</v>
      </c>
      <c r="E264" t="s">
        <v>750</v>
      </c>
      <c r="F264" t="s">
        <v>748</v>
      </c>
    </row>
    <row r="265" spans="1:6" x14ac:dyDescent="0.25">
      <c r="A265" t="s">
        <v>751</v>
      </c>
      <c r="B265" t="s">
        <v>764</v>
      </c>
      <c r="C265" s="19">
        <v>44628</v>
      </c>
      <c r="D265" s="21">
        <v>0.42969907407407398</v>
      </c>
      <c r="E265" t="s">
        <v>731</v>
      </c>
      <c r="F265" t="s">
        <v>748</v>
      </c>
    </row>
    <row r="266" spans="1:6" x14ac:dyDescent="0.25">
      <c r="A266" t="s">
        <v>749</v>
      </c>
      <c r="B266" t="s">
        <v>54</v>
      </c>
      <c r="C266" s="19">
        <v>44600</v>
      </c>
      <c r="D266" s="21" t="s">
        <v>967</v>
      </c>
      <c r="E266" t="s">
        <v>750</v>
      </c>
      <c r="F266" t="s">
        <v>748</v>
      </c>
    </row>
    <row r="267" spans="1:6" x14ac:dyDescent="0.25">
      <c r="A267" t="s">
        <v>751</v>
      </c>
      <c r="B267" t="s">
        <v>765</v>
      </c>
      <c r="C267" s="19">
        <v>44600</v>
      </c>
      <c r="D267" s="21">
        <v>0.41403935185185198</v>
      </c>
      <c r="E267" t="s">
        <v>732</v>
      </c>
      <c r="F267" t="s">
        <v>748</v>
      </c>
    </row>
    <row r="268" spans="1:6" x14ac:dyDescent="0.25">
      <c r="A268" t="s">
        <v>749</v>
      </c>
      <c r="B268" t="s">
        <v>54</v>
      </c>
      <c r="C268" s="19">
        <v>44600</v>
      </c>
      <c r="D268" s="21" t="s">
        <v>968</v>
      </c>
      <c r="E268" t="s">
        <v>750</v>
      </c>
      <c r="F268" t="s">
        <v>748</v>
      </c>
    </row>
    <row r="269" spans="1:6" x14ac:dyDescent="0.25">
      <c r="A269" t="s">
        <v>751</v>
      </c>
      <c r="B269" t="s">
        <v>765</v>
      </c>
      <c r="C269" s="19">
        <v>44600</v>
      </c>
      <c r="D269" s="21">
        <v>0.50105324074074098</v>
      </c>
      <c r="E269" t="s">
        <v>732</v>
      </c>
      <c r="F269" t="s">
        <v>748</v>
      </c>
    </row>
    <row r="270" spans="1:6" x14ac:dyDescent="0.25">
      <c r="A270" t="s">
        <v>749</v>
      </c>
      <c r="B270" t="s">
        <v>55</v>
      </c>
      <c r="C270" s="19">
        <v>44569</v>
      </c>
      <c r="D270" s="21" t="s">
        <v>969</v>
      </c>
      <c r="E270" t="s">
        <v>750</v>
      </c>
      <c r="F270" t="s">
        <v>748</v>
      </c>
    </row>
    <row r="271" spans="1:6" x14ac:dyDescent="0.25">
      <c r="A271" t="s">
        <v>751</v>
      </c>
      <c r="B271" t="s">
        <v>766</v>
      </c>
      <c r="C271" s="19">
        <v>44569</v>
      </c>
      <c r="D271" s="21">
        <v>0.52182870370370404</v>
      </c>
      <c r="E271" t="s">
        <v>830</v>
      </c>
      <c r="F271" t="s">
        <v>748</v>
      </c>
    </row>
    <row r="272" spans="1:6" x14ac:dyDescent="0.25">
      <c r="A272" t="s">
        <v>749</v>
      </c>
      <c r="B272" t="s">
        <v>55</v>
      </c>
      <c r="C272" s="19">
        <v>44569</v>
      </c>
      <c r="D272" s="21" t="s">
        <v>970</v>
      </c>
      <c r="E272" t="s">
        <v>750</v>
      </c>
      <c r="F272" t="s">
        <v>748</v>
      </c>
    </row>
    <row r="273" spans="1:6" x14ac:dyDescent="0.25">
      <c r="A273" t="s">
        <v>751</v>
      </c>
      <c r="B273" t="s">
        <v>766</v>
      </c>
      <c r="C273" s="19">
        <v>44569</v>
      </c>
      <c r="D273" s="21">
        <v>0.52678240740740701</v>
      </c>
      <c r="E273" t="s">
        <v>830</v>
      </c>
      <c r="F273" t="s">
        <v>748</v>
      </c>
    </row>
    <row r="274" spans="1:6" x14ac:dyDescent="0.25">
      <c r="A274" t="s">
        <v>749</v>
      </c>
      <c r="B274" t="s">
        <v>55</v>
      </c>
      <c r="C274" s="19">
        <v>44569</v>
      </c>
      <c r="D274" s="21" t="s">
        <v>971</v>
      </c>
      <c r="E274" t="s">
        <v>750</v>
      </c>
      <c r="F274" t="s">
        <v>748</v>
      </c>
    </row>
    <row r="275" spans="1:6" x14ac:dyDescent="0.25">
      <c r="A275" t="s">
        <v>751</v>
      </c>
      <c r="B275" t="s">
        <v>766</v>
      </c>
      <c r="C275" s="19">
        <v>44569</v>
      </c>
      <c r="D275" s="21">
        <v>0.64638888888888901</v>
      </c>
      <c r="E275" t="s">
        <v>707</v>
      </c>
      <c r="F275" t="s">
        <v>748</v>
      </c>
    </row>
    <row r="276" spans="1:6" x14ac:dyDescent="0.25">
      <c r="A276" t="s">
        <v>749</v>
      </c>
      <c r="B276" t="s">
        <v>55</v>
      </c>
      <c r="C276" s="19">
        <v>44569</v>
      </c>
      <c r="D276" s="21" t="s">
        <v>972</v>
      </c>
      <c r="E276" t="s">
        <v>750</v>
      </c>
      <c r="F276" t="s">
        <v>748</v>
      </c>
    </row>
    <row r="277" spans="1:6" x14ac:dyDescent="0.25">
      <c r="A277" t="s">
        <v>751</v>
      </c>
      <c r="B277" t="s">
        <v>766</v>
      </c>
      <c r="C277" s="19">
        <v>44569</v>
      </c>
      <c r="D277" s="21">
        <v>0.79791666666666705</v>
      </c>
      <c r="E277" t="s">
        <v>830</v>
      </c>
      <c r="F277" t="s">
        <v>748</v>
      </c>
    </row>
    <row r="278" spans="1:6" x14ac:dyDescent="0.25">
      <c r="A278" t="s">
        <v>749</v>
      </c>
      <c r="B278" t="s">
        <v>55</v>
      </c>
      <c r="C278" s="19">
        <v>44569</v>
      </c>
      <c r="D278" s="21" t="s">
        <v>973</v>
      </c>
      <c r="E278" t="s">
        <v>750</v>
      </c>
      <c r="F278" t="s">
        <v>748</v>
      </c>
    </row>
    <row r="279" spans="1:6" x14ac:dyDescent="0.25">
      <c r="A279" t="s">
        <v>751</v>
      </c>
      <c r="B279" t="s">
        <v>766</v>
      </c>
      <c r="C279" s="19">
        <v>44569</v>
      </c>
      <c r="D279" s="21">
        <v>0.84975694444444405</v>
      </c>
      <c r="E279" t="s">
        <v>707</v>
      </c>
      <c r="F279" t="s">
        <v>748</v>
      </c>
    </row>
    <row r="280" spans="1:6" x14ac:dyDescent="0.25">
      <c r="A280" t="s">
        <v>749</v>
      </c>
      <c r="B280" t="s">
        <v>55</v>
      </c>
      <c r="C280" s="19">
        <v>44600</v>
      </c>
      <c r="D280" s="21" t="s">
        <v>974</v>
      </c>
      <c r="E280" t="s">
        <v>750</v>
      </c>
      <c r="F280" t="s">
        <v>748</v>
      </c>
    </row>
    <row r="281" spans="1:6" x14ac:dyDescent="0.25">
      <c r="A281" t="s">
        <v>751</v>
      </c>
      <c r="B281" t="s">
        <v>766</v>
      </c>
      <c r="C281" s="19">
        <v>44600</v>
      </c>
      <c r="D281" s="21">
        <v>0.61840277777777797</v>
      </c>
      <c r="E281" t="s">
        <v>818</v>
      </c>
      <c r="F281" t="s">
        <v>748</v>
      </c>
    </row>
    <row r="282" spans="1:6" x14ac:dyDescent="0.25">
      <c r="A282" t="s">
        <v>749</v>
      </c>
      <c r="B282" t="s">
        <v>55</v>
      </c>
      <c r="C282" s="19">
        <v>44600</v>
      </c>
      <c r="D282" s="21" t="s">
        <v>975</v>
      </c>
      <c r="E282" t="s">
        <v>750</v>
      </c>
      <c r="F282" t="s">
        <v>748</v>
      </c>
    </row>
    <row r="283" spans="1:6" x14ac:dyDescent="0.25">
      <c r="A283" t="s">
        <v>751</v>
      </c>
      <c r="B283" t="s">
        <v>766</v>
      </c>
      <c r="C283" s="19">
        <v>44600</v>
      </c>
      <c r="D283" s="21">
        <v>0.64311342592592602</v>
      </c>
      <c r="E283" t="s">
        <v>707</v>
      </c>
      <c r="F283" t="s">
        <v>748</v>
      </c>
    </row>
    <row r="284" spans="1:6" x14ac:dyDescent="0.25">
      <c r="A284" t="s">
        <v>749</v>
      </c>
      <c r="B284" t="s">
        <v>55</v>
      </c>
      <c r="C284" s="19">
        <v>44600</v>
      </c>
      <c r="D284" s="21" t="s">
        <v>976</v>
      </c>
      <c r="E284" t="s">
        <v>750</v>
      </c>
      <c r="F284" t="s">
        <v>748</v>
      </c>
    </row>
    <row r="285" spans="1:6" x14ac:dyDescent="0.25">
      <c r="A285" t="s">
        <v>751</v>
      </c>
      <c r="B285" t="s">
        <v>766</v>
      </c>
      <c r="C285" s="19">
        <v>44600</v>
      </c>
      <c r="D285" s="21">
        <v>0.79185185185185203</v>
      </c>
      <c r="E285" t="s">
        <v>707</v>
      </c>
      <c r="F285" t="s">
        <v>748</v>
      </c>
    </row>
    <row r="286" spans="1:6" x14ac:dyDescent="0.25">
      <c r="A286" t="s">
        <v>749</v>
      </c>
      <c r="B286" t="s">
        <v>55</v>
      </c>
      <c r="C286" s="19">
        <v>44628</v>
      </c>
      <c r="D286" s="21" t="s">
        <v>977</v>
      </c>
      <c r="E286" t="s">
        <v>750</v>
      </c>
      <c r="F286" t="s">
        <v>748</v>
      </c>
    </row>
    <row r="287" spans="1:6" x14ac:dyDescent="0.25">
      <c r="A287" t="s">
        <v>751</v>
      </c>
      <c r="B287" t="s">
        <v>766</v>
      </c>
      <c r="C287" s="19">
        <v>44628</v>
      </c>
      <c r="D287" s="21">
        <v>0.328356481481481</v>
      </c>
      <c r="E287" t="s">
        <v>707</v>
      </c>
      <c r="F287" t="s">
        <v>748</v>
      </c>
    </row>
    <row r="288" spans="1:6" x14ac:dyDescent="0.25">
      <c r="A288" t="s">
        <v>749</v>
      </c>
      <c r="B288" t="s">
        <v>55</v>
      </c>
      <c r="C288" s="19">
        <v>44628</v>
      </c>
      <c r="D288" s="21" t="s">
        <v>978</v>
      </c>
      <c r="E288" t="s">
        <v>750</v>
      </c>
      <c r="F288" t="s">
        <v>748</v>
      </c>
    </row>
    <row r="289" spans="1:6" x14ac:dyDescent="0.25">
      <c r="A289" t="s">
        <v>751</v>
      </c>
      <c r="B289" t="s">
        <v>766</v>
      </c>
      <c r="C289" s="19">
        <v>44628</v>
      </c>
      <c r="D289" s="21">
        <v>0.33703703703703702</v>
      </c>
      <c r="E289" t="s">
        <v>707</v>
      </c>
      <c r="F289" t="s">
        <v>748</v>
      </c>
    </row>
    <row r="290" spans="1:6" x14ac:dyDescent="0.25">
      <c r="A290" t="s">
        <v>749</v>
      </c>
      <c r="B290" t="s">
        <v>55</v>
      </c>
      <c r="C290" s="19">
        <v>44628</v>
      </c>
      <c r="D290" s="21" t="s">
        <v>979</v>
      </c>
      <c r="E290" t="s">
        <v>750</v>
      </c>
      <c r="F290" t="s">
        <v>748</v>
      </c>
    </row>
    <row r="291" spans="1:6" x14ac:dyDescent="0.25">
      <c r="A291" t="s">
        <v>751</v>
      </c>
      <c r="B291" t="s">
        <v>766</v>
      </c>
      <c r="C291" s="19">
        <v>44628</v>
      </c>
      <c r="D291" s="21">
        <v>0.44344907407407402</v>
      </c>
      <c r="E291" t="s">
        <v>707</v>
      </c>
      <c r="F291" t="s">
        <v>748</v>
      </c>
    </row>
    <row r="292" spans="1:6" x14ac:dyDescent="0.25">
      <c r="A292" t="s">
        <v>749</v>
      </c>
      <c r="B292" t="s">
        <v>55</v>
      </c>
      <c r="C292" s="19">
        <v>44628</v>
      </c>
      <c r="D292" s="21" t="s">
        <v>980</v>
      </c>
      <c r="E292" t="s">
        <v>750</v>
      </c>
      <c r="F292" t="s">
        <v>748</v>
      </c>
    </row>
    <row r="293" spans="1:6" x14ac:dyDescent="0.25">
      <c r="A293" t="s">
        <v>751</v>
      </c>
      <c r="B293" t="s">
        <v>766</v>
      </c>
      <c r="C293" s="19">
        <v>44628</v>
      </c>
      <c r="D293" s="21">
        <v>0.48643518518518503</v>
      </c>
      <c r="E293" t="s">
        <v>707</v>
      </c>
      <c r="F293" t="s">
        <v>748</v>
      </c>
    </row>
    <row r="294" spans="1:6" x14ac:dyDescent="0.25">
      <c r="A294" t="s">
        <v>749</v>
      </c>
      <c r="B294" t="s">
        <v>55</v>
      </c>
      <c r="C294" s="19">
        <v>44628</v>
      </c>
      <c r="D294" s="21" t="s">
        <v>981</v>
      </c>
      <c r="E294" t="s">
        <v>750</v>
      </c>
      <c r="F294" t="s">
        <v>748</v>
      </c>
    </row>
    <row r="295" spans="1:6" x14ac:dyDescent="0.25">
      <c r="A295" t="s">
        <v>751</v>
      </c>
      <c r="B295" t="s">
        <v>766</v>
      </c>
      <c r="C295" s="19">
        <v>44628</v>
      </c>
      <c r="D295" s="21">
        <v>0.49438657407407399</v>
      </c>
      <c r="E295" t="s">
        <v>707</v>
      </c>
      <c r="F295" t="s">
        <v>748</v>
      </c>
    </row>
    <row r="296" spans="1:6" x14ac:dyDescent="0.25">
      <c r="A296" t="s">
        <v>749</v>
      </c>
      <c r="B296" t="s">
        <v>55</v>
      </c>
      <c r="C296" s="19">
        <v>44628</v>
      </c>
      <c r="D296" s="21" t="s">
        <v>982</v>
      </c>
      <c r="E296" t="s">
        <v>750</v>
      </c>
      <c r="F296" t="s">
        <v>748</v>
      </c>
    </row>
    <row r="297" spans="1:6" x14ac:dyDescent="0.25">
      <c r="A297" t="s">
        <v>751</v>
      </c>
      <c r="B297" t="s">
        <v>766</v>
      </c>
      <c r="C297" s="19">
        <v>44628</v>
      </c>
      <c r="D297" s="21">
        <v>0.61032407407407396</v>
      </c>
      <c r="E297" t="s">
        <v>707</v>
      </c>
      <c r="F297" t="s">
        <v>748</v>
      </c>
    </row>
    <row r="298" spans="1:6" x14ac:dyDescent="0.25">
      <c r="A298" t="s">
        <v>749</v>
      </c>
      <c r="B298" t="s">
        <v>55</v>
      </c>
      <c r="C298" s="19">
        <v>44628</v>
      </c>
      <c r="D298" s="21" t="s">
        <v>983</v>
      </c>
      <c r="E298" t="s">
        <v>750</v>
      </c>
      <c r="F298" t="s">
        <v>748</v>
      </c>
    </row>
    <row r="299" spans="1:6" x14ac:dyDescent="0.25">
      <c r="A299" t="s">
        <v>751</v>
      </c>
      <c r="B299" t="s">
        <v>766</v>
      </c>
      <c r="C299" s="19">
        <v>44628</v>
      </c>
      <c r="D299" s="21">
        <v>0.627581018518519</v>
      </c>
      <c r="E299" t="s">
        <v>707</v>
      </c>
      <c r="F299" t="s">
        <v>748</v>
      </c>
    </row>
    <row r="300" spans="1:6" x14ac:dyDescent="0.25">
      <c r="A300" t="s">
        <v>749</v>
      </c>
      <c r="B300" t="s">
        <v>55</v>
      </c>
      <c r="C300" s="19">
        <v>44628</v>
      </c>
      <c r="D300" s="21" t="s">
        <v>984</v>
      </c>
      <c r="E300" t="s">
        <v>750</v>
      </c>
      <c r="F300" t="s">
        <v>748</v>
      </c>
    </row>
    <row r="301" spans="1:6" x14ac:dyDescent="0.25">
      <c r="A301" t="s">
        <v>751</v>
      </c>
      <c r="B301" t="s">
        <v>766</v>
      </c>
      <c r="C301" s="19">
        <v>44628</v>
      </c>
      <c r="D301" s="21">
        <v>0.64068287037036997</v>
      </c>
      <c r="E301" t="s">
        <v>707</v>
      </c>
      <c r="F301" t="s">
        <v>748</v>
      </c>
    </row>
    <row r="302" spans="1:6" x14ac:dyDescent="0.25">
      <c r="A302" t="s">
        <v>749</v>
      </c>
      <c r="B302" t="s">
        <v>55</v>
      </c>
      <c r="C302" s="19">
        <v>44628</v>
      </c>
      <c r="D302" s="21" t="s">
        <v>985</v>
      </c>
      <c r="E302" t="s">
        <v>750</v>
      </c>
      <c r="F302" t="s">
        <v>748</v>
      </c>
    </row>
    <row r="303" spans="1:6" x14ac:dyDescent="0.25">
      <c r="A303" t="s">
        <v>751</v>
      </c>
      <c r="B303" t="s">
        <v>766</v>
      </c>
      <c r="C303" s="19">
        <v>44628</v>
      </c>
      <c r="D303" s="21">
        <v>0.77055555555555599</v>
      </c>
      <c r="E303" t="s">
        <v>707</v>
      </c>
      <c r="F303" t="s">
        <v>748</v>
      </c>
    </row>
    <row r="304" spans="1:6" x14ac:dyDescent="0.25">
      <c r="A304" t="s">
        <v>749</v>
      </c>
      <c r="B304" t="s">
        <v>60</v>
      </c>
      <c r="C304" s="19">
        <v>44569</v>
      </c>
      <c r="D304" s="21" t="s">
        <v>986</v>
      </c>
      <c r="E304" t="s">
        <v>750</v>
      </c>
      <c r="F304" t="s">
        <v>748</v>
      </c>
    </row>
    <row r="305" spans="1:6" x14ac:dyDescent="0.25">
      <c r="A305" t="s">
        <v>751</v>
      </c>
      <c r="B305" t="s">
        <v>767</v>
      </c>
      <c r="C305" s="19">
        <v>44569</v>
      </c>
      <c r="D305" s="21">
        <v>0.340520833333333</v>
      </c>
      <c r="E305" t="s">
        <v>834</v>
      </c>
      <c r="F305" t="s">
        <v>748</v>
      </c>
    </row>
    <row r="306" spans="1:6" x14ac:dyDescent="0.25">
      <c r="A306" t="s">
        <v>749</v>
      </c>
      <c r="B306" t="s">
        <v>60</v>
      </c>
      <c r="C306" s="19">
        <v>44569</v>
      </c>
      <c r="D306" s="21" t="s">
        <v>987</v>
      </c>
      <c r="E306" t="s">
        <v>750</v>
      </c>
      <c r="F306" t="s">
        <v>748</v>
      </c>
    </row>
    <row r="307" spans="1:6" x14ac:dyDescent="0.25">
      <c r="A307" t="s">
        <v>751</v>
      </c>
      <c r="B307" t="s">
        <v>767</v>
      </c>
      <c r="C307" s="19">
        <v>44569</v>
      </c>
      <c r="D307" s="21">
        <v>0.75291666666666701</v>
      </c>
      <c r="E307" t="s">
        <v>834</v>
      </c>
      <c r="F307" t="s">
        <v>748</v>
      </c>
    </row>
    <row r="308" spans="1:6" x14ac:dyDescent="0.25">
      <c r="A308" t="s">
        <v>749</v>
      </c>
      <c r="B308" t="s">
        <v>60</v>
      </c>
      <c r="C308" s="19">
        <v>44628</v>
      </c>
      <c r="D308" s="21" t="s">
        <v>988</v>
      </c>
      <c r="E308" t="s">
        <v>750</v>
      </c>
      <c r="F308" t="s">
        <v>748</v>
      </c>
    </row>
    <row r="309" spans="1:6" x14ac:dyDescent="0.25">
      <c r="A309" t="s">
        <v>751</v>
      </c>
      <c r="B309" t="s">
        <v>767</v>
      </c>
      <c r="C309" s="19">
        <v>44628</v>
      </c>
      <c r="D309" s="21">
        <v>0.54818287037036995</v>
      </c>
      <c r="E309" t="s">
        <v>834</v>
      </c>
      <c r="F309" t="s">
        <v>748</v>
      </c>
    </row>
    <row r="310" spans="1:6" x14ac:dyDescent="0.25">
      <c r="A310" t="s">
        <v>749</v>
      </c>
      <c r="B310" t="s">
        <v>60</v>
      </c>
      <c r="C310" s="19">
        <v>44628</v>
      </c>
      <c r="D310" s="21" t="s">
        <v>989</v>
      </c>
      <c r="E310" t="s">
        <v>750</v>
      </c>
      <c r="F310" t="s">
        <v>748</v>
      </c>
    </row>
    <row r="311" spans="1:6" x14ac:dyDescent="0.25">
      <c r="A311" t="s">
        <v>751</v>
      </c>
      <c r="B311" t="s">
        <v>767</v>
      </c>
      <c r="C311" s="19">
        <v>44628</v>
      </c>
      <c r="D311" s="21">
        <v>0.61619212962962999</v>
      </c>
      <c r="E311" t="s">
        <v>834</v>
      </c>
      <c r="F311" t="s">
        <v>748</v>
      </c>
    </row>
    <row r="312" spans="1:6" x14ac:dyDescent="0.25">
      <c r="A312" t="s">
        <v>749</v>
      </c>
      <c r="B312" t="s">
        <v>60</v>
      </c>
      <c r="C312" s="19">
        <v>44628</v>
      </c>
      <c r="D312" s="21" t="s">
        <v>990</v>
      </c>
      <c r="E312" t="s">
        <v>750</v>
      </c>
      <c r="F312" t="s">
        <v>748</v>
      </c>
    </row>
    <row r="313" spans="1:6" x14ac:dyDescent="0.25">
      <c r="A313" t="s">
        <v>751</v>
      </c>
      <c r="B313" t="s">
        <v>767</v>
      </c>
      <c r="C313" s="19">
        <v>44628</v>
      </c>
      <c r="D313" s="21">
        <v>0.79886574074074101</v>
      </c>
      <c r="E313" t="s">
        <v>735</v>
      </c>
      <c r="F313" t="s">
        <v>748</v>
      </c>
    </row>
    <row r="314" spans="1:6" x14ac:dyDescent="0.25">
      <c r="A314" t="s">
        <v>749</v>
      </c>
      <c r="B314" t="s">
        <v>60</v>
      </c>
      <c r="C314" s="19">
        <v>44628</v>
      </c>
      <c r="D314" s="21" t="s">
        <v>991</v>
      </c>
      <c r="E314" t="s">
        <v>750</v>
      </c>
      <c r="F314" t="s">
        <v>748</v>
      </c>
    </row>
    <row r="315" spans="1:6" x14ac:dyDescent="0.25">
      <c r="A315" t="s">
        <v>751</v>
      </c>
      <c r="B315" t="s">
        <v>767</v>
      </c>
      <c r="C315" s="19">
        <v>44628</v>
      </c>
      <c r="D315" s="21">
        <v>0.80004629629629598</v>
      </c>
      <c r="E315" t="s">
        <v>735</v>
      </c>
      <c r="F315" t="s">
        <v>748</v>
      </c>
    </row>
    <row r="316" spans="1:6" x14ac:dyDescent="0.25">
      <c r="A316" t="s">
        <v>749</v>
      </c>
      <c r="B316" t="s">
        <v>41</v>
      </c>
      <c r="C316" s="19">
        <v>44628</v>
      </c>
      <c r="D316" s="21" t="s">
        <v>992</v>
      </c>
      <c r="E316" t="s">
        <v>750</v>
      </c>
      <c r="F316" t="s">
        <v>748</v>
      </c>
    </row>
    <row r="317" spans="1:6" x14ac:dyDescent="0.25">
      <c r="A317" t="s">
        <v>751</v>
      </c>
      <c r="B317" t="s">
        <v>768</v>
      </c>
      <c r="C317" s="19">
        <v>44628</v>
      </c>
      <c r="D317" s="21">
        <v>0.826967592592593</v>
      </c>
      <c r="E317" t="s">
        <v>707</v>
      </c>
      <c r="F317" t="s">
        <v>748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30F1-5CD1-4C2A-8797-43D7C2CA2D03}">
  <sheetPr codeName="Hoja40"/>
  <dimension ref="A3:W187"/>
  <sheetViews>
    <sheetView topLeftCell="H168" workbookViewId="0">
      <selection activeCell="S187" sqref="S187"/>
    </sheetView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15.710937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3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3" outlineLevel="2" x14ac:dyDescent="0.25">
      <c r="A4" s="8" t="s">
        <v>82</v>
      </c>
      <c r="B4" s="8" t="s">
        <v>83</v>
      </c>
      <c r="C4" s="8">
        <v>30</v>
      </c>
      <c r="D4" s="8" t="s">
        <v>84</v>
      </c>
      <c r="E4" s="8">
        <v>184</v>
      </c>
      <c r="F4" s="8" t="s">
        <v>85</v>
      </c>
      <c r="G4" s="8">
        <v>8651</v>
      </c>
      <c r="H4" s="8" t="s">
        <v>38</v>
      </c>
      <c r="I4" s="8">
        <v>1000008651</v>
      </c>
      <c r="J4" s="8">
        <v>29426650</v>
      </c>
      <c r="K4" s="77">
        <v>44774.014224537037</v>
      </c>
      <c r="L4" s="8" t="s">
        <v>747</v>
      </c>
      <c r="M4" s="8" t="s">
        <v>88</v>
      </c>
      <c r="N4" s="8">
        <v>44.5</v>
      </c>
      <c r="O4" s="8">
        <v>14.22</v>
      </c>
      <c r="P4" s="8">
        <v>2.2799999999999998</v>
      </c>
      <c r="Q4" s="8">
        <v>4.2561999999999998</v>
      </c>
      <c r="R4" s="8">
        <v>0.68100000000000005</v>
      </c>
      <c r="S4" s="8" t="s">
        <v>475</v>
      </c>
      <c r="T4" s="8">
        <v>6</v>
      </c>
      <c r="U4" s="8" t="s">
        <v>89</v>
      </c>
      <c r="V4" s="8"/>
      <c r="W4" t="s">
        <v>748</v>
      </c>
    </row>
    <row r="5" spans="1:23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29429071</v>
      </c>
      <c r="K5" s="73">
        <v>44774.510694444441</v>
      </c>
      <c r="L5" t="s">
        <v>747</v>
      </c>
      <c r="M5" t="s">
        <v>88</v>
      </c>
      <c r="N5">
        <v>54.5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994</v>
      </c>
      <c r="T5">
        <v>6</v>
      </c>
      <c r="U5" t="s">
        <v>89</v>
      </c>
      <c r="W5" t="s">
        <v>748</v>
      </c>
    </row>
    <row r="6" spans="1:23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29429097</v>
      </c>
      <c r="K6" s="73">
        <v>44774.512789351851</v>
      </c>
      <c r="L6" t="s">
        <v>747</v>
      </c>
      <c r="M6" t="s">
        <v>88</v>
      </c>
      <c r="N6">
        <v>138.5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996</v>
      </c>
      <c r="T6">
        <v>6</v>
      </c>
      <c r="U6" t="s">
        <v>89</v>
      </c>
      <c r="W6" t="s">
        <v>748</v>
      </c>
    </row>
    <row r="7" spans="1:23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29429117</v>
      </c>
      <c r="K7" s="73">
        <v>44774.514317129629</v>
      </c>
      <c r="L7" t="s">
        <v>747</v>
      </c>
      <c r="M7" t="s">
        <v>88</v>
      </c>
      <c r="N7">
        <v>698.5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591</v>
      </c>
      <c r="T7">
        <v>6</v>
      </c>
      <c r="U7" t="s">
        <v>89</v>
      </c>
      <c r="W7" t="s">
        <v>748</v>
      </c>
    </row>
    <row r="8" spans="1:23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29443739</v>
      </c>
      <c r="K8" s="73">
        <v>44776.535393518519</v>
      </c>
      <c r="L8" t="s">
        <v>747</v>
      </c>
      <c r="M8" t="s">
        <v>88</v>
      </c>
      <c r="N8">
        <v>178.5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999</v>
      </c>
      <c r="T8">
        <v>6</v>
      </c>
      <c r="U8" t="s">
        <v>89</v>
      </c>
      <c r="W8" t="s">
        <v>748</v>
      </c>
    </row>
    <row r="9" spans="1:23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8651</v>
      </c>
      <c r="H9" t="s">
        <v>38</v>
      </c>
      <c r="I9">
        <v>1000008651</v>
      </c>
      <c r="J9">
        <v>29445159</v>
      </c>
      <c r="K9" s="73">
        <v>44776.639490740738</v>
      </c>
      <c r="L9" t="s">
        <v>747</v>
      </c>
      <c r="M9" t="s">
        <v>88</v>
      </c>
      <c r="N9">
        <v>392.5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1001</v>
      </c>
      <c r="T9">
        <v>6</v>
      </c>
      <c r="U9" t="s">
        <v>89</v>
      </c>
      <c r="W9" t="s">
        <v>748</v>
      </c>
    </row>
    <row r="10" spans="1:23" outlineLevel="1" x14ac:dyDescent="0.25">
      <c r="H10" s="9" t="s">
        <v>531</v>
      </c>
      <c r="K10" s="73"/>
      <c r="N10">
        <f>SUBTOTAL(9,N4:N9)</f>
        <v>1507</v>
      </c>
    </row>
    <row r="11" spans="1:23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29428650</v>
      </c>
      <c r="K11" s="73">
        <v>44774.486666666664</v>
      </c>
      <c r="L11" t="s">
        <v>747</v>
      </c>
      <c r="M11" t="s">
        <v>88</v>
      </c>
      <c r="N11">
        <v>178.5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341</v>
      </c>
      <c r="T11">
        <v>6</v>
      </c>
      <c r="U11" t="s">
        <v>89</v>
      </c>
      <c r="W11" t="s">
        <v>748</v>
      </c>
    </row>
    <row r="12" spans="1:23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29429669</v>
      </c>
      <c r="K12" s="73">
        <v>44774.549293981479</v>
      </c>
      <c r="L12" t="s">
        <v>747</v>
      </c>
      <c r="M12" t="s">
        <v>88</v>
      </c>
      <c r="N12">
        <v>383.5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1004</v>
      </c>
      <c r="T12">
        <v>6</v>
      </c>
      <c r="U12" t="s">
        <v>89</v>
      </c>
      <c r="W12" t="s">
        <v>748</v>
      </c>
    </row>
    <row r="13" spans="1:23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29433691</v>
      </c>
      <c r="K13" s="73">
        <v>44774.89607638889</v>
      </c>
      <c r="L13" t="s">
        <v>746</v>
      </c>
      <c r="M13" t="s">
        <v>88</v>
      </c>
      <c r="N13">
        <v>300.5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582</v>
      </c>
      <c r="T13">
        <v>6</v>
      </c>
      <c r="U13" t="s">
        <v>89</v>
      </c>
      <c r="W13" t="s">
        <v>748</v>
      </c>
    </row>
    <row r="14" spans="1:23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29447610</v>
      </c>
      <c r="K14" s="73">
        <v>44776.798206018517</v>
      </c>
      <c r="L14" t="s">
        <v>747</v>
      </c>
      <c r="M14" t="s">
        <v>88</v>
      </c>
      <c r="N14">
        <v>99.5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1007</v>
      </c>
      <c r="T14">
        <v>6</v>
      </c>
      <c r="U14" t="s">
        <v>89</v>
      </c>
      <c r="W14" t="s">
        <v>748</v>
      </c>
    </row>
    <row r="15" spans="1:23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8652</v>
      </c>
      <c r="H15" t="s">
        <v>40</v>
      </c>
      <c r="I15">
        <v>1000008652</v>
      </c>
      <c r="J15">
        <v>29449210</v>
      </c>
      <c r="K15" s="73">
        <v>44776.875219907408</v>
      </c>
      <c r="L15" t="s">
        <v>747</v>
      </c>
      <c r="M15" t="s">
        <v>88</v>
      </c>
      <c r="N15">
        <v>53.5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1009</v>
      </c>
      <c r="T15">
        <v>6</v>
      </c>
      <c r="U15" t="s">
        <v>89</v>
      </c>
      <c r="W15" t="s">
        <v>748</v>
      </c>
    </row>
    <row r="16" spans="1:23" outlineLevel="1" x14ac:dyDescent="0.25">
      <c r="H16" s="9" t="s">
        <v>532</v>
      </c>
      <c r="K16" s="73"/>
      <c r="N16">
        <f>SUBTOTAL(9,N11:N15)</f>
        <v>1015.5</v>
      </c>
    </row>
    <row r="17" spans="1:23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29442963</v>
      </c>
      <c r="K17" s="73">
        <v>44776.487962962965</v>
      </c>
      <c r="L17" t="s">
        <v>746</v>
      </c>
      <c r="M17" t="s">
        <v>88</v>
      </c>
      <c r="N17">
        <v>625.5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1011</v>
      </c>
      <c r="T17">
        <v>6</v>
      </c>
      <c r="U17" t="s">
        <v>89</v>
      </c>
      <c r="W17" t="s">
        <v>748</v>
      </c>
    </row>
    <row r="18" spans="1:23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29443345</v>
      </c>
      <c r="K18" s="73">
        <v>44776.51085648148</v>
      </c>
      <c r="L18" t="s">
        <v>747</v>
      </c>
      <c r="M18" t="s">
        <v>88</v>
      </c>
      <c r="N18">
        <v>1121.5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1013</v>
      </c>
      <c r="T18">
        <v>6</v>
      </c>
      <c r="U18" t="s">
        <v>89</v>
      </c>
      <c r="W18" t="s">
        <v>748</v>
      </c>
    </row>
    <row r="19" spans="1:23" outlineLevel="1" x14ac:dyDescent="0.25">
      <c r="H19" s="9" t="s">
        <v>533</v>
      </c>
      <c r="K19" s="73"/>
      <c r="N19">
        <f>SUBTOTAL(9,N17:N18)</f>
        <v>1747</v>
      </c>
    </row>
    <row r="20" spans="1:23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8654</v>
      </c>
      <c r="H20" t="s">
        <v>30</v>
      </c>
      <c r="I20">
        <v>1000008654</v>
      </c>
      <c r="J20">
        <v>29427220</v>
      </c>
      <c r="K20" s="73">
        <v>44774.396006944444</v>
      </c>
      <c r="L20" t="s">
        <v>747</v>
      </c>
      <c r="M20" t="s">
        <v>88</v>
      </c>
      <c r="N20">
        <v>101.5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1015</v>
      </c>
      <c r="T20">
        <v>6</v>
      </c>
      <c r="U20" t="s">
        <v>89</v>
      </c>
      <c r="W20" t="s">
        <v>748</v>
      </c>
    </row>
    <row r="21" spans="1:23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8654</v>
      </c>
      <c r="H21" t="s">
        <v>30</v>
      </c>
      <c r="I21">
        <v>1000008654</v>
      </c>
      <c r="J21">
        <v>29428993</v>
      </c>
      <c r="K21" s="73">
        <v>44774.506701388891</v>
      </c>
      <c r="L21" t="s">
        <v>747</v>
      </c>
      <c r="M21" t="s">
        <v>88</v>
      </c>
      <c r="N21">
        <v>45.5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1017</v>
      </c>
      <c r="T21">
        <v>6</v>
      </c>
      <c r="U21" t="s">
        <v>89</v>
      </c>
      <c r="W21" t="s">
        <v>748</v>
      </c>
    </row>
    <row r="22" spans="1:23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8654</v>
      </c>
      <c r="H22" t="s">
        <v>30</v>
      </c>
      <c r="I22">
        <v>1000008654</v>
      </c>
      <c r="J22">
        <v>29430703</v>
      </c>
      <c r="K22" s="73">
        <v>44774.631168981483</v>
      </c>
      <c r="L22" t="s">
        <v>747</v>
      </c>
      <c r="M22" t="s">
        <v>88</v>
      </c>
      <c r="N22">
        <v>86.5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449</v>
      </c>
      <c r="T22">
        <v>6</v>
      </c>
      <c r="U22" t="s">
        <v>89</v>
      </c>
      <c r="W22" t="s">
        <v>748</v>
      </c>
    </row>
    <row r="23" spans="1:23" outlineLevel="2" x14ac:dyDescent="0.25">
      <c r="A23" s="7" t="s">
        <v>82</v>
      </c>
      <c r="B23" s="7" t="s">
        <v>83</v>
      </c>
      <c r="C23" s="7">
        <v>30</v>
      </c>
      <c r="D23" s="7" t="s">
        <v>84</v>
      </c>
      <c r="E23" s="7">
        <v>184</v>
      </c>
      <c r="F23" s="7" t="s">
        <v>85</v>
      </c>
      <c r="G23" s="7">
        <v>8654</v>
      </c>
      <c r="H23" s="7" t="s">
        <v>30</v>
      </c>
      <c r="I23" s="7">
        <v>1000008654</v>
      </c>
      <c r="J23" s="7">
        <v>29431821</v>
      </c>
      <c r="K23" s="75">
        <v>44774.7424537037</v>
      </c>
      <c r="L23" s="7" t="s">
        <v>747</v>
      </c>
      <c r="M23" s="7" t="s">
        <v>88</v>
      </c>
      <c r="N23" s="7">
        <v>180.5</v>
      </c>
      <c r="O23" s="7">
        <v>14.22</v>
      </c>
      <c r="P23" s="7">
        <v>2.2799999999999998</v>
      </c>
      <c r="Q23" s="7">
        <v>4.2561999999999998</v>
      </c>
      <c r="R23" s="7">
        <v>0.68100000000000005</v>
      </c>
      <c r="S23" s="7" t="s">
        <v>333</v>
      </c>
      <c r="T23" s="7">
        <v>6</v>
      </c>
      <c r="U23" s="7" t="s">
        <v>89</v>
      </c>
      <c r="W23" t="s">
        <v>748</v>
      </c>
    </row>
    <row r="24" spans="1:23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8654</v>
      </c>
      <c r="H24" t="s">
        <v>30</v>
      </c>
      <c r="I24">
        <v>1000008654</v>
      </c>
      <c r="J24">
        <v>29432163</v>
      </c>
      <c r="K24" s="73">
        <v>44774.768680555557</v>
      </c>
      <c r="L24" t="s">
        <v>746</v>
      </c>
      <c r="M24" t="s">
        <v>88</v>
      </c>
      <c r="N24">
        <v>133.5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1020</v>
      </c>
      <c r="T24">
        <v>6</v>
      </c>
      <c r="U24" t="s">
        <v>89</v>
      </c>
      <c r="W24" t="s">
        <v>748</v>
      </c>
    </row>
    <row r="25" spans="1:23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8654</v>
      </c>
      <c r="H25" t="s">
        <v>30</v>
      </c>
      <c r="I25">
        <v>1000008654</v>
      </c>
      <c r="J25">
        <v>29432385</v>
      </c>
      <c r="K25" s="73">
        <v>44774.785509259258</v>
      </c>
      <c r="L25" t="s">
        <v>747</v>
      </c>
      <c r="M25" t="s">
        <v>88</v>
      </c>
      <c r="N25">
        <v>384.5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1022</v>
      </c>
      <c r="T25">
        <v>6</v>
      </c>
      <c r="U25" t="s">
        <v>89</v>
      </c>
      <c r="W25" t="s">
        <v>748</v>
      </c>
    </row>
    <row r="26" spans="1:23" outlineLevel="2" x14ac:dyDescent="0.25">
      <c r="A26" s="8" t="s">
        <v>82</v>
      </c>
      <c r="B26" s="8" t="s">
        <v>83</v>
      </c>
      <c r="C26" s="8">
        <v>30</v>
      </c>
      <c r="D26" s="8" t="s">
        <v>84</v>
      </c>
      <c r="E26" s="8">
        <v>184</v>
      </c>
      <c r="F26" s="8" t="s">
        <v>85</v>
      </c>
      <c r="G26" s="8">
        <v>8654</v>
      </c>
      <c r="H26" s="8" t="s">
        <v>30</v>
      </c>
      <c r="I26" s="8">
        <v>1000008654</v>
      </c>
      <c r="J26" s="8">
        <v>29432400</v>
      </c>
      <c r="K26" s="77">
        <v>44774.786481481482</v>
      </c>
      <c r="L26" s="8" t="s">
        <v>747</v>
      </c>
      <c r="M26" s="8" t="s">
        <v>88</v>
      </c>
      <c r="N26" s="8">
        <v>175.5</v>
      </c>
      <c r="O26" s="8">
        <v>14.22</v>
      </c>
      <c r="P26" s="8">
        <v>2.2799999999999998</v>
      </c>
      <c r="Q26" s="8">
        <v>4.2561999999999998</v>
      </c>
      <c r="R26" s="8">
        <v>0.68100000000000005</v>
      </c>
      <c r="S26" s="8" t="s">
        <v>1246</v>
      </c>
      <c r="T26" s="8">
        <v>6</v>
      </c>
      <c r="U26" s="8" t="s">
        <v>89</v>
      </c>
      <c r="V26" s="8"/>
      <c r="W26" t="s">
        <v>748</v>
      </c>
    </row>
    <row r="27" spans="1:23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8654</v>
      </c>
      <c r="H27" t="s">
        <v>30</v>
      </c>
      <c r="I27">
        <v>1000008654</v>
      </c>
      <c r="J27">
        <v>29434305</v>
      </c>
      <c r="K27" s="73">
        <v>44775.38653935185</v>
      </c>
      <c r="L27" t="s">
        <v>747</v>
      </c>
      <c r="M27" t="s">
        <v>88</v>
      </c>
      <c r="N27">
        <v>194.5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1024</v>
      </c>
      <c r="T27">
        <v>6</v>
      </c>
      <c r="U27" t="s">
        <v>89</v>
      </c>
      <c r="W27" t="s">
        <v>748</v>
      </c>
    </row>
    <row r="28" spans="1:23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29435959</v>
      </c>
      <c r="K28" s="73">
        <v>44775.508055555554</v>
      </c>
      <c r="L28" t="s">
        <v>747</v>
      </c>
      <c r="M28" t="s">
        <v>88</v>
      </c>
      <c r="N28">
        <v>3086.5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657</v>
      </c>
      <c r="T28">
        <v>6</v>
      </c>
      <c r="U28" t="s">
        <v>89</v>
      </c>
      <c r="W28" t="s">
        <v>748</v>
      </c>
    </row>
    <row r="29" spans="1:23" outlineLevel="2" x14ac:dyDescent="0.25">
      <c r="A29" s="8" t="s">
        <v>82</v>
      </c>
      <c r="B29" s="8" t="s">
        <v>83</v>
      </c>
      <c r="C29" s="8">
        <v>30</v>
      </c>
      <c r="D29" s="8" t="s">
        <v>84</v>
      </c>
      <c r="E29" s="8">
        <v>184</v>
      </c>
      <c r="F29" s="8" t="s">
        <v>85</v>
      </c>
      <c r="G29" s="8">
        <v>8654</v>
      </c>
      <c r="H29" s="8" t="s">
        <v>30</v>
      </c>
      <c r="I29" s="8">
        <v>1000008654</v>
      </c>
      <c r="J29" s="8">
        <v>29435995</v>
      </c>
      <c r="K29" s="77">
        <v>44775.509930555556</v>
      </c>
      <c r="L29" s="8" t="s">
        <v>746</v>
      </c>
      <c r="M29" s="8" t="s">
        <v>88</v>
      </c>
      <c r="N29" s="8">
        <v>116.5</v>
      </c>
      <c r="O29" s="8">
        <v>14.22</v>
      </c>
      <c r="P29" s="8">
        <v>2.2799999999999998</v>
      </c>
      <c r="Q29" s="8">
        <v>4.2561999999999998</v>
      </c>
      <c r="R29" s="8">
        <v>0.68100000000000005</v>
      </c>
      <c r="S29" s="8" t="s">
        <v>658</v>
      </c>
      <c r="T29" s="8">
        <v>6</v>
      </c>
      <c r="U29" s="8" t="s">
        <v>89</v>
      </c>
      <c r="V29" s="8"/>
      <c r="W29" t="s">
        <v>748</v>
      </c>
    </row>
    <row r="30" spans="1:23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29436846</v>
      </c>
      <c r="K30" s="73">
        <v>44775.571296296293</v>
      </c>
      <c r="L30" t="s">
        <v>746</v>
      </c>
      <c r="M30" t="s">
        <v>88</v>
      </c>
      <c r="N30">
        <v>154.5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1027</v>
      </c>
      <c r="T30">
        <v>6</v>
      </c>
      <c r="U30" t="s">
        <v>89</v>
      </c>
      <c r="W30" t="s">
        <v>748</v>
      </c>
    </row>
    <row r="31" spans="1:23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29436868</v>
      </c>
      <c r="K31" s="73">
        <v>44775.572870370372</v>
      </c>
      <c r="L31" t="s">
        <v>746</v>
      </c>
      <c r="M31" t="s">
        <v>88</v>
      </c>
      <c r="N31">
        <v>109.5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1029</v>
      </c>
      <c r="T31">
        <v>6</v>
      </c>
      <c r="U31" t="s">
        <v>89</v>
      </c>
      <c r="W31" t="s">
        <v>748</v>
      </c>
    </row>
    <row r="32" spans="1:23" outlineLevel="2" x14ac:dyDescent="0.25">
      <c r="A32" t="s">
        <v>82</v>
      </c>
      <c r="B32" t="s">
        <v>83</v>
      </c>
      <c r="C32">
        <v>30</v>
      </c>
      <c r="D32" t="s">
        <v>84</v>
      </c>
      <c r="E32">
        <v>184</v>
      </c>
      <c r="F32" t="s">
        <v>85</v>
      </c>
      <c r="G32">
        <v>8654</v>
      </c>
      <c r="H32" t="s">
        <v>30</v>
      </c>
      <c r="I32">
        <v>1000008654</v>
      </c>
      <c r="J32">
        <v>29437359</v>
      </c>
      <c r="K32" s="73">
        <v>44775.614895833336</v>
      </c>
      <c r="L32" t="s">
        <v>746</v>
      </c>
      <c r="M32" t="s">
        <v>88</v>
      </c>
      <c r="N32">
        <v>153.5</v>
      </c>
      <c r="O32">
        <v>14.22</v>
      </c>
      <c r="P32">
        <v>2.2799999999999998</v>
      </c>
      <c r="Q32">
        <v>4.2561999999999998</v>
      </c>
      <c r="R32">
        <v>0.68100000000000005</v>
      </c>
      <c r="S32" t="s">
        <v>584</v>
      </c>
      <c r="T32">
        <v>6</v>
      </c>
      <c r="U32" t="s">
        <v>89</v>
      </c>
      <c r="W32" t="s">
        <v>748</v>
      </c>
    </row>
    <row r="33" spans="1:23" outlineLevel="2" x14ac:dyDescent="0.25">
      <c r="A33" s="8" t="s">
        <v>82</v>
      </c>
      <c r="B33" s="8" t="s">
        <v>83</v>
      </c>
      <c r="C33" s="8">
        <v>30</v>
      </c>
      <c r="D33" s="8" t="s">
        <v>84</v>
      </c>
      <c r="E33" s="8">
        <v>184</v>
      </c>
      <c r="F33" s="8" t="s">
        <v>85</v>
      </c>
      <c r="G33" s="8">
        <v>8654</v>
      </c>
      <c r="H33" s="8" t="s">
        <v>30</v>
      </c>
      <c r="I33" s="8">
        <v>1000008654</v>
      </c>
      <c r="J33" s="8">
        <v>29439218</v>
      </c>
      <c r="K33" s="77">
        <v>44775.7809375</v>
      </c>
      <c r="L33" s="8" t="s">
        <v>747</v>
      </c>
      <c r="M33" s="8" t="s">
        <v>88</v>
      </c>
      <c r="N33" s="8">
        <v>106.5</v>
      </c>
      <c r="O33" s="8">
        <v>14.22</v>
      </c>
      <c r="P33" s="8">
        <v>2.2799999999999998</v>
      </c>
      <c r="Q33" s="8">
        <v>4.2561999999999998</v>
      </c>
      <c r="R33" s="8">
        <v>0.68100000000000005</v>
      </c>
      <c r="S33" s="8" t="s">
        <v>1249</v>
      </c>
      <c r="T33" s="8">
        <v>6</v>
      </c>
      <c r="U33" s="8" t="s">
        <v>89</v>
      </c>
      <c r="V33" s="8"/>
      <c r="W33" t="s">
        <v>748</v>
      </c>
    </row>
    <row r="34" spans="1:23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8654</v>
      </c>
      <c r="H34" t="s">
        <v>30</v>
      </c>
      <c r="I34">
        <v>1000008654</v>
      </c>
      <c r="J34">
        <v>29442492</v>
      </c>
      <c r="K34" s="73">
        <v>44776.461875000001</v>
      </c>
      <c r="L34" t="s">
        <v>747</v>
      </c>
      <c r="M34" t="s">
        <v>88</v>
      </c>
      <c r="N34">
        <v>80.5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1032</v>
      </c>
      <c r="T34">
        <v>6</v>
      </c>
      <c r="U34" t="s">
        <v>89</v>
      </c>
      <c r="W34" t="s">
        <v>748</v>
      </c>
    </row>
    <row r="35" spans="1:23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8654</v>
      </c>
      <c r="H35" t="s">
        <v>30</v>
      </c>
      <c r="I35">
        <v>1000008654</v>
      </c>
      <c r="J35">
        <v>29444695</v>
      </c>
      <c r="K35" s="73">
        <v>44776.601550925923</v>
      </c>
      <c r="L35" t="s">
        <v>747</v>
      </c>
      <c r="M35" t="s">
        <v>88</v>
      </c>
      <c r="N35">
        <v>183.5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1034</v>
      </c>
      <c r="T35">
        <v>6</v>
      </c>
      <c r="U35" t="s">
        <v>89</v>
      </c>
      <c r="W35" t="s">
        <v>748</v>
      </c>
    </row>
    <row r="36" spans="1:23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8654</v>
      </c>
      <c r="H36" t="s">
        <v>30</v>
      </c>
      <c r="I36">
        <v>1000008654</v>
      </c>
      <c r="J36">
        <v>29447033</v>
      </c>
      <c r="K36" s="73">
        <v>44776.770844907405</v>
      </c>
      <c r="L36" t="s">
        <v>747</v>
      </c>
      <c r="M36" t="s">
        <v>88</v>
      </c>
      <c r="N36">
        <v>190.5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1036</v>
      </c>
      <c r="T36">
        <v>6</v>
      </c>
      <c r="U36" t="s">
        <v>89</v>
      </c>
      <c r="W36" t="s">
        <v>748</v>
      </c>
    </row>
    <row r="37" spans="1:23" outlineLevel="1" x14ac:dyDescent="0.25">
      <c r="H37" s="9" t="s">
        <v>534</v>
      </c>
      <c r="K37" s="73"/>
      <c r="N37">
        <f>SUBTOTAL(9,N20:N36)</f>
        <v>5483.5</v>
      </c>
    </row>
    <row r="38" spans="1:23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29442556</v>
      </c>
      <c r="K38" s="73">
        <v>44776.46533564815</v>
      </c>
      <c r="L38" t="s">
        <v>747</v>
      </c>
      <c r="M38" t="s">
        <v>88</v>
      </c>
      <c r="N38">
        <v>44.5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1038</v>
      </c>
      <c r="T38">
        <v>6</v>
      </c>
      <c r="U38" t="s">
        <v>89</v>
      </c>
      <c r="W38" t="s">
        <v>748</v>
      </c>
    </row>
    <row r="39" spans="1:23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29444990</v>
      </c>
      <c r="K39" s="73">
        <v>44776.626423611109</v>
      </c>
      <c r="L39" t="s">
        <v>747</v>
      </c>
      <c r="M39" t="s">
        <v>88</v>
      </c>
      <c r="N39">
        <v>238.5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1040</v>
      </c>
      <c r="T39">
        <v>6</v>
      </c>
      <c r="U39" t="s">
        <v>89</v>
      </c>
      <c r="W39" t="s">
        <v>748</v>
      </c>
    </row>
    <row r="40" spans="1:23" outlineLevel="1" x14ac:dyDescent="0.25">
      <c r="H40" s="9" t="s">
        <v>535</v>
      </c>
      <c r="K40" s="73"/>
      <c r="N40">
        <f>SUBTOTAL(9,N38:N39)</f>
        <v>283</v>
      </c>
    </row>
    <row r="41" spans="1:23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8656</v>
      </c>
      <c r="H41" t="s">
        <v>31</v>
      </c>
      <c r="I41">
        <v>1000008656</v>
      </c>
      <c r="J41">
        <v>29431520</v>
      </c>
      <c r="K41" s="73">
        <v>44774.716261574074</v>
      </c>
      <c r="L41" t="s">
        <v>747</v>
      </c>
      <c r="M41" t="s">
        <v>88</v>
      </c>
      <c r="N41">
        <v>125.5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1042</v>
      </c>
      <c r="T41">
        <v>6</v>
      </c>
      <c r="U41" t="s">
        <v>89</v>
      </c>
      <c r="W41" t="s">
        <v>748</v>
      </c>
    </row>
    <row r="42" spans="1:23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8656</v>
      </c>
      <c r="H42" t="s">
        <v>31</v>
      </c>
      <c r="I42">
        <v>1000008656</v>
      </c>
      <c r="J42">
        <v>29437864</v>
      </c>
      <c r="K42" s="73">
        <v>44775.662152777775</v>
      </c>
      <c r="L42" t="s">
        <v>747</v>
      </c>
      <c r="M42" t="s">
        <v>88</v>
      </c>
      <c r="N42">
        <v>51.5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396</v>
      </c>
      <c r="T42">
        <v>6</v>
      </c>
      <c r="U42" t="s">
        <v>89</v>
      </c>
      <c r="W42" t="s">
        <v>748</v>
      </c>
    </row>
    <row r="43" spans="1:23" outlineLevel="1" x14ac:dyDescent="0.25">
      <c r="H43" s="9" t="s">
        <v>536</v>
      </c>
      <c r="K43" s="73"/>
      <c r="N43">
        <f>SUBTOTAL(9,N41:N42)</f>
        <v>177</v>
      </c>
    </row>
    <row r="44" spans="1:23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8657</v>
      </c>
      <c r="H44" t="s">
        <v>44</v>
      </c>
      <c r="I44">
        <v>1000008657</v>
      </c>
      <c r="J44">
        <v>29426957</v>
      </c>
      <c r="K44" s="73">
        <v>44774.369733796295</v>
      </c>
      <c r="L44" t="s">
        <v>747</v>
      </c>
      <c r="M44" t="s">
        <v>88</v>
      </c>
      <c r="N44">
        <v>44.5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351</v>
      </c>
      <c r="T44">
        <v>6</v>
      </c>
      <c r="U44" t="s">
        <v>89</v>
      </c>
      <c r="W44" t="s">
        <v>748</v>
      </c>
    </row>
    <row r="45" spans="1:23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8657</v>
      </c>
      <c r="H45" t="s">
        <v>44</v>
      </c>
      <c r="I45">
        <v>1000008657</v>
      </c>
      <c r="J45">
        <v>29429852</v>
      </c>
      <c r="K45" s="73">
        <v>44774.562094907407</v>
      </c>
      <c r="L45" t="s">
        <v>746</v>
      </c>
      <c r="M45" t="s">
        <v>88</v>
      </c>
      <c r="N45">
        <v>102.5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1046</v>
      </c>
      <c r="T45">
        <v>6</v>
      </c>
      <c r="U45" t="s">
        <v>89</v>
      </c>
      <c r="W45" t="s">
        <v>748</v>
      </c>
    </row>
    <row r="46" spans="1:23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8657</v>
      </c>
      <c r="H46" t="s">
        <v>44</v>
      </c>
      <c r="I46">
        <v>1000008657</v>
      </c>
      <c r="J46">
        <v>29435239</v>
      </c>
      <c r="K46" s="73">
        <v>44775.459386574075</v>
      </c>
      <c r="L46" t="s">
        <v>747</v>
      </c>
      <c r="M46" t="s">
        <v>88</v>
      </c>
      <c r="N46">
        <v>79.5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1048</v>
      </c>
      <c r="T46">
        <v>6</v>
      </c>
      <c r="U46" t="s">
        <v>89</v>
      </c>
      <c r="W46" t="s">
        <v>748</v>
      </c>
    </row>
    <row r="47" spans="1:23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8657</v>
      </c>
      <c r="H47" t="s">
        <v>44</v>
      </c>
      <c r="I47">
        <v>1000008657</v>
      </c>
      <c r="J47">
        <v>29435351</v>
      </c>
      <c r="K47" s="73">
        <v>44775.467094907406</v>
      </c>
      <c r="L47" t="s">
        <v>747</v>
      </c>
      <c r="M47" t="s">
        <v>88</v>
      </c>
      <c r="N47">
        <v>99.5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655</v>
      </c>
      <c r="T47">
        <v>6</v>
      </c>
      <c r="U47" t="s">
        <v>89</v>
      </c>
      <c r="W47" t="s">
        <v>748</v>
      </c>
    </row>
    <row r="48" spans="1:23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8657</v>
      </c>
      <c r="H48" t="s">
        <v>44</v>
      </c>
      <c r="I48">
        <v>1000008657</v>
      </c>
      <c r="J48">
        <v>29447235</v>
      </c>
      <c r="K48" s="73">
        <v>44776.781458333331</v>
      </c>
      <c r="L48" t="s">
        <v>747</v>
      </c>
      <c r="M48" t="s">
        <v>88</v>
      </c>
      <c r="N48">
        <v>211.5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1051</v>
      </c>
      <c r="T48">
        <v>6</v>
      </c>
      <c r="U48" t="s">
        <v>89</v>
      </c>
      <c r="W48" t="s">
        <v>748</v>
      </c>
    </row>
    <row r="49" spans="1:23" outlineLevel="2" x14ac:dyDescent="0.25">
      <c r="A49" s="8" t="s">
        <v>82</v>
      </c>
      <c r="B49" s="8" t="s">
        <v>83</v>
      </c>
      <c r="C49" s="8">
        <v>30</v>
      </c>
      <c r="D49" s="8" t="s">
        <v>84</v>
      </c>
      <c r="E49" s="8">
        <v>184</v>
      </c>
      <c r="F49" s="8" t="s">
        <v>85</v>
      </c>
      <c r="G49" s="8">
        <v>8657</v>
      </c>
      <c r="H49" s="8" t="s">
        <v>44</v>
      </c>
      <c r="I49" s="8">
        <v>1000008657</v>
      </c>
      <c r="J49" s="8">
        <v>29448841</v>
      </c>
      <c r="K49" s="77">
        <v>44776.854062500002</v>
      </c>
      <c r="L49" s="8" t="s">
        <v>747</v>
      </c>
      <c r="M49" s="8" t="s">
        <v>88</v>
      </c>
      <c r="N49" s="8">
        <v>63.5</v>
      </c>
      <c r="O49" s="8">
        <v>14.22</v>
      </c>
      <c r="P49" s="8">
        <v>2.2799999999999998</v>
      </c>
      <c r="Q49" s="8">
        <v>4.2561999999999998</v>
      </c>
      <c r="R49" s="8">
        <v>0.68100000000000005</v>
      </c>
      <c r="S49" s="8" t="s">
        <v>411</v>
      </c>
      <c r="T49" s="8">
        <v>6</v>
      </c>
      <c r="U49" s="8" t="s">
        <v>89</v>
      </c>
      <c r="V49" s="8"/>
      <c r="W49" t="s">
        <v>748</v>
      </c>
    </row>
    <row r="50" spans="1:23" outlineLevel="2" x14ac:dyDescent="0.25">
      <c r="A50" t="s">
        <v>82</v>
      </c>
      <c r="B50" t="s">
        <v>83</v>
      </c>
      <c r="C50">
        <v>30</v>
      </c>
      <c r="D50" t="s">
        <v>84</v>
      </c>
      <c r="E50">
        <v>184</v>
      </c>
      <c r="F50" t="s">
        <v>85</v>
      </c>
      <c r="G50">
        <v>8657</v>
      </c>
      <c r="H50" t="s">
        <v>44</v>
      </c>
      <c r="I50">
        <v>1000008657</v>
      </c>
      <c r="J50">
        <v>29449694</v>
      </c>
      <c r="K50" s="73">
        <v>44776.931562500002</v>
      </c>
      <c r="L50" t="s">
        <v>747</v>
      </c>
      <c r="M50" t="s">
        <v>88</v>
      </c>
      <c r="N50">
        <v>541.5</v>
      </c>
      <c r="O50">
        <v>14.22</v>
      </c>
      <c r="P50">
        <v>2.2799999999999998</v>
      </c>
      <c r="Q50">
        <v>4.2561999999999998</v>
      </c>
      <c r="R50">
        <v>0.68100000000000005</v>
      </c>
      <c r="S50" t="s">
        <v>1053</v>
      </c>
      <c r="T50">
        <v>6</v>
      </c>
      <c r="U50" t="s">
        <v>89</v>
      </c>
      <c r="W50" t="s">
        <v>748</v>
      </c>
    </row>
    <row r="51" spans="1:23" outlineLevel="1" x14ac:dyDescent="0.25">
      <c r="H51" s="9" t="s">
        <v>537</v>
      </c>
      <c r="K51" s="73"/>
      <c r="N51">
        <f>SUBTOTAL(9,N44:N50)</f>
        <v>1142.5</v>
      </c>
    </row>
    <row r="52" spans="1:23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8658</v>
      </c>
      <c r="H52" t="s">
        <v>33</v>
      </c>
      <c r="I52">
        <v>1000008658</v>
      </c>
      <c r="J52">
        <v>29426878</v>
      </c>
      <c r="K52" s="73">
        <v>44774.358611111114</v>
      </c>
      <c r="L52" t="s">
        <v>746</v>
      </c>
      <c r="M52" t="s">
        <v>88</v>
      </c>
      <c r="N52">
        <v>113.5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1055</v>
      </c>
      <c r="T52">
        <v>6</v>
      </c>
      <c r="U52" t="s">
        <v>89</v>
      </c>
      <c r="W52" t="s">
        <v>748</v>
      </c>
    </row>
    <row r="53" spans="1:23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8658</v>
      </c>
      <c r="H53" t="s">
        <v>33</v>
      </c>
      <c r="I53">
        <v>1000008658</v>
      </c>
      <c r="J53">
        <v>29426925</v>
      </c>
      <c r="K53" s="73">
        <v>44774.365856481483</v>
      </c>
      <c r="L53" t="s">
        <v>747</v>
      </c>
      <c r="M53" t="s">
        <v>88</v>
      </c>
      <c r="N53">
        <v>57.5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1057</v>
      </c>
      <c r="T53">
        <v>6</v>
      </c>
      <c r="U53" t="s">
        <v>89</v>
      </c>
      <c r="W53" t="s">
        <v>748</v>
      </c>
    </row>
    <row r="54" spans="1:23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8658</v>
      </c>
      <c r="H54" t="s">
        <v>33</v>
      </c>
      <c r="I54">
        <v>1000008658</v>
      </c>
      <c r="J54">
        <v>29428674</v>
      </c>
      <c r="K54" s="73">
        <v>44774.487916666665</v>
      </c>
      <c r="L54" t="s">
        <v>747</v>
      </c>
      <c r="M54" t="s">
        <v>88</v>
      </c>
      <c r="N54">
        <v>70.5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1059</v>
      </c>
      <c r="T54">
        <v>6</v>
      </c>
      <c r="U54" t="s">
        <v>89</v>
      </c>
      <c r="W54" t="s">
        <v>748</v>
      </c>
    </row>
    <row r="55" spans="1:23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8658</v>
      </c>
      <c r="H55" t="s">
        <v>33</v>
      </c>
      <c r="I55">
        <v>1000008658</v>
      </c>
      <c r="J55">
        <v>29431125</v>
      </c>
      <c r="K55" s="73">
        <v>44774.674120370371</v>
      </c>
      <c r="L55" t="s">
        <v>747</v>
      </c>
      <c r="M55" t="s">
        <v>88</v>
      </c>
      <c r="N55">
        <v>109.5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663</v>
      </c>
      <c r="T55">
        <v>6</v>
      </c>
      <c r="U55" t="s">
        <v>89</v>
      </c>
      <c r="W55" t="s">
        <v>748</v>
      </c>
    </row>
    <row r="56" spans="1:23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8658</v>
      </c>
      <c r="H56" t="s">
        <v>33</v>
      </c>
      <c r="I56">
        <v>1000008658</v>
      </c>
      <c r="J56">
        <v>29434744</v>
      </c>
      <c r="K56" s="73">
        <v>44775.427164351851</v>
      </c>
      <c r="L56" t="s">
        <v>747</v>
      </c>
      <c r="M56" t="s">
        <v>88</v>
      </c>
      <c r="N56">
        <v>105.5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1062</v>
      </c>
      <c r="T56">
        <v>6</v>
      </c>
      <c r="U56" t="s">
        <v>89</v>
      </c>
      <c r="W56" t="s">
        <v>748</v>
      </c>
    </row>
    <row r="57" spans="1:23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8658</v>
      </c>
      <c r="H57" t="s">
        <v>33</v>
      </c>
      <c r="I57">
        <v>1000008658</v>
      </c>
      <c r="J57">
        <v>29438762</v>
      </c>
      <c r="K57" s="73">
        <v>44775.745925925927</v>
      </c>
      <c r="L57" t="s">
        <v>747</v>
      </c>
      <c r="M57" t="s">
        <v>88</v>
      </c>
      <c r="N57">
        <v>190.5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1064</v>
      </c>
      <c r="T57">
        <v>6</v>
      </c>
      <c r="U57" t="s">
        <v>89</v>
      </c>
      <c r="W57" t="s">
        <v>748</v>
      </c>
    </row>
    <row r="58" spans="1:23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8658</v>
      </c>
      <c r="H58" t="s">
        <v>33</v>
      </c>
      <c r="I58">
        <v>1000008658</v>
      </c>
      <c r="J58">
        <v>29438788</v>
      </c>
      <c r="K58" s="73">
        <v>44775.74732638889</v>
      </c>
      <c r="L58" t="s">
        <v>747</v>
      </c>
      <c r="M58" t="s">
        <v>88</v>
      </c>
      <c r="N58">
        <v>142.5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371</v>
      </c>
      <c r="T58">
        <v>6</v>
      </c>
      <c r="U58" t="s">
        <v>89</v>
      </c>
      <c r="W58" t="s">
        <v>748</v>
      </c>
    </row>
    <row r="59" spans="1:23" outlineLevel="2" x14ac:dyDescent="0.25">
      <c r="A59" t="s">
        <v>82</v>
      </c>
      <c r="B59" t="s">
        <v>83</v>
      </c>
      <c r="C59">
        <v>30</v>
      </c>
      <c r="D59" t="s">
        <v>84</v>
      </c>
      <c r="E59">
        <v>184</v>
      </c>
      <c r="F59" t="s">
        <v>85</v>
      </c>
      <c r="G59">
        <v>8658</v>
      </c>
      <c r="H59" t="s">
        <v>33</v>
      </c>
      <c r="I59">
        <v>1000008658</v>
      </c>
      <c r="J59">
        <v>29441835</v>
      </c>
      <c r="K59" s="73">
        <v>44776.419861111113</v>
      </c>
      <c r="L59" t="s">
        <v>747</v>
      </c>
      <c r="M59" t="s">
        <v>88</v>
      </c>
      <c r="N59">
        <v>44.5</v>
      </c>
      <c r="O59">
        <v>14.22</v>
      </c>
      <c r="P59">
        <v>2.2799999999999998</v>
      </c>
      <c r="Q59">
        <v>4.2561999999999998</v>
      </c>
      <c r="R59">
        <v>0.68100000000000005</v>
      </c>
      <c r="S59" t="s">
        <v>1067</v>
      </c>
      <c r="T59">
        <v>6</v>
      </c>
      <c r="U59" t="s">
        <v>89</v>
      </c>
      <c r="W59" t="s">
        <v>748</v>
      </c>
    </row>
    <row r="60" spans="1:23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29448311</v>
      </c>
      <c r="K60" s="73">
        <v>44776.828634259262</v>
      </c>
      <c r="L60" t="s">
        <v>747</v>
      </c>
      <c r="M60" t="s">
        <v>88</v>
      </c>
      <c r="N60">
        <v>181.5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1069</v>
      </c>
      <c r="T60">
        <v>6</v>
      </c>
      <c r="U60" t="s">
        <v>89</v>
      </c>
      <c r="W60" t="s">
        <v>748</v>
      </c>
    </row>
    <row r="61" spans="1:23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29449614</v>
      </c>
      <c r="K61" s="73">
        <v>44776.91302083333</v>
      </c>
      <c r="L61" t="s">
        <v>747</v>
      </c>
      <c r="M61" t="s">
        <v>88</v>
      </c>
      <c r="N61">
        <v>161.5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1071</v>
      </c>
      <c r="T61">
        <v>6</v>
      </c>
      <c r="U61" t="s">
        <v>89</v>
      </c>
      <c r="W61" t="s">
        <v>748</v>
      </c>
    </row>
    <row r="62" spans="1:23" outlineLevel="1" x14ac:dyDescent="0.25">
      <c r="H62" s="9" t="s">
        <v>538</v>
      </c>
      <c r="K62" s="73"/>
      <c r="N62">
        <f>SUBTOTAL(9,N52:N61)</f>
        <v>1177</v>
      </c>
    </row>
    <row r="63" spans="1:23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8659</v>
      </c>
      <c r="H63" t="s">
        <v>32</v>
      </c>
      <c r="I63">
        <v>1000008659</v>
      </c>
      <c r="J63">
        <v>29427858</v>
      </c>
      <c r="K63" s="73">
        <v>44774.439351851855</v>
      </c>
      <c r="L63" t="s">
        <v>747</v>
      </c>
      <c r="M63" t="s">
        <v>88</v>
      </c>
      <c r="N63">
        <v>106.5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1073</v>
      </c>
      <c r="T63">
        <v>6</v>
      </c>
      <c r="U63" t="s">
        <v>89</v>
      </c>
      <c r="W63" t="s">
        <v>748</v>
      </c>
    </row>
    <row r="64" spans="1:23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8659</v>
      </c>
      <c r="H64" t="s">
        <v>32</v>
      </c>
      <c r="I64">
        <v>1000008659</v>
      </c>
      <c r="J64">
        <v>29427884</v>
      </c>
      <c r="K64" s="73">
        <v>44774.440798611111</v>
      </c>
      <c r="L64" t="s">
        <v>747</v>
      </c>
      <c r="M64" t="s">
        <v>88</v>
      </c>
      <c r="N64">
        <v>44.5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1075</v>
      </c>
      <c r="T64">
        <v>6</v>
      </c>
      <c r="U64" t="s">
        <v>89</v>
      </c>
      <c r="W64" t="s">
        <v>748</v>
      </c>
    </row>
    <row r="65" spans="1:23" outlineLevel="2" x14ac:dyDescent="0.25">
      <c r="A65" s="7" t="s">
        <v>82</v>
      </c>
      <c r="B65" s="7" t="s">
        <v>83</v>
      </c>
      <c r="C65" s="7">
        <v>30</v>
      </c>
      <c r="D65" s="7" t="s">
        <v>84</v>
      </c>
      <c r="E65" s="7">
        <v>184</v>
      </c>
      <c r="F65" s="7" t="s">
        <v>85</v>
      </c>
      <c r="G65" s="7">
        <v>8659</v>
      </c>
      <c r="H65" s="7" t="s">
        <v>32</v>
      </c>
      <c r="I65" s="7">
        <v>1000008659</v>
      </c>
      <c r="J65" s="7">
        <v>29433734</v>
      </c>
      <c r="K65" s="75">
        <v>44774.901504629626</v>
      </c>
      <c r="L65" s="7" t="s">
        <v>747</v>
      </c>
      <c r="M65" s="7" t="s">
        <v>88</v>
      </c>
      <c r="N65" s="7">
        <v>206.5</v>
      </c>
      <c r="O65" s="7">
        <v>14.22</v>
      </c>
      <c r="P65" s="7">
        <v>2.2799999999999998</v>
      </c>
      <c r="Q65" s="7">
        <v>4.2561999999999998</v>
      </c>
      <c r="R65" s="7">
        <v>0.68100000000000005</v>
      </c>
      <c r="S65" s="7" t="s">
        <v>1077</v>
      </c>
      <c r="T65" s="7">
        <v>6</v>
      </c>
      <c r="U65" s="7" t="s">
        <v>89</v>
      </c>
      <c r="V65" s="7"/>
      <c r="W65" t="s">
        <v>748</v>
      </c>
    </row>
    <row r="66" spans="1:23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8659</v>
      </c>
      <c r="H66" t="s">
        <v>32</v>
      </c>
      <c r="I66">
        <v>1000008659</v>
      </c>
      <c r="J66">
        <v>29437386</v>
      </c>
      <c r="K66" s="73">
        <v>44775.617534722223</v>
      </c>
      <c r="L66" t="s">
        <v>747</v>
      </c>
      <c r="M66" t="s">
        <v>88</v>
      </c>
      <c r="N66">
        <v>156.5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374</v>
      </c>
      <c r="T66">
        <v>6</v>
      </c>
      <c r="U66" t="s">
        <v>89</v>
      </c>
      <c r="W66" t="s">
        <v>748</v>
      </c>
    </row>
    <row r="67" spans="1:23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8659</v>
      </c>
      <c r="H67" t="s">
        <v>32</v>
      </c>
      <c r="I67">
        <v>1000008659</v>
      </c>
      <c r="J67">
        <v>29439589</v>
      </c>
      <c r="K67" s="73">
        <v>44775.804178240738</v>
      </c>
      <c r="L67" t="s">
        <v>747</v>
      </c>
      <c r="M67" t="s">
        <v>88</v>
      </c>
      <c r="N67">
        <v>139.5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1080</v>
      </c>
      <c r="T67">
        <v>6</v>
      </c>
      <c r="U67" t="s">
        <v>89</v>
      </c>
      <c r="W67" t="s">
        <v>748</v>
      </c>
    </row>
    <row r="68" spans="1:23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8659</v>
      </c>
      <c r="H68" t="s">
        <v>32</v>
      </c>
      <c r="I68">
        <v>1000008659</v>
      </c>
      <c r="J68">
        <v>29440689</v>
      </c>
      <c r="K68" s="73">
        <v>44775.891516203701</v>
      </c>
      <c r="L68" t="s">
        <v>747</v>
      </c>
      <c r="M68" t="s">
        <v>88</v>
      </c>
      <c r="N68">
        <v>152.5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1082</v>
      </c>
      <c r="T68">
        <v>6</v>
      </c>
      <c r="U68" t="s">
        <v>89</v>
      </c>
      <c r="W68" t="s">
        <v>748</v>
      </c>
    </row>
    <row r="69" spans="1:23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8659</v>
      </c>
      <c r="H69" t="s">
        <v>32</v>
      </c>
      <c r="I69">
        <v>1000008659</v>
      </c>
      <c r="J69">
        <v>29440702</v>
      </c>
      <c r="K69" s="73">
        <v>44775.892812500002</v>
      </c>
      <c r="L69" t="s">
        <v>747</v>
      </c>
      <c r="M69" t="s">
        <v>88</v>
      </c>
      <c r="N69">
        <v>77.5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1084</v>
      </c>
      <c r="T69">
        <v>6</v>
      </c>
      <c r="U69" t="s">
        <v>89</v>
      </c>
      <c r="W69" t="s">
        <v>748</v>
      </c>
    </row>
    <row r="70" spans="1:23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8659</v>
      </c>
      <c r="H70" t="s">
        <v>32</v>
      </c>
      <c r="I70">
        <v>1000008659</v>
      </c>
      <c r="J70">
        <v>29440721</v>
      </c>
      <c r="K70" s="73">
        <v>44775.894571759258</v>
      </c>
      <c r="L70" t="s">
        <v>747</v>
      </c>
      <c r="M70" t="s">
        <v>88</v>
      </c>
      <c r="N70">
        <v>86.5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1086</v>
      </c>
      <c r="T70">
        <v>6</v>
      </c>
      <c r="U70" t="s">
        <v>89</v>
      </c>
      <c r="W70" t="s">
        <v>748</v>
      </c>
    </row>
    <row r="71" spans="1:23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8659</v>
      </c>
      <c r="H71" t="s">
        <v>32</v>
      </c>
      <c r="I71">
        <v>1000008659</v>
      </c>
      <c r="J71">
        <v>29441157</v>
      </c>
      <c r="K71" s="73">
        <v>44776.354270833333</v>
      </c>
      <c r="L71" t="s">
        <v>747</v>
      </c>
      <c r="M71" t="s">
        <v>88</v>
      </c>
      <c r="N71">
        <v>211.5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668</v>
      </c>
      <c r="T71">
        <v>6</v>
      </c>
      <c r="U71" t="s">
        <v>89</v>
      </c>
      <c r="W71" t="s">
        <v>748</v>
      </c>
    </row>
    <row r="72" spans="1:23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8659</v>
      </c>
      <c r="H72" t="s">
        <v>32</v>
      </c>
      <c r="I72">
        <v>1000008659</v>
      </c>
      <c r="J72">
        <v>29444462</v>
      </c>
      <c r="K72" s="73">
        <v>44776.582326388889</v>
      </c>
      <c r="L72" t="s">
        <v>747</v>
      </c>
      <c r="M72" t="s">
        <v>88</v>
      </c>
      <c r="N72">
        <v>166.5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1089</v>
      </c>
      <c r="T72">
        <v>6</v>
      </c>
      <c r="U72" t="s">
        <v>89</v>
      </c>
      <c r="W72" t="s">
        <v>748</v>
      </c>
    </row>
    <row r="73" spans="1:23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8659</v>
      </c>
      <c r="H73" t="s">
        <v>32</v>
      </c>
      <c r="I73">
        <v>1000008659</v>
      </c>
      <c r="J73">
        <v>29444712</v>
      </c>
      <c r="K73" s="73">
        <v>44776.602824074071</v>
      </c>
      <c r="L73" t="s">
        <v>747</v>
      </c>
      <c r="M73" t="s">
        <v>88</v>
      </c>
      <c r="N73">
        <v>166.5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1091</v>
      </c>
      <c r="T73">
        <v>6</v>
      </c>
      <c r="U73" t="s">
        <v>89</v>
      </c>
      <c r="W73" t="s">
        <v>748</v>
      </c>
    </row>
    <row r="74" spans="1:23" outlineLevel="2" x14ac:dyDescent="0.25">
      <c r="A74" s="13" t="s">
        <v>82</v>
      </c>
      <c r="B74" s="13" t="s">
        <v>83</v>
      </c>
      <c r="C74" s="13">
        <v>30</v>
      </c>
      <c r="D74" s="13" t="s">
        <v>84</v>
      </c>
      <c r="E74" s="13">
        <v>184</v>
      </c>
      <c r="F74" s="13" t="s">
        <v>85</v>
      </c>
      <c r="G74" s="13">
        <v>8659</v>
      </c>
      <c r="H74" s="13" t="s">
        <v>32</v>
      </c>
      <c r="I74" s="13">
        <v>1000008659</v>
      </c>
      <c r="J74" s="13">
        <v>29446044</v>
      </c>
      <c r="K74" s="76">
        <v>44776.709016203706</v>
      </c>
      <c r="L74" s="13" t="s">
        <v>747</v>
      </c>
      <c r="M74" s="13" t="s">
        <v>88</v>
      </c>
      <c r="N74" s="13">
        <v>44.5</v>
      </c>
      <c r="O74" s="13">
        <v>14.22</v>
      </c>
      <c r="P74" s="13">
        <v>2.2799999999999998</v>
      </c>
      <c r="Q74" s="13">
        <v>4.2561999999999998</v>
      </c>
      <c r="R74" s="13">
        <v>0.68100000000000005</v>
      </c>
      <c r="S74" s="13" t="s">
        <v>1094</v>
      </c>
      <c r="T74" s="13">
        <v>6</v>
      </c>
      <c r="U74" s="13" t="s">
        <v>89</v>
      </c>
      <c r="V74" s="13"/>
      <c r="W74" t="s">
        <v>748</v>
      </c>
    </row>
    <row r="75" spans="1:23" outlineLevel="1" x14ac:dyDescent="0.25">
      <c r="A75" s="13"/>
      <c r="B75" s="13"/>
      <c r="C75" s="13"/>
      <c r="D75" s="13"/>
      <c r="E75" s="13"/>
      <c r="F75" s="13"/>
      <c r="G75" s="13"/>
      <c r="H75" s="14" t="s">
        <v>539</v>
      </c>
      <c r="I75" s="13"/>
      <c r="J75" s="13"/>
      <c r="K75" s="76"/>
      <c r="L75" s="13"/>
      <c r="M75" s="13"/>
      <c r="N75" s="13">
        <f>SUBTOTAL(9,N63:N74)</f>
        <v>1559</v>
      </c>
      <c r="O75" s="13"/>
      <c r="P75" s="13"/>
      <c r="Q75" s="13"/>
      <c r="R75" s="13"/>
      <c r="S75" s="13"/>
      <c r="T75" s="13"/>
      <c r="U75" s="13"/>
      <c r="V75" s="13"/>
    </row>
    <row r="76" spans="1:23" outlineLevel="2" x14ac:dyDescent="0.25">
      <c r="A76" t="s">
        <v>82</v>
      </c>
      <c r="B76" t="s">
        <v>83</v>
      </c>
      <c r="C76">
        <v>30</v>
      </c>
      <c r="D76" t="s">
        <v>84</v>
      </c>
      <c r="E76">
        <v>184</v>
      </c>
      <c r="F76" t="s">
        <v>85</v>
      </c>
      <c r="G76">
        <v>8660</v>
      </c>
      <c r="H76" t="s">
        <v>35</v>
      </c>
      <c r="I76">
        <v>1000008660</v>
      </c>
      <c r="J76">
        <v>29426656</v>
      </c>
      <c r="K76" s="73">
        <v>44774.038506944446</v>
      </c>
      <c r="L76" t="s">
        <v>747</v>
      </c>
      <c r="M76" t="s">
        <v>88</v>
      </c>
      <c r="N76">
        <v>71.5</v>
      </c>
      <c r="O76">
        <v>14.22</v>
      </c>
      <c r="P76">
        <v>2.2799999999999998</v>
      </c>
      <c r="Q76">
        <v>4.2561999999999998</v>
      </c>
      <c r="R76">
        <v>0.68100000000000005</v>
      </c>
      <c r="S76" t="s">
        <v>520</v>
      </c>
      <c r="T76">
        <v>6</v>
      </c>
      <c r="U76" t="s">
        <v>89</v>
      </c>
      <c r="W76" t="s">
        <v>748</v>
      </c>
    </row>
    <row r="77" spans="1:23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8660</v>
      </c>
      <c r="H77" t="s">
        <v>35</v>
      </c>
      <c r="I77">
        <v>1000008660</v>
      </c>
      <c r="J77">
        <v>29428574</v>
      </c>
      <c r="K77" s="73">
        <v>44774.482187499998</v>
      </c>
      <c r="L77" t="s">
        <v>746</v>
      </c>
      <c r="M77" t="s">
        <v>88</v>
      </c>
      <c r="N77">
        <v>50.5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1097</v>
      </c>
      <c r="T77">
        <v>6</v>
      </c>
      <c r="U77" t="s">
        <v>89</v>
      </c>
      <c r="W77" t="s">
        <v>748</v>
      </c>
    </row>
    <row r="78" spans="1:23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8660</v>
      </c>
      <c r="H78" t="s">
        <v>35</v>
      </c>
      <c r="I78">
        <v>1000008660</v>
      </c>
      <c r="J78">
        <v>29429775</v>
      </c>
      <c r="K78" s="73">
        <v>44774.555810185186</v>
      </c>
      <c r="L78" t="s">
        <v>747</v>
      </c>
      <c r="M78" t="s">
        <v>88</v>
      </c>
      <c r="N78">
        <v>69.5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1099</v>
      </c>
      <c r="T78">
        <v>6</v>
      </c>
      <c r="U78" t="s">
        <v>89</v>
      </c>
      <c r="W78" t="s">
        <v>748</v>
      </c>
    </row>
    <row r="79" spans="1:23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8660</v>
      </c>
      <c r="H79" t="s">
        <v>35</v>
      </c>
      <c r="I79">
        <v>1000008660</v>
      </c>
      <c r="J79">
        <v>29435189</v>
      </c>
      <c r="K79" s="73">
        <v>44775.456006944441</v>
      </c>
      <c r="L79" t="s">
        <v>746</v>
      </c>
      <c r="M79" t="s">
        <v>88</v>
      </c>
      <c r="N79">
        <v>124.5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594</v>
      </c>
      <c r="T79">
        <v>6</v>
      </c>
      <c r="U79" t="s">
        <v>89</v>
      </c>
      <c r="W79" t="s">
        <v>748</v>
      </c>
    </row>
    <row r="80" spans="1:23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8660</v>
      </c>
      <c r="H80" t="s">
        <v>35</v>
      </c>
      <c r="I80">
        <v>1000008660</v>
      </c>
      <c r="J80">
        <v>29437594</v>
      </c>
      <c r="K80" s="73">
        <v>44775.638321759259</v>
      </c>
      <c r="L80" t="s">
        <v>747</v>
      </c>
      <c r="M80" t="s">
        <v>88</v>
      </c>
      <c r="N80">
        <v>155.5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397</v>
      </c>
      <c r="T80">
        <v>6</v>
      </c>
      <c r="U80" t="s">
        <v>89</v>
      </c>
      <c r="W80" t="s">
        <v>748</v>
      </c>
    </row>
    <row r="81" spans="1:23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8660</v>
      </c>
      <c r="H81" t="s">
        <v>35</v>
      </c>
      <c r="I81">
        <v>1000008660</v>
      </c>
      <c r="J81">
        <v>29446314</v>
      </c>
      <c r="K81" s="73">
        <v>44776.725555555553</v>
      </c>
      <c r="L81" t="s">
        <v>747</v>
      </c>
      <c r="M81" t="s">
        <v>88</v>
      </c>
      <c r="N81">
        <v>96.5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1103</v>
      </c>
      <c r="T81">
        <v>6</v>
      </c>
      <c r="U81" t="s">
        <v>89</v>
      </c>
      <c r="W81" t="s">
        <v>748</v>
      </c>
    </row>
    <row r="82" spans="1:23" outlineLevel="1" x14ac:dyDescent="0.25">
      <c r="H82" s="9" t="s">
        <v>540</v>
      </c>
      <c r="K82" s="73"/>
      <c r="N82">
        <f>SUBTOTAL(9,N76:N81)</f>
        <v>568</v>
      </c>
    </row>
    <row r="83" spans="1:23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8661</v>
      </c>
      <c r="H83" t="s">
        <v>39</v>
      </c>
      <c r="I83">
        <v>1000008661</v>
      </c>
      <c r="J83">
        <v>29427031</v>
      </c>
      <c r="K83" s="73">
        <v>44774.379351851851</v>
      </c>
      <c r="L83" t="s">
        <v>747</v>
      </c>
      <c r="M83" t="s">
        <v>88</v>
      </c>
      <c r="N83">
        <v>58.5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1105</v>
      </c>
      <c r="T83">
        <v>6</v>
      </c>
      <c r="U83" t="s">
        <v>89</v>
      </c>
      <c r="W83" t="s">
        <v>748</v>
      </c>
    </row>
    <row r="84" spans="1:23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8661</v>
      </c>
      <c r="H84" t="s">
        <v>39</v>
      </c>
      <c r="I84">
        <v>1000008661</v>
      </c>
      <c r="J84">
        <v>29432466</v>
      </c>
      <c r="K84" s="73">
        <v>44774.79105324074</v>
      </c>
      <c r="L84" t="s">
        <v>747</v>
      </c>
      <c r="M84" t="s">
        <v>88</v>
      </c>
      <c r="N84">
        <v>108.5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413</v>
      </c>
      <c r="T84">
        <v>6</v>
      </c>
      <c r="U84" t="s">
        <v>89</v>
      </c>
      <c r="W84" t="s">
        <v>748</v>
      </c>
    </row>
    <row r="85" spans="1:23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8661</v>
      </c>
      <c r="H85" t="s">
        <v>39</v>
      </c>
      <c r="I85">
        <v>1000008661</v>
      </c>
      <c r="J85">
        <v>29437656</v>
      </c>
      <c r="K85" s="73">
        <v>44775.643182870372</v>
      </c>
      <c r="L85" t="s">
        <v>747</v>
      </c>
      <c r="M85" t="s">
        <v>88</v>
      </c>
      <c r="N85">
        <v>47.5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1108</v>
      </c>
      <c r="T85">
        <v>6</v>
      </c>
      <c r="U85" t="s">
        <v>89</v>
      </c>
      <c r="W85" t="s">
        <v>748</v>
      </c>
    </row>
    <row r="86" spans="1:23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8661</v>
      </c>
      <c r="H86" t="s">
        <v>39</v>
      </c>
      <c r="I86">
        <v>1000008661</v>
      </c>
      <c r="J86">
        <v>29444051</v>
      </c>
      <c r="K86" s="73">
        <v>44776.555520833332</v>
      </c>
      <c r="L86" t="s">
        <v>746</v>
      </c>
      <c r="M86" t="s">
        <v>88</v>
      </c>
      <c r="N86">
        <v>44.5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1110</v>
      </c>
      <c r="T86">
        <v>6</v>
      </c>
      <c r="U86" t="s">
        <v>89</v>
      </c>
      <c r="W86" t="s">
        <v>748</v>
      </c>
    </row>
    <row r="87" spans="1:23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8661</v>
      </c>
      <c r="H87" t="s">
        <v>39</v>
      </c>
      <c r="I87">
        <v>1000008661</v>
      </c>
      <c r="J87">
        <v>29449522</v>
      </c>
      <c r="K87" s="73">
        <v>44776.899814814817</v>
      </c>
      <c r="L87" t="s">
        <v>747</v>
      </c>
      <c r="M87" t="s">
        <v>88</v>
      </c>
      <c r="N87">
        <v>355.5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670</v>
      </c>
      <c r="T87">
        <v>6</v>
      </c>
      <c r="U87" t="s">
        <v>89</v>
      </c>
      <c r="W87" t="s">
        <v>748</v>
      </c>
    </row>
    <row r="88" spans="1:23" outlineLevel="1" x14ac:dyDescent="0.25">
      <c r="H88" s="9" t="s">
        <v>541</v>
      </c>
      <c r="K88" s="73"/>
      <c r="N88">
        <f>SUBTOTAL(9,N83:N87)</f>
        <v>614.5</v>
      </c>
    </row>
    <row r="89" spans="1:23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8662</v>
      </c>
      <c r="H89" t="s">
        <v>36</v>
      </c>
      <c r="I89">
        <v>1000008662</v>
      </c>
      <c r="J89">
        <v>29428774</v>
      </c>
      <c r="K89" s="73">
        <v>44774.494328703702</v>
      </c>
      <c r="L89" t="s">
        <v>747</v>
      </c>
      <c r="M89" t="s">
        <v>88</v>
      </c>
      <c r="N89">
        <v>79.5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1113</v>
      </c>
      <c r="T89">
        <v>6</v>
      </c>
      <c r="U89" t="s">
        <v>89</v>
      </c>
      <c r="W89" t="s">
        <v>748</v>
      </c>
    </row>
    <row r="90" spans="1:23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8662</v>
      </c>
      <c r="H90" t="s">
        <v>36</v>
      </c>
      <c r="I90">
        <v>1000008662</v>
      </c>
      <c r="J90">
        <v>29430203</v>
      </c>
      <c r="K90" s="73">
        <v>44774.588321759256</v>
      </c>
      <c r="L90" t="s">
        <v>747</v>
      </c>
      <c r="M90" t="s">
        <v>88</v>
      </c>
      <c r="N90">
        <v>44.5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1115</v>
      </c>
      <c r="T90">
        <v>6</v>
      </c>
      <c r="U90" t="s">
        <v>89</v>
      </c>
      <c r="W90" t="s">
        <v>748</v>
      </c>
    </row>
    <row r="91" spans="1:23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8662</v>
      </c>
      <c r="H91" t="s">
        <v>36</v>
      </c>
      <c r="I91">
        <v>1000008662</v>
      </c>
      <c r="J91">
        <v>29435473</v>
      </c>
      <c r="K91" s="73">
        <v>44775.475474537037</v>
      </c>
      <c r="L91" t="s">
        <v>747</v>
      </c>
      <c r="M91" t="s">
        <v>88</v>
      </c>
      <c r="N91">
        <v>95.5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1117</v>
      </c>
      <c r="T91">
        <v>6</v>
      </c>
      <c r="U91" t="s">
        <v>89</v>
      </c>
      <c r="W91" t="s">
        <v>748</v>
      </c>
    </row>
    <row r="92" spans="1:23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8662</v>
      </c>
      <c r="H92" t="s">
        <v>36</v>
      </c>
      <c r="I92">
        <v>1000008662</v>
      </c>
      <c r="J92">
        <v>29438887</v>
      </c>
      <c r="K92" s="73">
        <v>44775.756539351853</v>
      </c>
      <c r="L92" t="s">
        <v>747</v>
      </c>
      <c r="M92" t="s">
        <v>88</v>
      </c>
      <c r="N92">
        <v>79.5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432</v>
      </c>
      <c r="T92">
        <v>6</v>
      </c>
      <c r="U92" t="s">
        <v>89</v>
      </c>
      <c r="W92" t="s">
        <v>748</v>
      </c>
    </row>
    <row r="93" spans="1:23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8662</v>
      </c>
      <c r="H93" t="s">
        <v>36</v>
      </c>
      <c r="I93">
        <v>1000008662</v>
      </c>
      <c r="J93">
        <v>29439650</v>
      </c>
      <c r="K93" s="73">
        <v>44775.808969907404</v>
      </c>
      <c r="L93" t="s">
        <v>747</v>
      </c>
      <c r="M93" t="s">
        <v>88</v>
      </c>
      <c r="N93">
        <v>339.5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1120</v>
      </c>
      <c r="T93">
        <v>6</v>
      </c>
      <c r="U93" t="s">
        <v>89</v>
      </c>
      <c r="W93" t="s">
        <v>748</v>
      </c>
    </row>
    <row r="94" spans="1:23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8662</v>
      </c>
      <c r="H94" t="s">
        <v>36</v>
      </c>
      <c r="I94">
        <v>1000008662</v>
      </c>
      <c r="J94">
        <v>29441311</v>
      </c>
      <c r="K94" s="73">
        <v>44776.375115740739</v>
      </c>
      <c r="L94" t="s">
        <v>747</v>
      </c>
      <c r="M94" t="s">
        <v>88</v>
      </c>
      <c r="N94">
        <v>509.5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1122</v>
      </c>
      <c r="T94">
        <v>6</v>
      </c>
      <c r="U94" t="s">
        <v>89</v>
      </c>
      <c r="W94" t="s">
        <v>748</v>
      </c>
    </row>
    <row r="95" spans="1:23" outlineLevel="2" x14ac:dyDescent="0.25">
      <c r="A95" t="s">
        <v>82</v>
      </c>
      <c r="B95" t="s">
        <v>83</v>
      </c>
      <c r="C95">
        <v>30</v>
      </c>
      <c r="D95" t="s">
        <v>84</v>
      </c>
      <c r="E95">
        <v>184</v>
      </c>
      <c r="F95" t="s">
        <v>85</v>
      </c>
      <c r="G95">
        <v>8662</v>
      </c>
      <c r="H95" t="s">
        <v>36</v>
      </c>
      <c r="I95">
        <v>1000008662</v>
      </c>
      <c r="J95">
        <v>29442148</v>
      </c>
      <c r="K95" s="73">
        <v>44776.440682870372</v>
      </c>
      <c r="L95" t="s">
        <v>746</v>
      </c>
      <c r="M95" t="s">
        <v>88</v>
      </c>
      <c r="N95">
        <v>62.5</v>
      </c>
      <c r="O95">
        <v>14.22</v>
      </c>
      <c r="P95">
        <v>2.2799999999999998</v>
      </c>
      <c r="Q95">
        <v>4.2561999999999998</v>
      </c>
      <c r="R95">
        <v>0.68100000000000005</v>
      </c>
      <c r="S95" t="s">
        <v>1124</v>
      </c>
      <c r="T95">
        <v>6</v>
      </c>
      <c r="U95" t="s">
        <v>89</v>
      </c>
      <c r="W95" t="s">
        <v>748</v>
      </c>
    </row>
    <row r="96" spans="1:23" outlineLevel="2" x14ac:dyDescent="0.25">
      <c r="A96" t="s">
        <v>82</v>
      </c>
      <c r="B96" t="s">
        <v>83</v>
      </c>
      <c r="C96">
        <v>30</v>
      </c>
      <c r="D96" t="s">
        <v>84</v>
      </c>
      <c r="E96">
        <v>184</v>
      </c>
      <c r="F96" t="s">
        <v>85</v>
      </c>
      <c r="G96">
        <v>8662</v>
      </c>
      <c r="H96" t="s">
        <v>36</v>
      </c>
      <c r="I96">
        <v>1000008662</v>
      </c>
      <c r="J96">
        <v>29443145</v>
      </c>
      <c r="K96" s="73">
        <v>44776.498032407406</v>
      </c>
      <c r="L96" t="s">
        <v>747</v>
      </c>
      <c r="M96" t="s">
        <v>88</v>
      </c>
      <c r="N96">
        <v>339.5</v>
      </c>
      <c r="O96">
        <v>14.22</v>
      </c>
      <c r="P96">
        <v>2.2799999999999998</v>
      </c>
      <c r="Q96">
        <v>4.2561999999999998</v>
      </c>
      <c r="R96">
        <v>0.68100000000000005</v>
      </c>
      <c r="S96" t="s">
        <v>1126</v>
      </c>
      <c r="T96">
        <v>6</v>
      </c>
      <c r="U96" t="s">
        <v>89</v>
      </c>
      <c r="W96" t="s">
        <v>748</v>
      </c>
    </row>
    <row r="97" spans="1:23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8662</v>
      </c>
      <c r="H97" t="s">
        <v>36</v>
      </c>
      <c r="I97">
        <v>1000008662</v>
      </c>
      <c r="J97">
        <v>29444580</v>
      </c>
      <c r="K97" s="73">
        <v>44776.591423611113</v>
      </c>
      <c r="L97" t="s">
        <v>746</v>
      </c>
      <c r="M97" t="s">
        <v>88</v>
      </c>
      <c r="N97">
        <v>169.5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1128</v>
      </c>
      <c r="T97">
        <v>6</v>
      </c>
      <c r="U97" t="s">
        <v>89</v>
      </c>
      <c r="W97" t="s">
        <v>748</v>
      </c>
    </row>
    <row r="98" spans="1:23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8662</v>
      </c>
      <c r="H98" t="s">
        <v>36</v>
      </c>
      <c r="I98">
        <v>1000008662</v>
      </c>
      <c r="J98">
        <v>29445055</v>
      </c>
      <c r="K98" s="73">
        <v>44776.632071759261</v>
      </c>
      <c r="L98" t="s">
        <v>747</v>
      </c>
      <c r="M98" t="s">
        <v>88</v>
      </c>
      <c r="N98">
        <v>149.5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1130</v>
      </c>
      <c r="T98">
        <v>6</v>
      </c>
      <c r="U98" t="s">
        <v>89</v>
      </c>
      <c r="W98" t="s">
        <v>748</v>
      </c>
    </row>
    <row r="99" spans="1:23" outlineLevel="1" x14ac:dyDescent="0.25">
      <c r="H99" s="9" t="s">
        <v>542</v>
      </c>
      <c r="K99" s="73"/>
      <c r="N99">
        <f>SUBTOTAL(9,N89:N98)</f>
        <v>1869</v>
      </c>
    </row>
    <row r="100" spans="1:23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8663</v>
      </c>
      <c r="H100" t="s">
        <v>42</v>
      </c>
      <c r="I100">
        <v>1000008663</v>
      </c>
      <c r="J100">
        <v>29427198</v>
      </c>
      <c r="K100" s="73">
        <v>44774.394016203703</v>
      </c>
      <c r="L100" t="s">
        <v>747</v>
      </c>
      <c r="M100" t="s">
        <v>88</v>
      </c>
      <c r="N100">
        <v>445.5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1132</v>
      </c>
      <c r="T100">
        <v>6</v>
      </c>
      <c r="U100" t="s">
        <v>89</v>
      </c>
      <c r="W100" t="s">
        <v>748</v>
      </c>
    </row>
    <row r="101" spans="1:23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8663</v>
      </c>
      <c r="H101" t="s">
        <v>42</v>
      </c>
      <c r="I101">
        <v>1000008663</v>
      </c>
      <c r="J101">
        <v>29427221</v>
      </c>
      <c r="K101" s="73">
        <v>44774.396249999998</v>
      </c>
      <c r="L101" t="s">
        <v>747</v>
      </c>
      <c r="M101" t="s">
        <v>88</v>
      </c>
      <c r="N101">
        <v>689.5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586</v>
      </c>
      <c r="T101">
        <v>6</v>
      </c>
      <c r="U101" t="s">
        <v>89</v>
      </c>
      <c r="W101" t="s">
        <v>748</v>
      </c>
    </row>
    <row r="102" spans="1:23" outlineLevel="2" x14ac:dyDescent="0.25">
      <c r="A102" s="8" t="s">
        <v>82</v>
      </c>
      <c r="B102" s="8" t="s">
        <v>83</v>
      </c>
      <c r="C102" s="8">
        <v>30</v>
      </c>
      <c r="D102" s="8" t="s">
        <v>84</v>
      </c>
      <c r="E102" s="8">
        <v>184</v>
      </c>
      <c r="F102" s="8" t="s">
        <v>85</v>
      </c>
      <c r="G102" s="8">
        <v>8663</v>
      </c>
      <c r="H102" s="8" t="s">
        <v>42</v>
      </c>
      <c r="I102" s="8">
        <v>1000008663</v>
      </c>
      <c r="J102" s="8">
        <v>29427477</v>
      </c>
      <c r="K102" s="77">
        <v>44774.414178240739</v>
      </c>
      <c r="L102" s="8" t="s">
        <v>747</v>
      </c>
      <c r="M102" s="8" t="s">
        <v>88</v>
      </c>
      <c r="N102" s="8">
        <v>120.5</v>
      </c>
      <c r="O102" s="8">
        <v>14.22</v>
      </c>
      <c r="P102" s="8">
        <v>2.2799999999999998</v>
      </c>
      <c r="Q102" s="8">
        <v>4.2561999999999998</v>
      </c>
      <c r="R102" s="8">
        <v>0.68100000000000005</v>
      </c>
      <c r="S102" s="8" t="s">
        <v>507</v>
      </c>
      <c r="T102" s="8">
        <v>6</v>
      </c>
      <c r="U102" s="8" t="s">
        <v>89</v>
      </c>
      <c r="V102" s="8"/>
      <c r="W102" t="s">
        <v>748</v>
      </c>
    </row>
    <row r="103" spans="1:23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8663</v>
      </c>
      <c r="H103" t="s">
        <v>42</v>
      </c>
      <c r="I103">
        <v>1000008663</v>
      </c>
      <c r="J103">
        <v>29427496</v>
      </c>
      <c r="K103" s="73">
        <v>44774.415451388886</v>
      </c>
      <c r="L103" t="s">
        <v>747</v>
      </c>
      <c r="M103" t="s">
        <v>88</v>
      </c>
      <c r="N103">
        <v>129.5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508</v>
      </c>
      <c r="T103">
        <v>6</v>
      </c>
      <c r="U103" t="s">
        <v>89</v>
      </c>
      <c r="W103" t="s">
        <v>748</v>
      </c>
    </row>
    <row r="104" spans="1:23" outlineLevel="2" x14ac:dyDescent="0.25">
      <c r="A104" t="s">
        <v>82</v>
      </c>
      <c r="B104" t="s">
        <v>83</v>
      </c>
      <c r="C104">
        <v>30</v>
      </c>
      <c r="D104" t="s">
        <v>84</v>
      </c>
      <c r="E104">
        <v>184</v>
      </c>
      <c r="F104" t="s">
        <v>85</v>
      </c>
      <c r="G104">
        <v>8663</v>
      </c>
      <c r="H104" t="s">
        <v>42</v>
      </c>
      <c r="I104">
        <v>1000008663</v>
      </c>
      <c r="J104">
        <v>29427580</v>
      </c>
      <c r="K104" s="73">
        <v>44774.4219212963</v>
      </c>
      <c r="L104" t="s">
        <v>747</v>
      </c>
      <c r="M104" t="s">
        <v>88</v>
      </c>
      <c r="N104">
        <v>135.5</v>
      </c>
      <c r="O104">
        <v>14.22</v>
      </c>
      <c r="P104">
        <v>2.2799999999999998</v>
      </c>
      <c r="Q104">
        <v>4.2561999999999998</v>
      </c>
      <c r="R104">
        <v>0.68100000000000005</v>
      </c>
      <c r="S104" t="s">
        <v>1136</v>
      </c>
      <c r="T104">
        <v>6</v>
      </c>
      <c r="U104" t="s">
        <v>89</v>
      </c>
      <c r="W104" t="s">
        <v>748</v>
      </c>
    </row>
    <row r="105" spans="1:23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8663</v>
      </c>
      <c r="H105" t="s">
        <v>42</v>
      </c>
      <c r="I105">
        <v>1000008663</v>
      </c>
      <c r="J105">
        <v>29429717</v>
      </c>
      <c r="K105" s="73">
        <v>44774.551898148151</v>
      </c>
      <c r="L105" t="s">
        <v>747</v>
      </c>
      <c r="M105" t="s">
        <v>88</v>
      </c>
      <c r="N105">
        <v>304.5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445</v>
      </c>
      <c r="T105">
        <v>6</v>
      </c>
      <c r="U105" t="s">
        <v>89</v>
      </c>
      <c r="W105" t="s">
        <v>748</v>
      </c>
    </row>
    <row r="106" spans="1:23" outlineLevel="2" x14ac:dyDescent="0.25">
      <c r="A106" s="8" t="s">
        <v>82</v>
      </c>
      <c r="B106" s="8" t="s">
        <v>83</v>
      </c>
      <c r="C106" s="8">
        <v>30</v>
      </c>
      <c r="D106" s="8" t="s">
        <v>84</v>
      </c>
      <c r="E106" s="8">
        <v>184</v>
      </c>
      <c r="F106" s="8" t="s">
        <v>85</v>
      </c>
      <c r="G106" s="8">
        <v>8663</v>
      </c>
      <c r="H106" s="8" t="s">
        <v>42</v>
      </c>
      <c r="I106" s="8">
        <v>1000008663</v>
      </c>
      <c r="J106" s="8">
        <v>29431066</v>
      </c>
      <c r="K106" s="77">
        <v>44774.66741898148</v>
      </c>
      <c r="L106" s="8" t="s">
        <v>747</v>
      </c>
      <c r="M106" s="8" t="s">
        <v>88</v>
      </c>
      <c r="N106" s="8">
        <v>98.5</v>
      </c>
      <c r="O106" s="8">
        <v>14.22</v>
      </c>
      <c r="P106" s="8">
        <v>2.2799999999999998</v>
      </c>
      <c r="Q106" s="8">
        <v>4.2561999999999998</v>
      </c>
      <c r="R106" s="8">
        <v>0.68100000000000005</v>
      </c>
      <c r="S106" s="8" t="s">
        <v>452</v>
      </c>
      <c r="T106" s="8">
        <v>6</v>
      </c>
      <c r="U106" s="8" t="s">
        <v>89</v>
      </c>
      <c r="V106" s="8"/>
      <c r="W106" t="s">
        <v>748</v>
      </c>
    </row>
    <row r="107" spans="1:23" outlineLevel="2" x14ac:dyDescent="0.25">
      <c r="A107" s="8" t="s">
        <v>82</v>
      </c>
      <c r="B107" s="8" t="s">
        <v>83</v>
      </c>
      <c r="C107" s="8">
        <v>30</v>
      </c>
      <c r="D107" s="8" t="s">
        <v>84</v>
      </c>
      <c r="E107" s="8">
        <v>184</v>
      </c>
      <c r="F107" s="8" t="s">
        <v>85</v>
      </c>
      <c r="G107" s="8">
        <v>8663</v>
      </c>
      <c r="H107" s="8" t="s">
        <v>42</v>
      </c>
      <c r="I107" s="8">
        <v>1000008663</v>
      </c>
      <c r="J107" s="8">
        <v>29432115</v>
      </c>
      <c r="K107" s="77">
        <v>44774.765300925923</v>
      </c>
      <c r="L107" s="8" t="s">
        <v>747</v>
      </c>
      <c r="M107" s="8" t="s">
        <v>88</v>
      </c>
      <c r="N107" s="8">
        <v>189.5</v>
      </c>
      <c r="O107" s="8">
        <v>14.22</v>
      </c>
      <c r="P107" s="8">
        <v>2.2799999999999998</v>
      </c>
      <c r="Q107" s="8">
        <v>4.2561999999999998</v>
      </c>
      <c r="R107" s="8">
        <v>0.68100000000000005</v>
      </c>
      <c r="S107" s="8" t="s">
        <v>588</v>
      </c>
      <c r="T107" s="8">
        <v>6</v>
      </c>
      <c r="U107" s="8" t="s">
        <v>89</v>
      </c>
      <c r="V107" s="8"/>
      <c r="W107" t="s">
        <v>748</v>
      </c>
    </row>
    <row r="108" spans="1:23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8663</v>
      </c>
      <c r="H108" t="s">
        <v>42</v>
      </c>
      <c r="I108">
        <v>1000008663</v>
      </c>
      <c r="J108">
        <v>29435011</v>
      </c>
      <c r="K108" s="73">
        <v>44775.445231481484</v>
      </c>
      <c r="L108" t="s">
        <v>747</v>
      </c>
      <c r="M108" t="s">
        <v>88</v>
      </c>
      <c r="N108">
        <v>131.5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600</v>
      </c>
      <c r="T108">
        <v>6</v>
      </c>
      <c r="U108" t="s">
        <v>89</v>
      </c>
      <c r="W108" t="s">
        <v>748</v>
      </c>
    </row>
    <row r="109" spans="1:23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8663</v>
      </c>
      <c r="H109" t="s">
        <v>42</v>
      </c>
      <c r="I109">
        <v>1000008663</v>
      </c>
      <c r="J109">
        <v>29438863</v>
      </c>
      <c r="K109" s="73">
        <v>44775.753923611112</v>
      </c>
      <c r="L109" t="s">
        <v>747</v>
      </c>
      <c r="M109" t="s">
        <v>88</v>
      </c>
      <c r="N109">
        <v>56.5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1140</v>
      </c>
      <c r="T109">
        <v>6</v>
      </c>
      <c r="U109" t="s">
        <v>89</v>
      </c>
      <c r="W109" t="s">
        <v>748</v>
      </c>
    </row>
    <row r="110" spans="1:23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8663</v>
      </c>
      <c r="H110" t="s">
        <v>42</v>
      </c>
      <c r="I110">
        <v>1000008663</v>
      </c>
      <c r="J110">
        <v>29439891</v>
      </c>
      <c r="K110" s="73">
        <v>44775.824178240742</v>
      </c>
      <c r="L110" t="s">
        <v>747</v>
      </c>
      <c r="M110" t="s">
        <v>88</v>
      </c>
      <c r="N110">
        <v>85.5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525</v>
      </c>
      <c r="T110">
        <v>6</v>
      </c>
      <c r="U110" t="s">
        <v>89</v>
      </c>
      <c r="W110" t="s">
        <v>748</v>
      </c>
    </row>
    <row r="111" spans="1:23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8663</v>
      </c>
      <c r="H111" t="s">
        <v>42</v>
      </c>
      <c r="I111">
        <v>1000008663</v>
      </c>
      <c r="J111">
        <v>29439907</v>
      </c>
      <c r="K111" s="73">
        <v>44775.825335648151</v>
      </c>
      <c r="L111" t="s">
        <v>747</v>
      </c>
      <c r="M111" t="s">
        <v>88</v>
      </c>
      <c r="N111">
        <v>45.5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524</v>
      </c>
      <c r="T111">
        <v>6</v>
      </c>
      <c r="U111" t="s">
        <v>89</v>
      </c>
      <c r="W111" t="s">
        <v>748</v>
      </c>
    </row>
    <row r="112" spans="1:23" outlineLevel="2" x14ac:dyDescent="0.25">
      <c r="A112" s="8" t="s">
        <v>82</v>
      </c>
      <c r="B112" s="8" t="s">
        <v>83</v>
      </c>
      <c r="C112" s="8">
        <v>30</v>
      </c>
      <c r="D112" s="8" t="s">
        <v>84</v>
      </c>
      <c r="E112" s="8">
        <v>184</v>
      </c>
      <c r="F112" s="8" t="s">
        <v>85</v>
      </c>
      <c r="G112" s="8">
        <v>8663</v>
      </c>
      <c r="H112" s="8" t="s">
        <v>42</v>
      </c>
      <c r="I112" s="8">
        <v>1000008663</v>
      </c>
      <c r="J112" s="8">
        <v>29442896</v>
      </c>
      <c r="K112" s="77">
        <v>44776.484039351853</v>
      </c>
      <c r="L112" s="8" t="s">
        <v>747</v>
      </c>
      <c r="M112" s="8" t="s">
        <v>88</v>
      </c>
      <c r="N112" s="8">
        <v>165.5</v>
      </c>
      <c r="O112" s="8">
        <v>14.22</v>
      </c>
      <c r="P112" s="8">
        <v>2.2799999999999998</v>
      </c>
      <c r="Q112" s="8">
        <v>4.2561999999999998</v>
      </c>
      <c r="R112" s="8">
        <v>0.68100000000000005</v>
      </c>
      <c r="S112" s="8" t="s">
        <v>674</v>
      </c>
      <c r="T112" s="8">
        <v>6</v>
      </c>
      <c r="U112" s="8" t="s">
        <v>89</v>
      </c>
      <c r="V112" s="8"/>
      <c r="W112" t="s">
        <v>748</v>
      </c>
    </row>
    <row r="113" spans="1:23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8663</v>
      </c>
      <c r="H113" t="s">
        <v>42</v>
      </c>
      <c r="I113">
        <v>1000008663</v>
      </c>
      <c r="J113">
        <v>29443174</v>
      </c>
      <c r="K113" s="73">
        <v>44776.499560185184</v>
      </c>
      <c r="L113" t="s">
        <v>747</v>
      </c>
      <c r="M113" t="s">
        <v>88</v>
      </c>
      <c r="N113">
        <v>189.5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1144</v>
      </c>
      <c r="T113">
        <v>6</v>
      </c>
      <c r="U113" t="s">
        <v>89</v>
      </c>
      <c r="W113" t="s">
        <v>748</v>
      </c>
    </row>
    <row r="114" spans="1:23" outlineLevel="2" x14ac:dyDescent="0.25">
      <c r="A114" s="8" t="s">
        <v>82</v>
      </c>
      <c r="B114" s="8" t="s">
        <v>83</v>
      </c>
      <c r="C114" s="8">
        <v>30</v>
      </c>
      <c r="D114" s="8" t="s">
        <v>84</v>
      </c>
      <c r="E114" s="8">
        <v>184</v>
      </c>
      <c r="F114" s="8" t="s">
        <v>85</v>
      </c>
      <c r="G114" s="8">
        <v>8663</v>
      </c>
      <c r="H114" s="8" t="s">
        <v>42</v>
      </c>
      <c r="I114" s="8">
        <v>1000008663</v>
      </c>
      <c r="J114" s="8">
        <v>29444376</v>
      </c>
      <c r="K114" s="77">
        <v>44776.575868055559</v>
      </c>
      <c r="L114" s="8" t="s">
        <v>746</v>
      </c>
      <c r="M114" s="8" t="s">
        <v>88</v>
      </c>
      <c r="N114" s="8">
        <v>93.5</v>
      </c>
      <c r="O114" s="8">
        <v>14.22</v>
      </c>
      <c r="P114" s="8">
        <v>2.2799999999999998</v>
      </c>
      <c r="Q114" s="8">
        <v>4.2561999999999998</v>
      </c>
      <c r="R114" s="8">
        <v>0.68100000000000005</v>
      </c>
      <c r="S114" s="8" t="s">
        <v>1256</v>
      </c>
      <c r="T114" s="8">
        <v>6</v>
      </c>
      <c r="U114" s="8" t="s">
        <v>89</v>
      </c>
      <c r="V114" s="8"/>
      <c r="W114" t="s">
        <v>748</v>
      </c>
    </row>
    <row r="115" spans="1:23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8663</v>
      </c>
      <c r="H115" t="s">
        <v>42</v>
      </c>
      <c r="I115">
        <v>1000008663</v>
      </c>
      <c r="J115">
        <v>29444875</v>
      </c>
      <c r="K115" s="73">
        <v>44776.61613425926</v>
      </c>
      <c r="L115" t="s">
        <v>747</v>
      </c>
      <c r="M115" t="s">
        <v>88</v>
      </c>
      <c r="N115">
        <v>130.5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1146</v>
      </c>
      <c r="T115">
        <v>6</v>
      </c>
      <c r="U115" t="s">
        <v>89</v>
      </c>
      <c r="W115" t="s">
        <v>748</v>
      </c>
    </row>
    <row r="116" spans="1:23" outlineLevel="2" x14ac:dyDescent="0.25">
      <c r="A116" s="8" t="s">
        <v>82</v>
      </c>
      <c r="B116" s="8" t="s">
        <v>83</v>
      </c>
      <c r="C116" s="8">
        <v>30</v>
      </c>
      <c r="D116" s="8" t="s">
        <v>84</v>
      </c>
      <c r="E116" s="8">
        <v>184</v>
      </c>
      <c r="F116" s="8" t="s">
        <v>85</v>
      </c>
      <c r="G116" s="8">
        <v>8663</v>
      </c>
      <c r="H116" s="8" t="s">
        <v>42</v>
      </c>
      <c r="I116" s="8">
        <v>1000008663</v>
      </c>
      <c r="J116" s="8">
        <v>29448452</v>
      </c>
      <c r="K116" s="77">
        <v>44776.834618055553</v>
      </c>
      <c r="L116" s="8" t="s">
        <v>747</v>
      </c>
      <c r="M116" s="8" t="s">
        <v>88</v>
      </c>
      <c r="N116" s="8">
        <v>44.5</v>
      </c>
      <c r="O116" s="8">
        <v>14.22</v>
      </c>
      <c r="P116" s="8">
        <v>2.2799999999999998</v>
      </c>
      <c r="Q116" s="8">
        <v>4.2561999999999998</v>
      </c>
      <c r="R116" s="8">
        <v>0.68100000000000005</v>
      </c>
      <c r="S116" s="8" t="s">
        <v>1258</v>
      </c>
      <c r="T116" s="8">
        <v>6</v>
      </c>
      <c r="U116" s="8" t="s">
        <v>89</v>
      </c>
      <c r="V116" s="8"/>
    </row>
    <row r="117" spans="1:23" outlineLevel="1" x14ac:dyDescent="0.25">
      <c r="A117" s="8"/>
      <c r="B117" s="8"/>
      <c r="C117" s="8"/>
      <c r="D117" s="8"/>
      <c r="E117" s="8"/>
      <c r="F117" s="8"/>
      <c r="G117" s="8"/>
      <c r="H117" s="10" t="s">
        <v>543</v>
      </c>
      <c r="I117" s="8"/>
      <c r="J117" s="8"/>
      <c r="K117" s="77"/>
      <c r="L117" s="8"/>
      <c r="M117" s="8"/>
      <c r="N117" s="8">
        <f>SUBTOTAL(9,N100:N116)</f>
        <v>3055.5</v>
      </c>
      <c r="O117" s="8"/>
      <c r="P117" s="8"/>
      <c r="Q117" s="8"/>
      <c r="R117" s="8"/>
      <c r="S117" s="8"/>
      <c r="T117" s="8"/>
      <c r="U117" s="8"/>
      <c r="V117" s="8"/>
    </row>
    <row r="118" spans="1:23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8664</v>
      </c>
      <c r="H118" t="s">
        <v>27</v>
      </c>
      <c r="I118">
        <v>1000008664</v>
      </c>
      <c r="J118">
        <v>29426861</v>
      </c>
      <c r="K118" s="73">
        <v>44774.356840277775</v>
      </c>
      <c r="L118" t="s">
        <v>747</v>
      </c>
      <c r="M118" t="s">
        <v>88</v>
      </c>
      <c r="N118">
        <v>55.5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459</v>
      </c>
      <c r="T118">
        <v>6</v>
      </c>
      <c r="U118" t="s">
        <v>89</v>
      </c>
      <c r="W118" t="s">
        <v>748</v>
      </c>
    </row>
    <row r="119" spans="1:23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8664</v>
      </c>
      <c r="H119" t="s">
        <v>27</v>
      </c>
      <c r="I119">
        <v>1000008664</v>
      </c>
      <c r="J119">
        <v>29428337</v>
      </c>
      <c r="K119" s="73">
        <v>44774.467905092592</v>
      </c>
      <c r="L119" t="s">
        <v>747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602</v>
      </c>
      <c r="T119">
        <v>6</v>
      </c>
      <c r="U119" t="s">
        <v>89</v>
      </c>
      <c r="W119" t="s">
        <v>748</v>
      </c>
    </row>
    <row r="120" spans="1:23" outlineLevel="2" x14ac:dyDescent="0.25">
      <c r="A120" t="s">
        <v>82</v>
      </c>
      <c r="B120" t="s">
        <v>83</v>
      </c>
      <c r="C120">
        <v>30</v>
      </c>
      <c r="D120" t="s">
        <v>84</v>
      </c>
      <c r="E120">
        <v>184</v>
      </c>
      <c r="F120" t="s">
        <v>85</v>
      </c>
      <c r="G120">
        <v>8664</v>
      </c>
      <c r="H120" t="s">
        <v>27</v>
      </c>
      <c r="I120">
        <v>1000008664</v>
      </c>
      <c r="J120">
        <v>29429023</v>
      </c>
      <c r="K120" s="73">
        <v>44774.508043981485</v>
      </c>
      <c r="L120" t="s">
        <v>747</v>
      </c>
      <c r="M120" t="s">
        <v>88</v>
      </c>
      <c r="N120">
        <v>239.5</v>
      </c>
      <c r="O120">
        <v>14.22</v>
      </c>
      <c r="P120">
        <v>2.2799999999999998</v>
      </c>
      <c r="Q120">
        <v>4.2561999999999998</v>
      </c>
      <c r="R120">
        <v>0.68100000000000005</v>
      </c>
      <c r="S120" t="s">
        <v>478</v>
      </c>
      <c r="T120">
        <v>6</v>
      </c>
      <c r="U120" t="s">
        <v>89</v>
      </c>
      <c r="W120" t="s">
        <v>748</v>
      </c>
    </row>
    <row r="121" spans="1:23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8664</v>
      </c>
      <c r="H121" t="s">
        <v>27</v>
      </c>
      <c r="I121">
        <v>1000008664</v>
      </c>
      <c r="J121">
        <v>29429043</v>
      </c>
      <c r="K121" s="73">
        <v>44774.509386574071</v>
      </c>
      <c r="L121" t="s">
        <v>747</v>
      </c>
      <c r="M121" t="s">
        <v>88</v>
      </c>
      <c r="N121">
        <v>44.5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479</v>
      </c>
      <c r="T121">
        <v>6</v>
      </c>
      <c r="U121" t="s">
        <v>89</v>
      </c>
      <c r="W121" t="s">
        <v>748</v>
      </c>
    </row>
    <row r="122" spans="1:23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8664</v>
      </c>
      <c r="H122" t="s">
        <v>27</v>
      </c>
      <c r="I122">
        <v>1000008664</v>
      </c>
      <c r="J122">
        <v>29430510</v>
      </c>
      <c r="K122" s="73">
        <v>44774.614317129628</v>
      </c>
      <c r="L122" t="s">
        <v>747</v>
      </c>
      <c r="M122" t="s">
        <v>88</v>
      </c>
      <c r="N122">
        <v>308.5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473</v>
      </c>
      <c r="T122">
        <v>6</v>
      </c>
      <c r="U122" t="s">
        <v>89</v>
      </c>
      <c r="W122" t="s">
        <v>748</v>
      </c>
    </row>
    <row r="123" spans="1:23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8664</v>
      </c>
      <c r="H123" t="s">
        <v>27</v>
      </c>
      <c r="I123">
        <v>1000008664</v>
      </c>
      <c r="J123">
        <v>29432367</v>
      </c>
      <c r="K123" s="73">
        <v>44774.784212962964</v>
      </c>
      <c r="L123" t="s">
        <v>747</v>
      </c>
      <c r="M123" t="s">
        <v>88</v>
      </c>
      <c r="N123">
        <v>51.5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599</v>
      </c>
      <c r="T123">
        <v>6</v>
      </c>
      <c r="U123" t="s">
        <v>89</v>
      </c>
      <c r="W123" t="s">
        <v>748</v>
      </c>
    </row>
    <row r="124" spans="1:23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8664</v>
      </c>
      <c r="H124" t="s">
        <v>27</v>
      </c>
      <c r="I124">
        <v>1000008664</v>
      </c>
      <c r="J124">
        <v>29433128</v>
      </c>
      <c r="K124" s="73">
        <v>44774.841747685183</v>
      </c>
      <c r="L124" t="s">
        <v>747</v>
      </c>
      <c r="M124" t="s">
        <v>88</v>
      </c>
      <c r="N124">
        <v>45.5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485</v>
      </c>
      <c r="T124">
        <v>6</v>
      </c>
      <c r="U124" t="s">
        <v>89</v>
      </c>
      <c r="W124" t="s">
        <v>748</v>
      </c>
    </row>
    <row r="125" spans="1:23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8664</v>
      </c>
      <c r="H125" t="s">
        <v>27</v>
      </c>
      <c r="I125">
        <v>1000008664</v>
      </c>
      <c r="J125">
        <v>29434574</v>
      </c>
      <c r="K125" s="73">
        <v>44775.412719907406</v>
      </c>
      <c r="L125" t="s">
        <v>747</v>
      </c>
      <c r="M125" t="s">
        <v>88</v>
      </c>
      <c r="N125">
        <v>44.5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1155</v>
      </c>
      <c r="T125">
        <v>6</v>
      </c>
      <c r="U125" t="s">
        <v>89</v>
      </c>
      <c r="W125" t="s">
        <v>748</v>
      </c>
    </row>
    <row r="126" spans="1:23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8664</v>
      </c>
      <c r="H126" t="s">
        <v>27</v>
      </c>
      <c r="I126">
        <v>1000008664</v>
      </c>
      <c r="J126">
        <v>29434998</v>
      </c>
      <c r="K126" s="73">
        <v>44775.444201388891</v>
      </c>
      <c r="L126" t="s">
        <v>746</v>
      </c>
      <c r="M126" t="s">
        <v>88</v>
      </c>
      <c r="N126">
        <v>74.5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1157</v>
      </c>
      <c r="T126">
        <v>6</v>
      </c>
      <c r="U126" t="s">
        <v>89</v>
      </c>
      <c r="W126" t="s">
        <v>748</v>
      </c>
    </row>
    <row r="127" spans="1:23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8664</v>
      </c>
      <c r="H127" t="s">
        <v>27</v>
      </c>
      <c r="I127">
        <v>1000008664</v>
      </c>
      <c r="J127">
        <v>29436597</v>
      </c>
      <c r="K127" s="73">
        <v>44775.552511574075</v>
      </c>
      <c r="L127" t="s">
        <v>747</v>
      </c>
      <c r="M127" t="s">
        <v>88</v>
      </c>
      <c r="N127">
        <v>212.5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1159</v>
      </c>
      <c r="T127">
        <v>6</v>
      </c>
      <c r="U127" t="s">
        <v>89</v>
      </c>
      <c r="W127" t="s">
        <v>748</v>
      </c>
    </row>
    <row r="128" spans="1:23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8664</v>
      </c>
      <c r="H128" t="s">
        <v>27</v>
      </c>
      <c r="I128">
        <v>1000008664</v>
      </c>
      <c r="J128">
        <v>29438266</v>
      </c>
      <c r="K128" s="73">
        <v>44775.699594907404</v>
      </c>
      <c r="L128" t="s">
        <v>746</v>
      </c>
      <c r="M128" t="s">
        <v>88</v>
      </c>
      <c r="N128">
        <v>404.5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1161</v>
      </c>
      <c r="T128">
        <v>6</v>
      </c>
      <c r="U128" t="s">
        <v>89</v>
      </c>
      <c r="W128" t="s">
        <v>748</v>
      </c>
    </row>
    <row r="129" spans="1:23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8664</v>
      </c>
      <c r="H129" t="s">
        <v>27</v>
      </c>
      <c r="I129">
        <v>1000008664</v>
      </c>
      <c r="J129">
        <v>29438388</v>
      </c>
      <c r="K129" s="73">
        <v>44775.710312499999</v>
      </c>
      <c r="L129" t="s">
        <v>747</v>
      </c>
      <c r="M129" t="s">
        <v>88</v>
      </c>
      <c r="N129">
        <v>44.5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1163</v>
      </c>
      <c r="T129">
        <v>6</v>
      </c>
      <c r="U129" t="s">
        <v>89</v>
      </c>
    </row>
    <row r="130" spans="1:23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8664</v>
      </c>
      <c r="H130" t="s">
        <v>27</v>
      </c>
      <c r="I130">
        <v>1000008664</v>
      </c>
      <c r="J130">
        <v>29440977</v>
      </c>
      <c r="K130" s="73">
        <v>44776.250231481485</v>
      </c>
      <c r="L130" t="s">
        <v>747</v>
      </c>
      <c r="M130" t="s">
        <v>88</v>
      </c>
      <c r="N130">
        <v>94.5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1165</v>
      </c>
      <c r="T130">
        <v>6</v>
      </c>
      <c r="U130" t="s">
        <v>89</v>
      </c>
      <c r="W130" t="s">
        <v>748</v>
      </c>
    </row>
    <row r="131" spans="1:23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8664</v>
      </c>
      <c r="H131" t="s">
        <v>27</v>
      </c>
      <c r="I131">
        <v>1000008664</v>
      </c>
      <c r="J131">
        <v>29441402</v>
      </c>
      <c r="K131" s="73">
        <v>44776.384444444448</v>
      </c>
      <c r="L131" t="s">
        <v>747</v>
      </c>
      <c r="M131" t="s">
        <v>88</v>
      </c>
      <c r="N131">
        <v>88.5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1167</v>
      </c>
      <c r="T131">
        <v>6</v>
      </c>
      <c r="U131" t="s">
        <v>89</v>
      </c>
      <c r="W131" t="s">
        <v>748</v>
      </c>
    </row>
    <row r="132" spans="1:23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8664</v>
      </c>
      <c r="H132" t="s">
        <v>27</v>
      </c>
      <c r="I132">
        <v>1000008664</v>
      </c>
      <c r="J132">
        <v>29441578</v>
      </c>
      <c r="K132" s="73">
        <v>44776.399641203701</v>
      </c>
      <c r="L132" t="s">
        <v>747</v>
      </c>
      <c r="M132" t="s">
        <v>88</v>
      </c>
      <c r="N132">
        <v>143.5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1169</v>
      </c>
      <c r="T132">
        <v>6</v>
      </c>
      <c r="U132" t="s">
        <v>89</v>
      </c>
      <c r="W132" t="s">
        <v>748</v>
      </c>
    </row>
    <row r="133" spans="1:23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8664</v>
      </c>
      <c r="H133" t="s">
        <v>27</v>
      </c>
      <c r="I133">
        <v>1000008664</v>
      </c>
      <c r="J133">
        <v>29441950</v>
      </c>
      <c r="K133" s="73">
        <v>44776.42728009259</v>
      </c>
      <c r="L133" t="s">
        <v>747</v>
      </c>
      <c r="M133" t="s">
        <v>88</v>
      </c>
      <c r="N133">
        <v>153.5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1171</v>
      </c>
      <c r="T133">
        <v>6</v>
      </c>
      <c r="U133" t="s">
        <v>89</v>
      </c>
      <c r="W133" t="s">
        <v>748</v>
      </c>
    </row>
    <row r="134" spans="1:23" outlineLevel="2" x14ac:dyDescent="0.25">
      <c r="A134" t="s">
        <v>82</v>
      </c>
      <c r="B134" t="s">
        <v>83</v>
      </c>
      <c r="C134">
        <v>30</v>
      </c>
      <c r="D134" t="s">
        <v>84</v>
      </c>
      <c r="E134">
        <v>184</v>
      </c>
      <c r="F134" t="s">
        <v>85</v>
      </c>
      <c r="G134">
        <v>8664</v>
      </c>
      <c r="H134" t="s">
        <v>27</v>
      </c>
      <c r="I134">
        <v>1000008664</v>
      </c>
      <c r="J134">
        <v>29444190</v>
      </c>
      <c r="K134" s="73">
        <v>44776.564837962964</v>
      </c>
      <c r="L134" t="s">
        <v>747</v>
      </c>
      <c r="M134" t="s">
        <v>88</v>
      </c>
      <c r="N134">
        <v>86.5</v>
      </c>
      <c r="O134">
        <v>14.22</v>
      </c>
      <c r="P134">
        <v>2.2799999999999998</v>
      </c>
      <c r="Q134">
        <v>4.2561999999999998</v>
      </c>
      <c r="R134">
        <v>0.68100000000000005</v>
      </c>
      <c r="S134" t="s">
        <v>1173</v>
      </c>
      <c r="T134">
        <v>6</v>
      </c>
      <c r="U134" t="s">
        <v>89</v>
      </c>
      <c r="W134" t="s">
        <v>748</v>
      </c>
    </row>
    <row r="135" spans="1:23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8664</v>
      </c>
      <c r="H135" t="s">
        <v>27</v>
      </c>
      <c r="I135">
        <v>1000008664</v>
      </c>
      <c r="J135">
        <v>29444560</v>
      </c>
      <c r="K135" s="73">
        <v>44776.589375000003</v>
      </c>
      <c r="L135" t="s">
        <v>747</v>
      </c>
      <c r="M135" t="s">
        <v>88</v>
      </c>
      <c r="N135">
        <v>144.5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1175</v>
      </c>
      <c r="T135">
        <v>6</v>
      </c>
      <c r="U135" t="s">
        <v>89</v>
      </c>
      <c r="W135" t="s">
        <v>748</v>
      </c>
    </row>
    <row r="136" spans="1:23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8664</v>
      </c>
      <c r="H136" t="s">
        <v>27</v>
      </c>
      <c r="I136">
        <v>1000008664</v>
      </c>
      <c r="J136">
        <v>29444644</v>
      </c>
      <c r="K136" s="73">
        <v>44776.597997685189</v>
      </c>
      <c r="L136" t="s">
        <v>746</v>
      </c>
      <c r="M136" t="s">
        <v>88</v>
      </c>
      <c r="N136">
        <v>44.5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678</v>
      </c>
      <c r="T136">
        <v>6</v>
      </c>
      <c r="U136" t="s">
        <v>89</v>
      </c>
      <c r="W136" t="s">
        <v>748</v>
      </c>
    </row>
    <row r="137" spans="1:23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8664</v>
      </c>
      <c r="H137" t="s">
        <v>27</v>
      </c>
      <c r="I137">
        <v>1000008664</v>
      </c>
      <c r="J137">
        <v>29444677</v>
      </c>
      <c r="K137" s="73">
        <v>44776.600081018521</v>
      </c>
      <c r="L137" t="s">
        <v>746</v>
      </c>
      <c r="M137" t="s">
        <v>88</v>
      </c>
      <c r="N137">
        <v>299.5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677</v>
      </c>
      <c r="T137">
        <v>6</v>
      </c>
      <c r="U137" t="s">
        <v>89</v>
      </c>
      <c r="W137" t="s">
        <v>748</v>
      </c>
    </row>
    <row r="138" spans="1:23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8664</v>
      </c>
      <c r="H138" t="s">
        <v>27</v>
      </c>
      <c r="I138">
        <v>1000008664</v>
      </c>
      <c r="J138">
        <v>29445351</v>
      </c>
      <c r="K138" s="73">
        <v>44776.654479166667</v>
      </c>
      <c r="L138" t="s">
        <v>747</v>
      </c>
      <c r="M138" t="s">
        <v>88</v>
      </c>
      <c r="N138">
        <v>143.5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603</v>
      </c>
      <c r="T138">
        <v>6</v>
      </c>
      <c r="U138" t="s">
        <v>89</v>
      </c>
      <c r="W138" t="s">
        <v>748</v>
      </c>
    </row>
    <row r="139" spans="1:23" outlineLevel="1" x14ac:dyDescent="0.25">
      <c r="H139" s="9" t="s">
        <v>544</v>
      </c>
      <c r="K139" s="73"/>
      <c r="N139">
        <f>SUBTOTAL(9,N118:N138)</f>
        <v>2840.5</v>
      </c>
    </row>
    <row r="140" spans="1:23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8666</v>
      </c>
      <c r="H140" t="s">
        <v>28</v>
      </c>
      <c r="I140">
        <v>1000008666</v>
      </c>
      <c r="J140">
        <v>29430583</v>
      </c>
      <c r="K140" s="73">
        <v>44774.620451388888</v>
      </c>
      <c r="L140" t="s">
        <v>747</v>
      </c>
      <c r="M140" t="s">
        <v>88</v>
      </c>
      <c r="N140">
        <v>111.5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1180</v>
      </c>
      <c r="T140">
        <v>6</v>
      </c>
      <c r="U140" t="s">
        <v>89</v>
      </c>
      <c r="W140" t="s">
        <v>748</v>
      </c>
    </row>
    <row r="141" spans="1:23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8666</v>
      </c>
      <c r="H141" t="s">
        <v>28</v>
      </c>
      <c r="I141">
        <v>1000008666</v>
      </c>
      <c r="J141">
        <v>29431104</v>
      </c>
      <c r="K141" s="73">
        <v>44774.671249999999</v>
      </c>
      <c r="L141" t="s">
        <v>747</v>
      </c>
      <c r="M141" t="s">
        <v>88</v>
      </c>
      <c r="N141">
        <v>152.5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1182</v>
      </c>
      <c r="T141">
        <v>6</v>
      </c>
      <c r="U141" t="s">
        <v>89</v>
      </c>
      <c r="W141" t="s">
        <v>748</v>
      </c>
    </row>
    <row r="142" spans="1:23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8666</v>
      </c>
      <c r="H142" t="s">
        <v>28</v>
      </c>
      <c r="I142">
        <v>1000008666</v>
      </c>
      <c r="J142">
        <v>29433600</v>
      </c>
      <c r="K142" s="73">
        <v>44774.881377314814</v>
      </c>
      <c r="L142" t="s">
        <v>747</v>
      </c>
      <c r="M142" t="s">
        <v>88</v>
      </c>
      <c r="N142">
        <v>57.5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1184</v>
      </c>
      <c r="T142">
        <v>6</v>
      </c>
      <c r="U142" t="s">
        <v>89</v>
      </c>
      <c r="W142" t="s">
        <v>748</v>
      </c>
    </row>
    <row r="143" spans="1:23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8666</v>
      </c>
      <c r="H143" t="s">
        <v>28</v>
      </c>
      <c r="I143">
        <v>1000008666</v>
      </c>
      <c r="J143">
        <v>29435116</v>
      </c>
      <c r="K143" s="73">
        <v>44775.452569444446</v>
      </c>
      <c r="L143" t="s">
        <v>747</v>
      </c>
      <c r="M143" t="s">
        <v>88</v>
      </c>
      <c r="N143">
        <v>299.5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1186</v>
      </c>
      <c r="T143">
        <v>6</v>
      </c>
      <c r="U143" t="s">
        <v>89</v>
      </c>
      <c r="W143" t="s">
        <v>748</v>
      </c>
    </row>
    <row r="144" spans="1:23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8666</v>
      </c>
      <c r="H144" t="s">
        <v>28</v>
      </c>
      <c r="I144">
        <v>1000008666</v>
      </c>
      <c r="J144">
        <v>29435148</v>
      </c>
      <c r="K144" s="73">
        <v>44775.453958333332</v>
      </c>
      <c r="L144" t="s">
        <v>747</v>
      </c>
      <c r="M144" t="s">
        <v>88</v>
      </c>
      <c r="N144">
        <v>135.5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1188</v>
      </c>
      <c r="T144">
        <v>6</v>
      </c>
      <c r="U144" t="s">
        <v>89</v>
      </c>
      <c r="W144" t="s">
        <v>748</v>
      </c>
    </row>
    <row r="145" spans="1:23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8666</v>
      </c>
      <c r="H145" t="s">
        <v>28</v>
      </c>
      <c r="I145">
        <v>1000008666</v>
      </c>
      <c r="J145">
        <v>29444945</v>
      </c>
      <c r="K145" s="73">
        <v>44776.622824074075</v>
      </c>
      <c r="L145" t="s">
        <v>747</v>
      </c>
      <c r="M145" t="s">
        <v>88</v>
      </c>
      <c r="N145">
        <v>45.5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1190</v>
      </c>
      <c r="T145">
        <v>6</v>
      </c>
      <c r="U145" t="s">
        <v>89</v>
      </c>
      <c r="W145" t="s">
        <v>748</v>
      </c>
    </row>
    <row r="146" spans="1:23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8666</v>
      </c>
      <c r="H146" t="s">
        <v>28</v>
      </c>
      <c r="I146">
        <v>1000008666</v>
      </c>
      <c r="J146">
        <v>29447881</v>
      </c>
      <c r="K146" s="73">
        <v>44776.809513888889</v>
      </c>
      <c r="L146" t="s">
        <v>747</v>
      </c>
      <c r="M146" t="s">
        <v>88</v>
      </c>
      <c r="N146">
        <v>142.5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1192</v>
      </c>
      <c r="T146">
        <v>6</v>
      </c>
      <c r="U146" t="s">
        <v>89</v>
      </c>
      <c r="W146" t="s">
        <v>748</v>
      </c>
    </row>
    <row r="147" spans="1:23" outlineLevel="2" x14ac:dyDescent="0.25">
      <c r="A147" s="8" t="s">
        <v>82</v>
      </c>
      <c r="B147" s="8" t="s">
        <v>83</v>
      </c>
      <c r="C147" s="8">
        <v>30</v>
      </c>
      <c r="D147" s="8" t="s">
        <v>84</v>
      </c>
      <c r="E147" s="8">
        <v>184</v>
      </c>
      <c r="F147" s="8" t="s">
        <v>85</v>
      </c>
      <c r="G147" s="8">
        <v>8666</v>
      </c>
      <c r="H147" s="8" t="s">
        <v>28</v>
      </c>
      <c r="I147" s="8">
        <v>1000008666</v>
      </c>
      <c r="J147" s="8">
        <v>29449320</v>
      </c>
      <c r="K147" s="77">
        <v>44776.882719907408</v>
      </c>
      <c r="L147" s="8" t="s">
        <v>747</v>
      </c>
      <c r="M147" s="8" t="s">
        <v>88</v>
      </c>
      <c r="N147" s="8">
        <v>100.5</v>
      </c>
      <c r="O147" s="8">
        <v>14.22</v>
      </c>
      <c r="P147" s="8">
        <v>2.2799999999999998</v>
      </c>
      <c r="Q147" s="8">
        <v>4.2561999999999998</v>
      </c>
      <c r="R147" s="8">
        <v>0.68100000000000005</v>
      </c>
      <c r="S147" s="8" t="s">
        <v>1260</v>
      </c>
      <c r="T147" s="8">
        <v>6</v>
      </c>
      <c r="U147" s="8" t="s">
        <v>89</v>
      </c>
      <c r="V147" s="8"/>
      <c r="W147" t="s">
        <v>748</v>
      </c>
    </row>
    <row r="148" spans="1:23" outlineLevel="1" x14ac:dyDescent="0.25">
      <c r="A148" s="8"/>
      <c r="B148" s="8"/>
      <c r="C148" s="8"/>
      <c r="D148" s="8"/>
      <c r="E148" s="8"/>
      <c r="F148" s="8"/>
      <c r="G148" s="8"/>
      <c r="H148" s="10" t="s">
        <v>687</v>
      </c>
      <c r="I148" s="8"/>
      <c r="J148" s="8"/>
      <c r="K148" s="77"/>
      <c r="L148" s="8"/>
      <c r="M148" s="8"/>
      <c r="N148" s="8">
        <f>SUBTOTAL(9,N140:N147)</f>
        <v>1045</v>
      </c>
      <c r="O148" s="8"/>
      <c r="P148" s="8"/>
      <c r="Q148" s="8"/>
      <c r="R148" s="8"/>
      <c r="S148" s="8"/>
      <c r="T148" s="8"/>
      <c r="U148" s="8"/>
      <c r="V148" s="8"/>
    </row>
    <row r="149" spans="1:23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8673</v>
      </c>
      <c r="H149" t="s">
        <v>51</v>
      </c>
      <c r="I149">
        <v>1000008673</v>
      </c>
      <c r="J149">
        <v>29429686</v>
      </c>
      <c r="K149" s="73">
        <v>44774.550069444442</v>
      </c>
      <c r="L149" t="s">
        <v>747</v>
      </c>
      <c r="M149" t="s">
        <v>88</v>
      </c>
      <c r="N149">
        <v>74.5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1194</v>
      </c>
      <c r="T149">
        <v>6</v>
      </c>
      <c r="U149" t="s">
        <v>89</v>
      </c>
      <c r="W149" t="s">
        <v>748</v>
      </c>
    </row>
    <row r="150" spans="1:23" outlineLevel="2" x14ac:dyDescent="0.25">
      <c r="A150" t="s">
        <v>82</v>
      </c>
      <c r="B150" t="s">
        <v>83</v>
      </c>
      <c r="C150">
        <v>30</v>
      </c>
      <c r="D150" t="s">
        <v>84</v>
      </c>
      <c r="E150">
        <v>184</v>
      </c>
      <c r="F150" t="s">
        <v>85</v>
      </c>
      <c r="G150">
        <v>8673</v>
      </c>
      <c r="H150" t="s">
        <v>51</v>
      </c>
      <c r="I150">
        <v>1000008673</v>
      </c>
      <c r="J150">
        <v>29432426</v>
      </c>
      <c r="K150" s="73">
        <v>44774.788263888891</v>
      </c>
      <c r="L150" t="s">
        <v>746</v>
      </c>
      <c r="M150" t="s">
        <v>88</v>
      </c>
      <c r="N150">
        <v>102.5</v>
      </c>
      <c r="O150">
        <v>14.22</v>
      </c>
      <c r="P150">
        <v>2.2799999999999998</v>
      </c>
      <c r="Q150">
        <v>4.2561999999999998</v>
      </c>
      <c r="R150">
        <v>0.68100000000000005</v>
      </c>
      <c r="S150" t="s">
        <v>604</v>
      </c>
      <c r="T150">
        <v>6</v>
      </c>
      <c r="U150" t="s">
        <v>89</v>
      </c>
      <c r="W150" t="s">
        <v>748</v>
      </c>
    </row>
    <row r="151" spans="1:23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8673</v>
      </c>
      <c r="H151" t="s">
        <v>51</v>
      </c>
      <c r="I151">
        <v>1000008673</v>
      </c>
      <c r="J151">
        <v>29441005</v>
      </c>
      <c r="K151" s="73">
        <v>44776.310428240744</v>
      </c>
      <c r="L151" t="s">
        <v>747</v>
      </c>
      <c r="M151" t="s">
        <v>88</v>
      </c>
      <c r="N151">
        <v>44.5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1197</v>
      </c>
      <c r="T151">
        <v>6</v>
      </c>
      <c r="U151" t="s">
        <v>89</v>
      </c>
      <c r="W151" t="s">
        <v>748</v>
      </c>
    </row>
    <row r="152" spans="1:23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8673</v>
      </c>
      <c r="H152" t="s">
        <v>51</v>
      </c>
      <c r="I152">
        <v>1000008673</v>
      </c>
      <c r="J152">
        <v>29441988</v>
      </c>
      <c r="K152" s="73">
        <v>44776.429513888892</v>
      </c>
      <c r="L152" t="s">
        <v>747</v>
      </c>
      <c r="M152" t="s">
        <v>88</v>
      </c>
      <c r="N152">
        <v>94.5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1199</v>
      </c>
      <c r="T152">
        <v>6</v>
      </c>
      <c r="U152" t="s">
        <v>89</v>
      </c>
      <c r="W152" t="s">
        <v>748</v>
      </c>
    </row>
    <row r="153" spans="1:23" outlineLevel="1" x14ac:dyDescent="0.25">
      <c r="H153" s="9" t="s">
        <v>547</v>
      </c>
      <c r="K153" s="73"/>
      <c r="N153">
        <f>SUBTOTAL(9,N149:N152)</f>
        <v>316</v>
      </c>
    </row>
    <row r="154" spans="1:23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8676</v>
      </c>
      <c r="H154" t="s">
        <v>54</v>
      </c>
      <c r="I154">
        <v>1000008676</v>
      </c>
      <c r="J154">
        <v>29434590</v>
      </c>
      <c r="K154" s="73">
        <v>44775.413506944446</v>
      </c>
      <c r="L154" t="s">
        <v>747</v>
      </c>
      <c r="M154" t="s">
        <v>88</v>
      </c>
      <c r="N154">
        <v>147.5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1201</v>
      </c>
      <c r="T154">
        <v>6</v>
      </c>
      <c r="U154" t="s">
        <v>89</v>
      </c>
      <c r="W154" t="s">
        <v>748</v>
      </c>
    </row>
    <row r="155" spans="1:23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8676</v>
      </c>
      <c r="H155" t="s">
        <v>54</v>
      </c>
      <c r="I155">
        <v>1000008676</v>
      </c>
      <c r="J155">
        <v>29435860</v>
      </c>
      <c r="K155" s="73">
        <v>44775.50037037037</v>
      </c>
      <c r="L155" t="s">
        <v>747</v>
      </c>
      <c r="M155" t="s">
        <v>88</v>
      </c>
      <c r="N155">
        <v>106.5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660</v>
      </c>
      <c r="T155">
        <v>6</v>
      </c>
      <c r="U155" t="s">
        <v>89</v>
      </c>
      <c r="W155" t="s">
        <v>748</v>
      </c>
    </row>
    <row r="156" spans="1:23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8676</v>
      </c>
      <c r="H156" t="s">
        <v>54</v>
      </c>
      <c r="I156">
        <v>1000008676</v>
      </c>
      <c r="J156">
        <v>29448858</v>
      </c>
      <c r="K156" s="73">
        <v>44776.855011574073</v>
      </c>
      <c r="L156" t="s">
        <v>747</v>
      </c>
      <c r="M156" t="s">
        <v>88</v>
      </c>
      <c r="N156">
        <v>98.5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1203</v>
      </c>
      <c r="T156">
        <v>6</v>
      </c>
      <c r="U156" t="s">
        <v>89</v>
      </c>
    </row>
    <row r="157" spans="1:23" outlineLevel="1" x14ac:dyDescent="0.25">
      <c r="H157" s="9" t="s">
        <v>548</v>
      </c>
      <c r="K157" s="73"/>
      <c r="N157">
        <f>SUBTOTAL(9,N154:N156)</f>
        <v>352.5</v>
      </c>
    </row>
    <row r="158" spans="1:23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9566</v>
      </c>
      <c r="H158" t="s">
        <v>55</v>
      </c>
      <c r="I158">
        <v>1000009566</v>
      </c>
      <c r="J158">
        <v>29429212</v>
      </c>
      <c r="K158" s="73">
        <v>44774.520312499997</v>
      </c>
      <c r="L158" t="s">
        <v>747</v>
      </c>
      <c r="M158" t="s">
        <v>88</v>
      </c>
      <c r="N158">
        <v>163.5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1205</v>
      </c>
      <c r="T158">
        <v>6</v>
      </c>
      <c r="U158" t="s">
        <v>89</v>
      </c>
      <c r="W158" t="s">
        <v>748</v>
      </c>
    </row>
    <row r="159" spans="1:23" outlineLevel="2" x14ac:dyDescent="0.25">
      <c r="A159" s="8" t="s">
        <v>82</v>
      </c>
      <c r="B159" s="8" t="s">
        <v>83</v>
      </c>
      <c r="C159" s="8">
        <v>30</v>
      </c>
      <c r="D159" s="8" t="s">
        <v>84</v>
      </c>
      <c r="E159" s="8">
        <v>184</v>
      </c>
      <c r="F159" s="8" t="s">
        <v>85</v>
      </c>
      <c r="G159" s="8">
        <v>9566</v>
      </c>
      <c r="H159" s="8" t="s">
        <v>55</v>
      </c>
      <c r="I159" s="8">
        <v>1000009566</v>
      </c>
      <c r="J159" s="8">
        <v>29429311</v>
      </c>
      <c r="K159" s="77">
        <v>44774.526134259257</v>
      </c>
      <c r="L159" s="8" t="s">
        <v>747</v>
      </c>
      <c r="M159" s="8" t="s">
        <v>88</v>
      </c>
      <c r="N159" s="8">
        <v>45.5</v>
      </c>
      <c r="O159" s="8">
        <v>14.22</v>
      </c>
      <c r="P159" s="8">
        <v>2.2799999999999998</v>
      </c>
      <c r="Q159" s="8">
        <v>4.2561999999999998</v>
      </c>
      <c r="R159" s="8">
        <v>0.68100000000000005</v>
      </c>
      <c r="S159" s="8" t="s">
        <v>516</v>
      </c>
      <c r="T159" s="8">
        <v>6</v>
      </c>
      <c r="U159" s="8" t="s">
        <v>89</v>
      </c>
      <c r="V159" s="8"/>
      <c r="W159" t="s">
        <v>748</v>
      </c>
    </row>
    <row r="160" spans="1:23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9566</v>
      </c>
      <c r="H160" t="s">
        <v>55</v>
      </c>
      <c r="I160">
        <v>1000009566</v>
      </c>
      <c r="J160">
        <v>29430845</v>
      </c>
      <c r="K160" s="73">
        <v>44774.645277777781</v>
      </c>
      <c r="L160" t="s">
        <v>746</v>
      </c>
      <c r="M160" t="s">
        <v>88</v>
      </c>
      <c r="N160">
        <v>79.5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1207</v>
      </c>
      <c r="T160">
        <v>6</v>
      </c>
      <c r="U160" t="s">
        <v>89</v>
      </c>
      <c r="W160" t="s">
        <v>748</v>
      </c>
    </row>
    <row r="161" spans="1:23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9566</v>
      </c>
      <c r="H161" t="s">
        <v>55</v>
      </c>
      <c r="I161">
        <v>1000009566</v>
      </c>
      <c r="J161">
        <v>29432543</v>
      </c>
      <c r="K161" s="73">
        <v>44774.796793981484</v>
      </c>
      <c r="L161" t="s">
        <v>747</v>
      </c>
      <c r="M161" t="s">
        <v>88</v>
      </c>
      <c r="N161">
        <v>99.5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1209</v>
      </c>
      <c r="T161">
        <v>6</v>
      </c>
      <c r="U161" t="s">
        <v>89</v>
      </c>
      <c r="W161" t="s">
        <v>748</v>
      </c>
    </row>
    <row r="162" spans="1:23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9566</v>
      </c>
      <c r="H162" t="s">
        <v>55</v>
      </c>
      <c r="I162">
        <v>1000009566</v>
      </c>
      <c r="J162">
        <v>29433219</v>
      </c>
      <c r="K162" s="73">
        <v>44774.848530092589</v>
      </c>
      <c r="L162" t="s">
        <v>747</v>
      </c>
      <c r="M162" t="s">
        <v>88</v>
      </c>
      <c r="N162">
        <v>143.5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450</v>
      </c>
      <c r="T162">
        <v>6</v>
      </c>
      <c r="U162" t="s">
        <v>89</v>
      </c>
      <c r="W162" t="s">
        <v>748</v>
      </c>
    </row>
    <row r="163" spans="1:23" outlineLevel="2" x14ac:dyDescent="0.25">
      <c r="A163" s="8" t="s">
        <v>82</v>
      </c>
      <c r="B163" s="8" t="s">
        <v>83</v>
      </c>
      <c r="C163" s="8">
        <v>30</v>
      </c>
      <c r="D163" s="8" t="s">
        <v>84</v>
      </c>
      <c r="E163" s="8">
        <v>184</v>
      </c>
      <c r="F163" s="8" t="s">
        <v>85</v>
      </c>
      <c r="G163" s="8">
        <v>9566</v>
      </c>
      <c r="H163" s="8" t="s">
        <v>55</v>
      </c>
      <c r="I163" s="8">
        <v>1000009566</v>
      </c>
      <c r="J163" s="8">
        <v>29437390</v>
      </c>
      <c r="K163" s="77">
        <v>44775.617650462962</v>
      </c>
      <c r="L163" s="8" t="s">
        <v>747</v>
      </c>
      <c r="M163" s="8" t="s">
        <v>88</v>
      </c>
      <c r="N163" s="8">
        <v>117.5</v>
      </c>
      <c r="O163" s="8">
        <v>14.22</v>
      </c>
      <c r="P163" s="8">
        <v>2.2799999999999998</v>
      </c>
      <c r="Q163" s="8">
        <v>4.2561999999999998</v>
      </c>
      <c r="R163" s="8">
        <v>0.68100000000000005</v>
      </c>
      <c r="S163" s="8" t="s">
        <v>1263</v>
      </c>
      <c r="T163" s="8">
        <v>6</v>
      </c>
      <c r="U163" s="8" t="s">
        <v>89</v>
      </c>
      <c r="V163" s="8"/>
      <c r="W163" t="s">
        <v>748</v>
      </c>
    </row>
    <row r="164" spans="1:23" outlineLevel="2" x14ac:dyDescent="0.25">
      <c r="A164" t="s">
        <v>82</v>
      </c>
      <c r="B164" t="s">
        <v>83</v>
      </c>
      <c r="C164">
        <v>30</v>
      </c>
      <c r="D164" t="s">
        <v>84</v>
      </c>
      <c r="E164">
        <v>184</v>
      </c>
      <c r="F164" t="s">
        <v>85</v>
      </c>
      <c r="G164">
        <v>9566</v>
      </c>
      <c r="H164" t="s">
        <v>55</v>
      </c>
      <c r="I164">
        <v>1000009566</v>
      </c>
      <c r="J164">
        <v>29437644</v>
      </c>
      <c r="K164" s="73">
        <v>44775.642175925925</v>
      </c>
      <c r="L164" t="s">
        <v>746</v>
      </c>
      <c r="M164" t="s">
        <v>88</v>
      </c>
      <c r="N164">
        <v>628.5</v>
      </c>
      <c r="O164">
        <v>14.22</v>
      </c>
      <c r="P164">
        <v>2.2799999999999998</v>
      </c>
      <c r="Q164">
        <v>4.2561999999999998</v>
      </c>
      <c r="R164">
        <v>0.68100000000000005</v>
      </c>
      <c r="S164" t="s">
        <v>1212</v>
      </c>
      <c r="T164">
        <v>6</v>
      </c>
      <c r="U164" t="s">
        <v>89</v>
      </c>
      <c r="W164" t="s">
        <v>748</v>
      </c>
    </row>
    <row r="165" spans="1:23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9566</v>
      </c>
      <c r="H165" t="s">
        <v>55</v>
      </c>
      <c r="I165">
        <v>1000009566</v>
      </c>
      <c r="J165">
        <v>29439389</v>
      </c>
      <c r="K165" s="73">
        <v>44775.790891203702</v>
      </c>
      <c r="L165" t="s">
        <v>747</v>
      </c>
      <c r="M165" t="s">
        <v>88</v>
      </c>
      <c r="N165">
        <v>58.5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451</v>
      </c>
      <c r="T165">
        <v>6</v>
      </c>
      <c r="U165" t="s">
        <v>89</v>
      </c>
      <c r="W165" t="s">
        <v>748</v>
      </c>
    </row>
    <row r="166" spans="1:23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9566</v>
      </c>
      <c r="H166" t="s">
        <v>55</v>
      </c>
      <c r="I166">
        <v>1000009566</v>
      </c>
      <c r="J166">
        <v>29441051</v>
      </c>
      <c r="K166" s="73">
        <v>44776.32739583333</v>
      </c>
      <c r="L166" t="s">
        <v>747</v>
      </c>
      <c r="M166" t="s">
        <v>88</v>
      </c>
      <c r="N166">
        <v>116.5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1215</v>
      </c>
      <c r="T166">
        <v>6</v>
      </c>
      <c r="U166" t="s">
        <v>89</v>
      </c>
      <c r="W166" t="s">
        <v>748</v>
      </c>
    </row>
    <row r="167" spans="1:23" outlineLevel="2" x14ac:dyDescent="0.25">
      <c r="A167" t="s">
        <v>82</v>
      </c>
      <c r="B167" t="s">
        <v>83</v>
      </c>
      <c r="C167">
        <v>30</v>
      </c>
      <c r="D167" t="s">
        <v>84</v>
      </c>
      <c r="E167">
        <v>184</v>
      </c>
      <c r="F167" t="s">
        <v>85</v>
      </c>
      <c r="G167">
        <v>9566</v>
      </c>
      <c r="H167" t="s">
        <v>55</v>
      </c>
      <c r="I167">
        <v>1000009566</v>
      </c>
      <c r="J167">
        <v>29441073</v>
      </c>
      <c r="K167" s="73">
        <v>44776.336064814815</v>
      </c>
      <c r="L167" t="s">
        <v>747</v>
      </c>
      <c r="M167" t="s">
        <v>88</v>
      </c>
      <c r="N167">
        <v>156.5</v>
      </c>
      <c r="O167">
        <v>14.22</v>
      </c>
      <c r="P167">
        <v>2.2799999999999998</v>
      </c>
      <c r="Q167">
        <v>4.2561999999999998</v>
      </c>
      <c r="R167">
        <v>0.68100000000000005</v>
      </c>
      <c r="S167" t="s">
        <v>1217</v>
      </c>
      <c r="T167">
        <v>6</v>
      </c>
      <c r="U167" t="s">
        <v>89</v>
      </c>
      <c r="W167" t="s">
        <v>748</v>
      </c>
    </row>
    <row r="168" spans="1:23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9566</v>
      </c>
      <c r="H168" t="s">
        <v>55</v>
      </c>
      <c r="I168">
        <v>1000009566</v>
      </c>
      <c r="J168">
        <v>29442185</v>
      </c>
      <c r="K168" s="73">
        <v>44776.442499999997</v>
      </c>
      <c r="L168" t="s">
        <v>747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1219</v>
      </c>
      <c r="T168">
        <v>6</v>
      </c>
      <c r="U168" t="s">
        <v>89</v>
      </c>
      <c r="W168" t="s">
        <v>748</v>
      </c>
    </row>
    <row r="169" spans="1:23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9566</v>
      </c>
      <c r="H169" t="s">
        <v>55</v>
      </c>
      <c r="I169">
        <v>1000009566</v>
      </c>
      <c r="J169">
        <v>29442915</v>
      </c>
      <c r="K169" s="73">
        <v>44776.485127314816</v>
      </c>
      <c r="L169" t="s">
        <v>747</v>
      </c>
      <c r="M169" t="s">
        <v>88</v>
      </c>
      <c r="N169">
        <v>356.5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1221</v>
      </c>
      <c r="T169">
        <v>6</v>
      </c>
      <c r="U169" t="s">
        <v>89</v>
      </c>
      <c r="W169" t="s">
        <v>748</v>
      </c>
    </row>
    <row r="170" spans="1:23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9566</v>
      </c>
      <c r="H170" t="s">
        <v>55</v>
      </c>
      <c r="I170">
        <v>1000009566</v>
      </c>
      <c r="J170">
        <v>29443065</v>
      </c>
      <c r="K170" s="73">
        <v>44776.493032407408</v>
      </c>
      <c r="L170" t="s">
        <v>746</v>
      </c>
      <c r="M170" t="s">
        <v>88</v>
      </c>
      <c r="N170">
        <v>159.5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1223</v>
      </c>
      <c r="T170">
        <v>6</v>
      </c>
      <c r="U170" t="s">
        <v>89</v>
      </c>
      <c r="W170" t="s">
        <v>748</v>
      </c>
    </row>
    <row r="171" spans="1:23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9566</v>
      </c>
      <c r="H171" t="s">
        <v>55</v>
      </c>
      <c r="I171">
        <v>1000009566</v>
      </c>
      <c r="J171">
        <v>29444799</v>
      </c>
      <c r="K171" s="73">
        <v>44776.609710648147</v>
      </c>
      <c r="L171" t="s">
        <v>747</v>
      </c>
      <c r="M171" t="s">
        <v>88</v>
      </c>
      <c r="N171">
        <v>105.5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1225</v>
      </c>
      <c r="T171">
        <v>6</v>
      </c>
      <c r="U171" t="s">
        <v>89</v>
      </c>
      <c r="W171" t="s">
        <v>748</v>
      </c>
    </row>
    <row r="172" spans="1:23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9566</v>
      </c>
      <c r="H172" t="s">
        <v>55</v>
      </c>
      <c r="I172">
        <v>1000009566</v>
      </c>
      <c r="J172">
        <v>29444991</v>
      </c>
      <c r="K172" s="73">
        <v>44776.626458333332</v>
      </c>
      <c r="L172" t="s">
        <v>747</v>
      </c>
      <c r="M172" t="s">
        <v>88</v>
      </c>
      <c r="N172">
        <v>161.5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682</v>
      </c>
      <c r="T172">
        <v>6</v>
      </c>
      <c r="U172" t="s">
        <v>89</v>
      </c>
      <c r="W172" t="s">
        <v>748</v>
      </c>
    </row>
    <row r="173" spans="1:23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9566</v>
      </c>
      <c r="H173" t="s">
        <v>55</v>
      </c>
      <c r="I173">
        <v>1000009566</v>
      </c>
      <c r="J173">
        <v>29445162</v>
      </c>
      <c r="K173" s="73">
        <v>44776.640057870369</v>
      </c>
      <c r="L173" t="s">
        <v>746</v>
      </c>
      <c r="M173" t="s">
        <v>88</v>
      </c>
      <c r="N173">
        <v>113.5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601</v>
      </c>
      <c r="T173">
        <v>6</v>
      </c>
      <c r="U173" t="s">
        <v>89</v>
      </c>
      <c r="W173" t="s">
        <v>748</v>
      </c>
    </row>
    <row r="174" spans="1:23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9566</v>
      </c>
      <c r="H174" t="s">
        <v>55</v>
      </c>
      <c r="I174">
        <v>1000009566</v>
      </c>
      <c r="J174">
        <v>29447006</v>
      </c>
      <c r="K174" s="73">
        <v>44776.769525462965</v>
      </c>
      <c r="L174" t="s">
        <v>747</v>
      </c>
      <c r="M174" t="s">
        <v>88</v>
      </c>
      <c r="N174">
        <v>1194.5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1229</v>
      </c>
      <c r="T174">
        <v>6</v>
      </c>
      <c r="U174" t="s">
        <v>89</v>
      </c>
      <c r="W174" t="s">
        <v>748</v>
      </c>
    </row>
    <row r="175" spans="1:23" outlineLevel="1" x14ac:dyDescent="0.25">
      <c r="H175" s="9" t="s">
        <v>549</v>
      </c>
      <c r="K175" s="73"/>
      <c r="N175">
        <f>SUBTOTAL(9,N158:N174)</f>
        <v>3789.5</v>
      </c>
    </row>
    <row r="176" spans="1:23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8679</v>
      </c>
      <c r="H176" t="s">
        <v>60</v>
      </c>
      <c r="I176">
        <v>1000008679</v>
      </c>
      <c r="J176">
        <v>29426758</v>
      </c>
      <c r="K176" s="73">
        <v>44774.339629629627</v>
      </c>
      <c r="L176" t="s">
        <v>746</v>
      </c>
      <c r="M176" t="s">
        <v>88</v>
      </c>
      <c r="N176">
        <v>72.5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1231</v>
      </c>
      <c r="T176">
        <v>6</v>
      </c>
      <c r="U176" t="s">
        <v>89</v>
      </c>
      <c r="W176" t="s">
        <v>748</v>
      </c>
    </row>
    <row r="177" spans="1:23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8679</v>
      </c>
      <c r="H177" t="s">
        <v>60</v>
      </c>
      <c r="I177">
        <v>1000008679</v>
      </c>
      <c r="J177">
        <v>29431945</v>
      </c>
      <c r="K177" s="73">
        <v>44774.752164351848</v>
      </c>
      <c r="L177" t="s">
        <v>747</v>
      </c>
      <c r="M177" t="s">
        <v>88</v>
      </c>
      <c r="N177">
        <v>440.5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1233</v>
      </c>
      <c r="T177">
        <v>6</v>
      </c>
      <c r="U177" t="s">
        <v>89</v>
      </c>
      <c r="W177" t="s">
        <v>748</v>
      </c>
    </row>
    <row r="178" spans="1:23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8679</v>
      </c>
      <c r="H178" t="s">
        <v>60</v>
      </c>
      <c r="I178">
        <v>1000008679</v>
      </c>
      <c r="J178">
        <v>29443933</v>
      </c>
      <c r="K178" s="73">
        <v>44776.547337962962</v>
      </c>
      <c r="L178" t="s">
        <v>747</v>
      </c>
      <c r="M178" t="s">
        <v>88</v>
      </c>
      <c r="N178">
        <v>180.5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1235</v>
      </c>
      <c r="T178">
        <v>6</v>
      </c>
      <c r="U178" t="s">
        <v>89</v>
      </c>
      <c r="W178" t="s">
        <v>748</v>
      </c>
    </row>
    <row r="179" spans="1:23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8679</v>
      </c>
      <c r="H179" t="s">
        <v>60</v>
      </c>
      <c r="I179">
        <v>1000008679</v>
      </c>
      <c r="J179">
        <v>29444863</v>
      </c>
      <c r="K179" s="73">
        <v>44776.615243055552</v>
      </c>
      <c r="L179" t="s">
        <v>746</v>
      </c>
      <c r="M179" t="s">
        <v>88</v>
      </c>
      <c r="N179">
        <v>74.5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1237</v>
      </c>
      <c r="T179">
        <v>6</v>
      </c>
      <c r="U179" t="s">
        <v>89</v>
      </c>
      <c r="W179" t="s">
        <v>748</v>
      </c>
    </row>
    <row r="180" spans="1:23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8679</v>
      </c>
      <c r="H180" t="s">
        <v>60</v>
      </c>
      <c r="I180">
        <v>1000008679</v>
      </c>
      <c r="J180">
        <v>29447606</v>
      </c>
      <c r="K180" s="73">
        <v>44776.797905092593</v>
      </c>
      <c r="L180" t="s">
        <v>747</v>
      </c>
      <c r="M180" t="s">
        <v>88</v>
      </c>
      <c r="N180">
        <v>177.5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649</v>
      </c>
      <c r="T180">
        <v>6</v>
      </c>
      <c r="U180" t="s">
        <v>89</v>
      </c>
      <c r="W180" t="s">
        <v>748</v>
      </c>
    </row>
    <row r="181" spans="1:23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8679</v>
      </c>
      <c r="H181" t="s">
        <v>60</v>
      </c>
      <c r="I181">
        <v>1000008679</v>
      </c>
      <c r="J181">
        <v>29447630</v>
      </c>
      <c r="K181" s="73">
        <v>44776.798946759256</v>
      </c>
      <c r="L181" t="s">
        <v>747</v>
      </c>
      <c r="M181" t="s">
        <v>88</v>
      </c>
      <c r="N181">
        <v>44.5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648</v>
      </c>
      <c r="T181">
        <v>6</v>
      </c>
      <c r="U181" t="s">
        <v>89</v>
      </c>
      <c r="W181" t="s">
        <v>748</v>
      </c>
    </row>
    <row r="182" spans="1:23" outlineLevel="1" x14ac:dyDescent="0.25">
      <c r="H182" s="9" t="s">
        <v>550</v>
      </c>
      <c r="K182" s="73"/>
      <c r="N182">
        <f>SUBTOTAL(9,N176:N181)</f>
        <v>990</v>
      </c>
    </row>
    <row r="183" spans="1:23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8681</v>
      </c>
      <c r="H183" t="s">
        <v>41</v>
      </c>
      <c r="I183">
        <v>1000008681</v>
      </c>
      <c r="J183">
        <v>29448226</v>
      </c>
      <c r="K183" s="73">
        <v>44776.825416666667</v>
      </c>
      <c r="L183" t="s">
        <v>747</v>
      </c>
      <c r="M183" t="s">
        <v>88</v>
      </c>
      <c r="N183">
        <v>97.5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1241</v>
      </c>
      <c r="T183">
        <v>6</v>
      </c>
      <c r="U183" t="s">
        <v>89</v>
      </c>
      <c r="W183" t="s">
        <v>748</v>
      </c>
    </row>
    <row r="184" spans="1:23" outlineLevel="1" x14ac:dyDescent="0.25">
      <c r="H184" s="9" t="s">
        <v>688</v>
      </c>
      <c r="K184" s="73"/>
      <c r="N184">
        <f>SUBTOTAL(9,N183:N183)</f>
        <v>97.5</v>
      </c>
    </row>
    <row r="185" spans="1:23" outlineLevel="2" x14ac:dyDescent="0.25">
      <c r="A185" s="8" t="s">
        <v>82</v>
      </c>
      <c r="B185" s="8" t="s">
        <v>83</v>
      </c>
      <c r="C185" s="8">
        <v>30</v>
      </c>
      <c r="D185" s="8" t="s">
        <v>84</v>
      </c>
      <c r="E185" s="8">
        <v>184</v>
      </c>
      <c r="F185" s="8" t="s">
        <v>85</v>
      </c>
      <c r="G185" s="8">
        <v>9216</v>
      </c>
      <c r="H185" s="8" t="s">
        <v>43</v>
      </c>
      <c r="I185" s="8">
        <v>1000009216</v>
      </c>
      <c r="J185" s="8">
        <v>29432808</v>
      </c>
      <c r="K185" s="77">
        <v>44774.816701388889</v>
      </c>
      <c r="L185" s="8" t="s">
        <v>747</v>
      </c>
      <c r="M185" s="8" t="s">
        <v>88</v>
      </c>
      <c r="N185" s="8">
        <v>137.5</v>
      </c>
      <c r="O185" s="8">
        <v>14.22</v>
      </c>
      <c r="P185" s="8">
        <v>2.2799999999999998</v>
      </c>
      <c r="Q185" s="8">
        <v>4.2561999999999998</v>
      </c>
      <c r="R185" s="8">
        <v>0.68100000000000005</v>
      </c>
      <c r="S185" s="8" t="s">
        <v>1265</v>
      </c>
      <c r="T185" s="8">
        <v>6</v>
      </c>
      <c r="U185" s="8" t="s">
        <v>89</v>
      </c>
      <c r="V185" s="8"/>
    </row>
    <row r="186" spans="1:23" outlineLevel="1" x14ac:dyDescent="0.25">
      <c r="A186" s="8"/>
      <c r="B186" s="8"/>
      <c r="C186" s="8"/>
      <c r="D186" s="8"/>
      <c r="E186" s="8"/>
      <c r="F186" s="8"/>
      <c r="G186" s="8"/>
      <c r="H186" s="10" t="s">
        <v>552</v>
      </c>
      <c r="I186" s="8"/>
      <c r="J186" s="8"/>
      <c r="K186" s="77"/>
      <c r="L186" s="8"/>
      <c r="M186" s="8"/>
      <c r="N186" s="8">
        <f>SUBTOTAL(9,N185:N185)</f>
        <v>137.5</v>
      </c>
      <c r="O186" s="8"/>
      <c r="P186" s="8"/>
      <c r="Q186" s="8"/>
      <c r="R186" s="8"/>
      <c r="S186" s="8"/>
      <c r="T186" s="8"/>
      <c r="U186" s="8"/>
      <c r="V186" s="8"/>
    </row>
    <row r="187" spans="1:23" x14ac:dyDescent="0.25">
      <c r="A187" s="8"/>
      <c r="B187" s="8"/>
      <c r="C187" s="8"/>
      <c r="D187" s="8"/>
      <c r="E187" s="8"/>
      <c r="F187" s="8"/>
      <c r="G187" s="8"/>
      <c r="H187" s="10" t="s">
        <v>553</v>
      </c>
      <c r="I187" s="8"/>
      <c r="J187" s="8"/>
      <c r="K187" s="77"/>
      <c r="L187" s="8"/>
      <c r="M187" s="8"/>
      <c r="N187" s="8">
        <f>SUBTOTAL(9,N4:N185)</f>
        <v>29767</v>
      </c>
      <c r="O187" s="8"/>
      <c r="P187" s="8"/>
      <c r="Q187" s="8">
        <f>COUNT(O3:O186)</f>
        <v>162</v>
      </c>
      <c r="R187" s="8">
        <f>Q187*4.94</f>
        <v>800.28000000000009</v>
      </c>
      <c r="S187" s="24">
        <f>N187-R187</f>
        <v>28966.720000000001</v>
      </c>
      <c r="T187" s="8"/>
      <c r="U187" s="8"/>
      <c r="V187" s="8"/>
    </row>
  </sheetData>
  <sortState xmlns:xlrd2="http://schemas.microsoft.com/office/spreadsheetml/2017/richdata2" ref="A4:V185">
    <sortCondition ref="H4:H185"/>
    <sortCondition ref="K4:K18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C25C-3599-43DA-9CC6-985785FE467C}">
  <sheetPr codeName="Hoja39"/>
  <dimension ref="A2:H173"/>
  <sheetViews>
    <sheetView workbookViewId="0">
      <selection sqref="A1:A1048576"/>
    </sheetView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3" bestFit="1" customWidth="1"/>
    <col min="4" max="4" width="10.5703125" bestFit="1" customWidth="1"/>
    <col min="5" max="5" width="37.28515625" bestFit="1" customWidth="1"/>
    <col min="6" max="6" width="19.42578125" bestFit="1" customWidth="1"/>
    <col min="7" max="7" width="11.7109375" bestFit="1" customWidth="1"/>
  </cols>
  <sheetData>
    <row r="2" spans="1:8" x14ac:dyDescent="0.25">
      <c r="A2" t="s">
        <v>738</v>
      </c>
      <c r="B2" t="s">
        <v>19</v>
      </c>
      <c r="C2" t="s">
        <v>739</v>
      </c>
      <c r="D2" t="s">
        <v>744</v>
      </c>
      <c r="E2" t="s">
        <v>740</v>
      </c>
      <c r="F2" t="s">
        <v>742</v>
      </c>
      <c r="G2" t="s">
        <v>745</v>
      </c>
    </row>
    <row r="3" spans="1:8" x14ac:dyDescent="0.25">
      <c r="A3">
        <v>11</v>
      </c>
      <c r="B3" s="19">
        <v>44774</v>
      </c>
      <c r="C3" s="20">
        <v>1.545138888888889E-2</v>
      </c>
      <c r="D3">
        <v>1731604</v>
      </c>
      <c r="E3" t="s">
        <v>707</v>
      </c>
      <c r="F3" t="s">
        <v>743</v>
      </c>
      <c r="G3">
        <v>1</v>
      </c>
      <c r="H3" t="s">
        <v>748</v>
      </c>
    </row>
    <row r="4" spans="1:8" x14ac:dyDescent="0.25">
      <c r="A4">
        <v>11</v>
      </c>
      <c r="B4" s="19">
        <v>44774</v>
      </c>
      <c r="C4" s="20">
        <v>0.51245370370370369</v>
      </c>
      <c r="D4">
        <v>1731717</v>
      </c>
      <c r="E4" t="s">
        <v>706</v>
      </c>
      <c r="F4" t="s">
        <v>743</v>
      </c>
      <c r="G4">
        <v>1</v>
      </c>
      <c r="H4" t="s">
        <v>748</v>
      </c>
    </row>
    <row r="5" spans="1:8" x14ac:dyDescent="0.25">
      <c r="A5">
        <v>11</v>
      </c>
      <c r="B5" s="19">
        <v>44774</v>
      </c>
      <c r="C5" s="20">
        <v>0.51418981481481485</v>
      </c>
      <c r="D5">
        <v>1731718</v>
      </c>
      <c r="E5" t="s">
        <v>706</v>
      </c>
      <c r="F5" t="s">
        <v>743</v>
      </c>
      <c r="G5">
        <v>1</v>
      </c>
      <c r="H5" t="s">
        <v>748</v>
      </c>
    </row>
    <row r="6" spans="1:8" x14ac:dyDescent="0.25">
      <c r="A6">
        <v>11</v>
      </c>
      <c r="B6" s="19">
        <v>44774</v>
      </c>
      <c r="C6" s="20">
        <v>0.51585648148148155</v>
      </c>
      <c r="D6">
        <v>1731719</v>
      </c>
      <c r="E6" t="s">
        <v>706</v>
      </c>
      <c r="F6" t="s">
        <v>743</v>
      </c>
      <c r="G6">
        <v>1</v>
      </c>
      <c r="H6" t="s">
        <v>748</v>
      </c>
    </row>
    <row r="7" spans="1:8" x14ac:dyDescent="0.25">
      <c r="A7">
        <v>11</v>
      </c>
      <c r="B7" s="19">
        <v>44776</v>
      </c>
      <c r="C7" s="20">
        <v>0.53689814814814818</v>
      </c>
      <c r="D7">
        <v>1732506</v>
      </c>
      <c r="E7" t="s">
        <v>706</v>
      </c>
      <c r="F7" t="s">
        <v>743</v>
      </c>
      <c r="G7">
        <v>1</v>
      </c>
      <c r="H7" t="s">
        <v>748</v>
      </c>
    </row>
    <row r="8" spans="1:8" x14ac:dyDescent="0.25">
      <c r="A8">
        <v>11</v>
      </c>
      <c r="B8" s="19">
        <v>44776</v>
      </c>
      <c r="C8" s="20">
        <v>0.6404050925925926</v>
      </c>
      <c r="D8">
        <v>1732572</v>
      </c>
      <c r="E8" t="s">
        <v>706</v>
      </c>
      <c r="F8" t="s">
        <v>743</v>
      </c>
      <c r="G8">
        <v>1</v>
      </c>
      <c r="H8" t="s">
        <v>748</v>
      </c>
    </row>
    <row r="9" spans="1:8" x14ac:dyDescent="0.25">
      <c r="A9">
        <v>21</v>
      </c>
      <c r="B9" s="19">
        <v>44774</v>
      </c>
      <c r="C9" s="20">
        <v>0.48736111111111113</v>
      </c>
      <c r="D9">
        <v>1457307</v>
      </c>
      <c r="E9" t="s">
        <v>709</v>
      </c>
      <c r="F9" t="s">
        <v>743</v>
      </c>
      <c r="G9">
        <v>1</v>
      </c>
      <c r="H9" t="s">
        <v>748</v>
      </c>
    </row>
    <row r="10" spans="1:8" x14ac:dyDescent="0.25">
      <c r="A10">
        <v>21</v>
      </c>
      <c r="B10" s="19">
        <v>44774</v>
      </c>
      <c r="C10" s="20">
        <v>0.54996527777777782</v>
      </c>
      <c r="D10">
        <v>1457326</v>
      </c>
      <c r="E10" t="s">
        <v>709</v>
      </c>
      <c r="F10" t="s">
        <v>743</v>
      </c>
      <c r="G10">
        <v>1</v>
      </c>
      <c r="H10" t="s">
        <v>748</v>
      </c>
    </row>
    <row r="11" spans="1:8" x14ac:dyDescent="0.25">
      <c r="A11">
        <v>21</v>
      </c>
      <c r="B11" s="19">
        <v>44774</v>
      </c>
      <c r="C11" s="20">
        <v>0.89723379629629629</v>
      </c>
      <c r="D11">
        <v>1457449</v>
      </c>
      <c r="E11" t="s">
        <v>829</v>
      </c>
      <c r="F11" t="s">
        <v>743</v>
      </c>
      <c r="G11">
        <v>1</v>
      </c>
      <c r="H11" t="s">
        <v>748</v>
      </c>
    </row>
    <row r="12" spans="1:8" x14ac:dyDescent="0.25">
      <c r="A12">
        <v>21</v>
      </c>
      <c r="B12" s="19">
        <v>44776</v>
      </c>
      <c r="C12" s="20">
        <v>0.7990624999999999</v>
      </c>
      <c r="D12">
        <v>1457926</v>
      </c>
      <c r="E12" t="s">
        <v>709</v>
      </c>
      <c r="F12" t="s">
        <v>743</v>
      </c>
      <c r="G12">
        <v>1</v>
      </c>
      <c r="H12" t="s">
        <v>748</v>
      </c>
    </row>
    <row r="13" spans="1:8" x14ac:dyDescent="0.25">
      <c r="A13">
        <v>21</v>
      </c>
      <c r="B13" s="19">
        <v>44776</v>
      </c>
      <c r="C13" s="20">
        <v>0.87631944444444443</v>
      </c>
      <c r="D13">
        <v>1457962</v>
      </c>
      <c r="E13" t="s">
        <v>729</v>
      </c>
      <c r="F13" t="s">
        <v>743</v>
      </c>
      <c r="G13">
        <v>1</v>
      </c>
      <c r="H13" t="s">
        <v>748</v>
      </c>
    </row>
    <row r="14" spans="1:8" x14ac:dyDescent="0.25">
      <c r="A14">
        <v>31</v>
      </c>
      <c r="B14" s="19">
        <v>44776</v>
      </c>
      <c r="C14" s="20">
        <v>0.49009259259259258</v>
      </c>
      <c r="D14">
        <v>1506005</v>
      </c>
      <c r="E14" t="s">
        <v>710</v>
      </c>
      <c r="F14" t="s">
        <v>743</v>
      </c>
      <c r="G14">
        <v>1</v>
      </c>
      <c r="H14" t="s">
        <v>748</v>
      </c>
    </row>
    <row r="15" spans="1:8" x14ac:dyDescent="0.25">
      <c r="A15">
        <v>31</v>
      </c>
      <c r="B15" s="19">
        <v>44776</v>
      </c>
      <c r="C15" s="20">
        <v>0.51217592592592587</v>
      </c>
      <c r="D15">
        <v>1506015</v>
      </c>
      <c r="E15" t="s">
        <v>710</v>
      </c>
      <c r="F15" t="s">
        <v>743</v>
      </c>
      <c r="G15">
        <v>1</v>
      </c>
      <c r="H15" t="s">
        <v>748</v>
      </c>
    </row>
    <row r="16" spans="1:8" x14ac:dyDescent="0.25">
      <c r="A16">
        <v>41</v>
      </c>
      <c r="B16" s="19">
        <v>44774</v>
      </c>
      <c r="C16" s="20">
        <v>0.39664351851851848</v>
      </c>
      <c r="D16">
        <v>2693133</v>
      </c>
      <c r="E16" t="s">
        <v>810</v>
      </c>
      <c r="F16" t="s">
        <v>743</v>
      </c>
      <c r="G16">
        <v>1</v>
      </c>
      <c r="H16" t="s">
        <v>748</v>
      </c>
    </row>
    <row r="17" spans="1:8" x14ac:dyDescent="0.25">
      <c r="A17">
        <v>41</v>
      </c>
      <c r="B17" s="19">
        <v>44774</v>
      </c>
      <c r="C17" s="20">
        <v>0.50739583333333338</v>
      </c>
      <c r="D17">
        <v>2693228</v>
      </c>
      <c r="E17" t="s">
        <v>810</v>
      </c>
      <c r="F17" t="s">
        <v>743</v>
      </c>
      <c r="G17">
        <v>1</v>
      </c>
      <c r="H17" t="s">
        <v>748</v>
      </c>
    </row>
    <row r="18" spans="1:8" x14ac:dyDescent="0.25">
      <c r="A18">
        <v>41</v>
      </c>
      <c r="B18" s="19">
        <v>44774</v>
      </c>
      <c r="C18" s="20">
        <v>0.63237268518518519</v>
      </c>
      <c r="D18">
        <v>2693352</v>
      </c>
      <c r="E18" t="s">
        <v>816</v>
      </c>
      <c r="F18" t="s">
        <v>743</v>
      </c>
      <c r="G18">
        <v>1</v>
      </c>
      <c r="H18" t="s">
        <v>748</v>
      </c>
    </row>
    <row r="19" spans="1:8" x14ac:dyDescent="0.25">
      <c r="A19">
        <v>41</v>
      </c>
      <c r="B19" s="19">
        <v>44774</v>
      </c>
      <c r="C19" s="20">
        <v>0.74311342592592589</v>
      </c>
      <c r="D19">
        <v>2693430</v>
      </c>
      <c r="E19" t="s">
        <v>810</v>
      </c>
      <c r="F19" t="s">
        <v>743</v>
      </c>
      <c r="G19">
        <v>1</v>
      </c>
      <c r="H19" t="s">
        <v>748</v>
      </c>
    </row>
    <row r="20" spans="1:8" x14ac:dyDescent="0.25">
      <c r="A20">
        <v>41</v>
      </c>
      <c r="B20" s="19">
        <v>44774</v>
      </c>
      <c r="C20" s="20">
        <v>0.76937500000000003</v>
      </c>
      <c r="D20">
        <v>2693455</v>
      </c>
      <c r="E20" t="s">
        <v>810</v>
      </c>
      <c r="F20" t="s">
        <v>743</v>
      </c>
      <c r="G20">
        <v>1</v>
      </c>
      <c r="H20" t="s">
        <v>748</v>
      </c>
    </row>
    <row r="21" spans="1:8" x14ac:dyDescent="0.25">
      <c r="A21">
        <v>41</v>
      </c>
      <c r="B21" s="19">
        <v>44774</v>
      </c>
      <c r="C21" s="20">
        <v>0.78619212962962959</v>
      </c>
      <c r="D21">
        <v>2693468</v>
      </c>
      <c r="E21" t="s">
        <v>810</v>
      </c>
      <c r="F21" t="s">
        <v>743</v>
      </c>
      <c r="G21">
        <v>1</v>
      </c>
      <c r="H21" t="s">
        <v>748</v>
      </c>
    </row>
    <row r="22" spans="1:8" x14ac:dyDescent="0.25">
      <c r="A22">
        <v>41</v>
      </c>
      <c r="B22" s="19">
        <v>44774</v>
      </c>
      <c r="C22" s="20">
        <v>0.7876967592592593</v>
      </c>
      <c r="D22">
        <v>2693470</v>
      </c>
      <c r="E22" t="s">
        <v>810</v>
      </c>
      <c r="F22" t="s">
        <v>743</v>
      </c>
      <c r="G22">
        <v>1</v>
      </c>
      <c r="H22" t="s">
        <v>748</v>
      </c>
    </row>
    <row r="23" spans="1:8" x14ac:dyDescent="0.25">
      <c r="A23">
        <v>41</v>
      </c>
      <c r="B23" s="19">
        <v>44775</v>
      </c>
      <c r="C23" s="20">
        <v>0.38726851851851851</v>
      </c>
      <c r="D23">
        <v>2693696</v>
      </c>
      <c r="E23" t="s">
        <v>810</v>
      </c>
      <c r="F23" t="s">
        <v>743</v>
      </c>
      <c r="G23">
        <v>1</v>
      </c>
      <c r="H23" t="s">
        <v>748</v>
      </c>
    </row>
    <row r="24" spans="1:8" x14ac:dyDescent="0.25">
      <c r="A24">
        <v>41</v>
      </c>
      <c r="B24" s="19">
        <v>44775</v>
      </c>
      <c r="C24" s="20">
        <v>0.5087962962962963</v>
      </c>
      <c r="D24">
        <v>2693775</v>
      </c>
      <c r="E24" t="s">
        <v>810</v>
      </c>
      <c r="F24" t="s">
        <v>743</v>
      </c>
      <c r="G24">
        <v>1</v>
      </c>
      <c r="H24" t="s">
        <v>748</v>
      </c>
    </row>
    <row r="25" spans="1:8" x14ac:dyDescent="0.25">
      <c r="A25">
        <v>41</v>
      </c>
      <c r="B25" s="19">
        <v>44775</v>
      </c>
      <c r="C25" s="20">
        <v>0.51087962962962963</v>
      </c>
      <c r="D25">
        <v>2693778</v>
      </c>
      <c r="E25" t="s">
        <v>810</v>
      </c>
      <c r="F25" t="s">
        <v>743</v>
      </c>
      <c r="G25">
        <v>1</v>
      </c>
      <c r="H25" t="s">
        <v>748</v>
      </c>
    </row>
    <row r="26" spans="1:8" x14ac:dyDescent="0.25">
      <c r="A26">
        <v>41</v>
      </c>
      <c r="B26" s="19">
        <v>44775</v>
      </c>
      <c r="C26" s="20">
        <v>0.57186342592592598</v>
      </c>
      <c r="D26">
        <v>2693823</v>
      </c>
      <c r="E26" t="s">
        <v>810</v>
      </c>
      <c r="F26" t="s">
        <v>743</v>
      </c>
      <c r="G26">
        <v>1</v>
      </c>
      <c r="H26" t="s">
        <v>748</v>
      </c>
    </row>
    <row r="27" spans="1:8" x14ac:dyDescent="0.25">
      <c r="A27">
        <v>41</v>
      </c>
      <c r="B27" s="19">
        <v>44775</v>
      </c>
      <c r="C27" s="20">
        <v>0.57357638888888884</v>
      </c>
      <c r="D27">
        <v>2693824</v>
      </c>
      <c r="E27" t="s">
        <v>810</v>
      </c>
      <c r="F27" t="s">
        <v>743</v>
      </c>
      <c r="G27">
        <v>1</v>
      </c>
      <c r="H27" t="s">
        <v>748</v>
      </c>
    </row>
    <row r="28" spans="1:8" x14ac:dyDescent="0.25">
      <c r="A28">
        <v>41</v>
      </c>
      <c r="B28" s="19">
        <v>44775</v>
      </c>
      <c r="C28" s="20">
        <v>0.61563657407407402</v>
      </c>
      <c r="D28">
        <v>2693866</v>
      </c>
      <c r="E28" t="s">
        <v>810</v>
      </c>
      <c r="F28" t="s">
        <v>743</v>
      </c>
      <c r="G28">
        <v>1</v>
      </c>
      <c r="H28" t="s">
        <v>748</v>
      </c>
    </row>
    <row r="29" spans="1:8" x14ac:dyDescent="0.25">
      <c r="A29">
        <v>41</v>
      </c>
      <c r="B29" s="19">
        <v>44775</v>
      </c>
      <c r="C29" s="20">
        <v>0.75343749999999998</v>
      </c>
      <c r="D29">
        <v>2693961</v>
      </c>
      <c r="E29" t="s">
        <v>810</v>
      </c>
      <c r="F29" t="s">
        <v>743</v>
      </c>
      <c r="G29">
        <v>1</v>
      </c>
      <c r="H29" t="s">
        <v>748</v>
      </c>
    </row>
    <row r="30" spans="1:8" x14ac:dyDescent="0.25">
      <c r="A30">
        <v>41</v>
      </c>
      <c r="B30" s="19">
        <v>44775</v>
      </c>
      <c r="C30" s="20">
        <v>0.78187499999999999</v>
      </c>
      <c r="D30">
        <v>2693983</v>
      </c>
      <c r="E30" t="s">
        <v>711</v>
      </c>
      <c r="F30" t="s">
        <v>743</v>
      </c>
      <c r="G30">
        <v>1</v>
      </c>
    </row>
    <row r="31" spans="1:8" x14ac:dyDescent="0.25">
      <c r="A31">
        <v>41</v>
      </c>
      <c r="B31" s="19">
        <v>44776</v>
      </c>
      <c r="C31" s="20">
        <v>0.46271990740740737</v>
      </c>
      <c r="D31">
        <v>2694227</v>
      </c>
      <c r="E31" t="s">
        <v>713</v>
      </c>
      <c r="F31" t="s">
        <v>743</v>
      </c>
      <c r="G31">
        <v>1</v>
      </c>
      <c r="H31" t="s">
        <v>748</v>
      </c>
    </row>
    <row r="32" spans="1:8" x14ac:dyDescent="0.25">
      <c r="A32">
        <v>41</v>
      </c>
      <c r="B32" s="19">
        <v>44776</v>
      </c>
      <c r="C32" s="20">
        <v>0.60256944444444438</v>
      </c>
      <c r="D32">
        <v>2694333</v>
      </c>
      <c r="E32" t="s">
        <v>713</v>
      </c>
      <c r="F32" t="s">
        <v>743</v>
      </c>
      <c r="G32">
        <v>1</v>
      </c>
      <c r="H32" t="s">
        <v>748</v>
      </c>
    </row>
    <row r="33" spans="1:8" x14ac:dyDescent="0.25">
      <c r="A33">
        <v>41</v>
      </c>
      <c r="B33" s="19">
        <v>44776</v>
      </c>
      <c r="C33" s="20">
        <v>0.7718518518518519</v>
      </c>
      <c r="D33">
        <v>2694439</v>
      </c>
      <c r="E33" t="s">
        <v>713</v>
      </c>
      <c r="F33" t="s">
        <v>743</v>
      </c>
      <c r="G33">
        <v>1</v>
      </c>
      <c r="H33" t="s">
        <v>748</v>
      </c>
    </row>
    <row r="34" spans="1:8" x14ac:dyDescent="0.25">
      <c r="A34">
        <v>51</v>
      </c>
      <c r="B34" s="19">
        <v>44776</v>
      </c>
      <c r="C34" s="20">
        <v>0.46607638888888886</v>
      </c>
      <c r="D34">
        <v>1459319</v>
      </c>
      <c r="E34" t="s">
        <v>714</v>
      </c>
      <c r="F34" t="s">
        <v>743</v>
      </c>
      <c r="G34">
        <v>1</v>
      </c>
      <c r="H34" t="s">
        <v>748</v>
      </c>
    </row>
    <row r="35" spans="1:8" x14ac:dyDescent="0.25">
      <c r="A35">
        <v>51</v>
      </c>
      <c r="B35" s="19">
        <v>44776</v>
      </c>
      <c r="C35" s="20">
        <v>0.62706018518518525</v>
      </c>
      <c r="D35">
        <v>1459439</v>
      </c>
      <c r="E35" t="s">
        <v>714</v>
      </c>
      <c r="F35" t="s">
        <v>743</v>
      </c>
      <c r="G35">
        <v>1</v>
      </c>
      <c r="H35" t="s">
        <v>748</v>
      </c>
    </row>
    <row r="36" spans="1:8" x14ac:dyDescent="0.25">
      <c r="A36">
        <v>61</v>
      </c>
      <c r="B36" s="19">
        <v>44774</v>
      </c>
      <c r="C36" s="20">
        <v>0.71689814814814812</v>
      </c>
      <c r="D36">
        <v>1543586</v>
      </c>
      <c r="E36" t="s">
        <v>715</v>
      </c>
      <c r="F36" t="s">
        <v>743</v>
      </c>
      <c r="G36">
        <v>1</v>
      </c>
      <c r="H36" t="s">
        <v>748</v>
      </c>
    </row>
    <row r="37" spans="1:8" x14ac:dyDescent="0.25">
      <c r="A37">
        <v>61</v>
      </c>
      <c r="B37" s="19">
        <v>44775</v>
      </c>
      <c r="C37" s="20">
        <v>0.66387731481481482</v>
      </c>
      <c r="D37">
        <v>1543866</v>
      </c>
      <c r="E37" t="s">
        <v>715</v>
      </c>
      <c r="F37" t="s">
        <v>743</v>
      </c>
      <c r="G37">
        <v>1</v>
      </c>
      <c r="H37" t="s">
        <v>748</v>
      </c>
    </row>
    <row r="38" spans="1:8" x14ac:dyDescent="0.25">
      <c r="A38">
        <v>71</v>
      </c>
      <c r="B38" s="19">
        <v>44774</v>
      </c>
      <c r="C38" s="20">
        <v>0.37035879629629626</v>
      </c>
      <c r="D38">
        <v>1638756</v>
      </c>
      <c r="E38" t="s">
        <v>811</v>
      </c>
      <c r="F38" t="s">
        <v>743</v>
      </c>
      <c r="G38">
        <v>1</v>
      </c>
      <c r="H38" t="s">
        <v>748</v>
      </c>
    </row>
    <row r="39" spans="1:8" x14ac:dyDescent="0.25">
      <c r="A39">
        <v>71</v>
      </c>
      <c r="B39" s="19">
        <v>44774</v>
      </c>
      <c r="C39" s="20">
        <v>0.56269675925925922</v>
      </c>
      <c r="D39">
        <v>1638842</v>
      </c>
      <c r="E39" t="s">
        <v>811</v>
      </c>
      <c r="F39" t="s">
        <v>743</v>
      </c>
      <c r="G39">
        <v>1</v>
      </c>
      <c r="H39" t="s">
        <v>748</v>
      </c>
    </row>
    <row r="40" spans="1:8" x14ac:dyDescent="0.25">
      <c r="A40">
        <v>71</v>
      </c>
      <c r="B40" s="19">
        <v>44775</v>
      </c>
      <c r="C40" s="20">
        <v>0.46003472222222225</v>
      </c>
      <c r="D40">
        <v>1639153</v>
      </c>
      <c r="E40" t="s">
        <v>811</v>
      </c>
      <c r="F40" t="s">
        <v>743</v>
      </c>
      <c r="G40">
        <v>1</v>
      </c>
      <c r="H40" t="s">
        <v>748</v>
      </c>
    </row>
    <row r="41" spans="1:8" x14ac:dyDescent="0.25">
      <c r="A41">
        <v>71</v>
      </c>
      <c r="B41" s="19">
        <v>44775</v>
      </c>
      <c r="C41" s="20">
        <v>0.46770833333333334</v>
      </c>
      <c r="D41">
        <v>1639157</v>
      </c>
      <c r="E41" t="s">
        <v>811</v>
      </c>
      <c r="F41" t="s">
        <v>743</v>
      </c>
      <c r="G41">
        <v>1</v>
      </c>
      <c r="H41" t="s">
        <v>748</v>
      </c>
    </row>
    <row r="42" spans="1:8" x14ac:dyDescent="0.25">
      <c r="A42">
        <v>71</v>
      </c>
      <c r="B42" s="19">
        <v>44775</v>
      </c>
      <c r="C42" s="20">
        <v>0.56732638888888887</v>
      </c>
      <c r="D42">
        <v>1639194</v>
      </c>
      <c r="E42" t="s">
        <v>811</v>
      </c>
      <c r="F42" t="s">
        <v>743</v>
      </c>
      <c r="G42">
        <v>1</v>
      </c>
    </row>
    <row r="43" spans="1:8" x14ac:dyDescent="0.25">
      <c r="A43">
        <v>71</v>
      </c>
      <c r="B43" s="19">
        <v>44776</v>
      </c>
      <c r="C43" s="20">
        <v>0.78353009259259254</v>
      </c>
      <c r="D43">
        <v>1639623</v>
      </c>
      <c r="E43" t="s">
        <v>716</v>
      </c>
      <c r="F43" t="s">
        <v>743</v>
      </c>
      <c r="G43">
        <v>1</v>
      </c>
      <c r="H43" t="s">
        <v>748</v>
      </c>
    </row>
    <row r="44" spans="1:8" x14ac:dyDescent="0.25">
      <c r="A44">
        <v>71</v>
      </c>
      <c r="B44" s="19">
        <v>44776</v>
      </c>
      <c r="C44" s="20">
        <v>0.85525462962962961</v>
      </c>
      <c r="D44">
        <v>1639660</v>
      </c>
      <c r="E44" t="s">
        <v>716</v>
      </c>
      <c r="F44" t="s">
        <v>743</v>
      </c>
      <c r="G44">
        <v>1</v>
      </c>
      <c r="H44" t="s">
        <v>748</v>
      </c>
    </row>
    <row r="45" spans="1:8" x14ac:dyDescent="0.25">
      <c r="A45">
        <v>71</v>
      </c>
      <c r="B45" s="19">
        <v>44776</v>
      </c>
      <c r="C45" s="20">
        <v>0.93267361111111102</v>
      </c>
      <c r="D45">
        <v>1639710</v>
      </c>
      <c r="E45" t="s">
        <v>716</v>
      </c>
      <c r="F45" t="s">
        <v>743</v>
      </c>
      <c r="G45">
        <v>1</v>
      </c>
      <c r="H45" t="s">
        <v>748</v>
      </c>
    </row>
    <row r="46" spans="1:8" x14ac:dyDescent="0.25">
      <c r="A46">
        <v>81</v>
      </c>
      <c r="B46" s="19">
        <v>44774</v>
      </c>
      <c r="C46" s="20">
        <v>0.359375</v>
      </c>
      <c r="D46">
        <v>1468276</v>
      </c>
      <c r="E46" t="s">
        <v>831</v>
      </c>
      <c r="F46" t="s">
        <v>743</v>
      </c>
      <c r="G46">
        <v>1</v>
      </c>
      <c r="H46" t="s">
        <v>748</v>
      </c>
    </row>
    <row r="47" spans="1:8" x14ac:dyDescent="0.25">
      <c r="A47">
        <v>81</v>
      </c>
      <c r="B47" s="19">
        <v>44774</v>
      </c>
      <c r="C47" s="20">
        <v>0.36657407407407411</v>
      </c>
      <c r="D47">
        <v>1468280</v>
      </c>
      <c r="E47" t="s">
        <v>831</v>
      </c>
      <c r="F47" t="s">
        <v>743</v>
      </c>
      <c r="G47">
        <v>1</v>
      </c>
      <c r="H47" t="s">
        <v>748</v>
      </c>
    </row>
    <row r="48" spans="1:8" x14ac:dyDescent="0.25">
      <c r="A48">
        <v>81</v>
      </c>
      <c r="B48" s="19">
        <v>44774</v>
      </c>
      <c r="C48" s="20">
        <v>0.48868055555555556</v>
      </c>
      <c r="D48">
        <v>1468312</v>
      </c>
      <c r="E48" t="s">
        <v>831</v>
      </c>
      <c r="F48" t="s">
        <v>743</v>
      </c>
      <c r="G48">
        <v>1</v>
      </c>
      <c r="H48" t="s">
        <v>748</v>
      </c>
    </row>
    <row r="49" spans="1:8" x14ac:dyDescent="0.25">
      <c r="A49">
        <v>81</v>
      </c>
      <c r="B49" s="19">
        <v>44774</v>
      </c>
      <c r="C49" s="20">
        <v>0.67535879629629625</v>
      </c>
      <c r="D49">
        <v>1468387</v>
      </c>
      <c r="E49" t="s">
        <v>831</v>
      </c>
      <c r="F49" t="s">
        <v>743</v>
      </c>
      <c r="G49">
        <v>1</v>
      </c>
      <c r="H49" t="s">
        <v>748</v>
      </c>
    </row>
    <row r="50" spans="1:8" x14ac:dyDescent="0.25">
      <c r="A50">
        <v>81</v>
      </c>
      <c r="B50" s="19">
        <v>44775</v>
      </c>
      <c r="C50" s="20">
        <v>0.42800925925925926</v>
      </c>
      <c r="D50">
        <v>1468569</v>
      </c>
      <c r="E50" t="s">
        <v>831</v>
      </c>
      <c r="F50" t="s">
        <v>743</v>
      </c>
      <c r="G50">
        <v>1</v>
      </c>
      <c r="H50" t="s">
        <v>748</v>
      </c>
    </row>
    <row r="51" spans="1:8" x14ac:dyDescent="0.25">
      <c r="A51">
        <v>81</v>
      </c>
      <c r="B51" s="19">
        <v>44775</v>
      </c>
      <c r="C51" s="20">
        <v>0.57203703703703701</v>
      </c>
      <c r="D51">
        <v>1468614</v>
      </c>
      <c r="E51" t="s">
        <v>831</v>
      </c>
      <c r="F51" t="s">
        <v>743</v>
      </c>
      <c r="G51">
        <v>1</v>
      </c>
      <c r="H51" t="s">
        <v>748</v>
      </c>
    </row>
    <row r="52" spans="1:8" x14ac:dyDescent="0.25">
      <c r="A52">
        <v>81</v>
      </c>
      <c r="B52" s="19">
        <v>44775</v>
      </c>
      <c r="C52" s="20">
        <v>0.74674768518518519</v>
      </c>
      <c r="D52">
        <v>1468694</v>
      </c>
      <c r="E52" t="s">
        <v>831</v>
      </c>
      <c r="F52" t="s">
        <v>743</v>
      </c>
      <c r="G52">
        <v>1</v>
      </c>
      <c r="H52" t="s">
        <v>748</v>
      </c>
    </row>
    <row r="53" spans="1:8" x14ac:dyDescent="0.25">
      <c r="A53">
        <v>81</v>
      </c>
      <c r="B53" s="19">
        <v>44775</v>
      </c>
      <c r="C53" s="20">
        <v>0.748113425925926</v>
      </c>
      <c r="D53">
        <v>1468696</v>
      </c>
      <c r="E53" t="s">
        <v>831</v>
      </c>
      <c r="F53" t="s">
        <v>743</v>
      </c>
      <c r="G53">
        <v>1</v>
      </c>
    </row>
    <row r="54" spans="1:8" x14ac:dyDescent="0.25">
      <c r="A54">
        <v>81</v>
      </c>
      <c r="B54" s="19">
        <v>44776</v>
      </c>
      <c r="C54" s="20">
        <v>0.42072916666666665</v>
      </c>
      <c r="D54">
        <v>1468874</v>
      </c>
      <c r="E54" t="s">
        <v>718</v>
      </c>
      <c r="F54" t="s">
        <v>743</v>
      </c>
      <c r="G54">
        <v>1</v>
      </c>
      <c r="H54" t="s">
        <v>748</v>
      </c>
    </row>
    <row r="55" spans="1:8" x14ac:dyDescent="0.25">
      <c r="A55">
        <v>81</v>
      </c>
      <c r="B55" s="19">
        <v>44776</v>
      </c>
      <c r="C55" s="20">
        <v>0.82990740740740743</v>
      </c>
      <c r="D55">
        <v>1469038</v>
      </c>
      <c r="E55" t="s">
        <v>717</v>
      </c>
      <c r="F55" t="s">
        <v>743</v>
      </c>
      <c r="G55">
        <v>1</v>
      </c>
      <c r="H55" t="s">
        <v>748</v>
      </c>
    </row>
    <row r="56" spans="1:8" x14ac:dyDescent="0.25">
      <c r="A56">
        <v>81</v>
      </c>
      <c r="B56" s="19">
        <v>44776</v>
      </c>
      <c r="C56" s="20">
        <v>0.91467592592592595</v>
      </c>
      <c r="D56">
        <v>1469083</v>
      </c>
      <c r="E56" t="s">
        <v>717</v>
      </c>
      <c r="F56" t="s">
        <v>743</v>
      </c>
      <c r="G56">
        <v>1</v>
      </c>
      <c r="H56" t="s">
        <v>748</v>
      </c>
    </row>
    <row r="57" spans="1:8" x14ac:dyDescent="0.25">
      <c r="A57">
        <v>91</v>
      </c>
      <c r="B57" s="19">
        <v>44774</v>
      </c>
      <c r="C57" s="20">
        <v>0.44003472222222223</v>
      </c>
      <c r="D57">
        <v>1081554</v>
      </c>
      <c r="E57" t="s">
        <v>719</v>
      </c>
      <c r="F57" t="s">
        <v>743</v>
      </c>
      <c r="G57">
        <v>1</v>
      </c>
      <c r="H57" t="s">
        <v>748</v>
      </c>
    </row>
    <row r="58" spans="1:8" x14ac:dyDescent="0.25">
      <c r="A58">
        <v>91</v>
      </c>
      <c r="B58" s="19">
        <v>44774</v>
      </c>
      <c r="C58" s="20">
        <v>0.44152777777777774</v>
      </c>
      <c r="D58">
        <v>1081555</v>
      </c>
      <c r="E58" t="s">
        <v>719</v>
      </c>
      <c r="F58" t="s">
        <v>743</v>
      </c>
      <c r="G58">
        <v>1</v>
      </c>
      <c r="H58" t="s">
        <v>748</v>
      </c>
    </row>
    <row r="59" spans="1:8" x14ac:dyDescent="0.25">
      <c r="A59">
        <v>91</v>
      </c>
      <c r="B59" s="19">
        <v>44774</v>
      </c>
      <c r="C59" s="20">
        <v>0.90226851851851853</v>
      </c>
      <c r="D59">
        <v>1081734</v>
      </c>
      <c r="E59" t="s">
        <v>832</v>
      </c>
      <c r="F59" t="s">
        <v>743</v>
      </c>
      <c r="G59">
        <v>1</v>
      </c>
      <c r="H59" t="s">
        <v>748</v>
      </c>
    </row>
    <row r="60" spans="1:8" x14ac:dyDescent="0.25">
      <c r="A60">
        <v>91</v>
      </c>
      <c r="B60" s="19">
        <v>44775</v>
      </c>
      <c r="C60" s="20">
        <v>0.6182523148148148</v>
      </c>
      <c r="D60">
        <v>1081926</v>
      </c>
      <c r="E60" t="s">
        <v>719</v>
      </c>
      <c r="F60" t="s">
        <v>743</v>
      </c>
      <c r="G60">
        <v>1</v>
      </c>
      <c r="H60" t="s">
        <v>748</v>
      </c>
    </row>
    <row r="61" spans="1:8" x14ac:dyDescent="0.25">
      <c r="A61">
        <v>91</v>
      </c>
      <c r="B61" s="19">
        <v>44775</v>
      </c>
      <c r="C61" s="20">
        <v>0.80483796296296306</v>
      </c>
      <c r="D61">
        <v>1081978</v>
      </c>
      <c r="E61" t="s">
        <v>832</v>
      </c>
      <c r="F61" t="s">
        <v>743</v>
      </c>
      <c r="G61">
        <v>1</v>
      </c>
      <c r="H61" t="s">
        <v>748</v>
      </c>
    </row>
    <row r="62" spans="1:8" x14ac:dyDescent="0.25">
      <c r="A62">
        <v>91</v>
      </c>
      <c r="B62" s="19">
        <v>44775</v>
      </c>
      <c r="C62" s="20">
        <v>0.89217592592592598</v>
      </c>
      <c r="D62">
        <v>1082007</v>
      </c>
      <c r="E62" t="s">
        <v>832</v>
      </c>
      <c r="F62" t="s">
        <v>743</v>
      </c>
      <c r="G62">
        <v>1</v>
      </c>
      <c r="H62" t="s">
        <v>748</v>
      </c>
    </row>
    <row r="63" spans="1:8" x14ac:dyDescent="0.25">
      <c r="A63">
        <v>91</v>
      </c>
      <c r="B63" s="19">
        <v>44775</v>
      </c>
      <c r="C63" s="20">
        <v>0.89348379629629626</v>
      </c>
      <c r="D63">
        <v>1082008</v>
      </c>
      <c r="E63" t="s">
        <v>832</v>
      </c>
      <c r="F63" t="s">
        <v>743</v>
      </c>
      <c r="G63">
        <v>1</v>
      </c>
      <c r="H63" t="s">
        <v>748</v>
      </c>
    </row>
    <row r="64" spans="1:8" x14ac:dyDescent="0.25">
      <c r="A64">
        <v>91</v>
      </c>
      <c r="B64" s="19">
        <v>44775</v>
      </c>
      <c r="C64" s="20">
        <v>0.89518518518518519</v>
      </c>
      <c r="D64">
        <v>1082009</v>
      </c>
      <c r="E64" t="s">
        <v>832</v>
      </c>
      <c r="F64" t="s">
        <v>743</v>
      </c>
      <c r="G64">
        <v>1</v>
      </c>
      <c r="H64" t="s">
        <v>748</v>
      </c>
    </row>
    <row r="65" spans="1:8" x14ac:dyDescent="0.25">
      <c r="A65">
        <v>91</v>
      </c>
      <c r="B65" s="19">
        <v>44776</v>
      </c>
      <c r="C65" s="20">
        <v>0.35501157407407408</v>
      </c>
      <c r="D65">
        <v>1082137</v>
      </c>
      <c r="E65" t="s">
        <v>719</v>
      </c>
      <c r="F65" t="s">
        <v>743</v>
      </c>
      <c r="G65">
        <v>1</v>
      </c>
      <c r="H65" t="s">
        <v>748</v>
      </c>
    </row>
    <row r="66" spans="1:8" x14ac:dyDescent="0.25">
      <c r="A66">
        <v>91</v>
      </c>
      <c r="B66" s="19">
        <v>44776</v>
      </c>
      <c r="C66" s="20">
        <v>0.58302083333333332</v>
      </c>
      <c r="D66">
        <v>1082200</v>
      </c>
      <c r="E66" t="s">
        <v>719</v>
      </c>
      <c r="F66" t="s">
        <v>743</v>
      </c>
      <c r="G66">
        <v>1</v>
      </c>
      <c r="H66" t="s">
        <v>748</v>
      </c>
    </row>
    <row r="67" spans="1:8" x14ac:dyDescent="0.25">
      <c r="A67">
        <v>91</v>
      </c>
      <c r="B67" s="19">
        <v>44776</v>
      </c>
      <c r="C67" s="20">
        <v>0.60347222222222219</v>
      </c>
      <c r="D67">
        <v>1082214</v>
      </c>
      <c r="E67" t="s">
        <v>719</v>
      </c>
      <c r="F67" t="s">
        <v>743</v>
      </c>
      <c r="G67">
        <v>1</v>
      </c>
      <c r="H67" t="s">
        <v>748</v>
      </c>
    </row>
    <row r="68" spans="1:8" x14ac:dyDescent="0.25">
      <c r="A68">
        <v>91</v>
      </c>
      <c r="B68" s="19">
        <v>44776</v>
      </c>
      <c r="C68" s="20">
        <v>0.70975694444444448</v>
      </c>
      <c r="D68">
        <v>1082256</v>
      </c>
      <c r="E68" t="s">
        <v>719</v>
      </c>
      <c r="F68" t="s">
        <v>743</v>
      </c>
      <c r="G68">
        <v>1</v>
      </c>
      <c r="H68" t="s">
        <v>748</v>
      </c>
    </row>
    <row r="69" spans="1:8" x14ac:dyDescent="0.25">
      <c r="A69">
        <v>101</v>
      </c>
      <c r="B69" s="19">
        <v>44774</v>
      </c>
      <c r="C69" s="20">
        <v>3.9224537037037037E-2</v>
      </c>
      <c r="D69">
        <v>2161803</v>
      </c>
      <c r="E69" t="s">
        <v>720</v>
      </c>
      <c r="F69" t="s">
        <v>743</v>
      </c>
      <c r="G69">
        <v>1</v>
      </c>
      <c r="H69" t="s">
        <v>748</v>
      </c>
    </row>
    <row r="70" spans="1:8" x14ac:dyDescent="0.25">
      <c r="A70">
        <v>101</v>
      </c>
      <c r="B70" s="19">
        <v>44774</v>
      </c>
      <c r="C70" s="20">
        <v>0.48282407407407407</v>
      </c>
      <c r="D70">
        <v>2161987</v>
      </c>
      <c r="E70" t="s">
        <v>833</v>
      </c>
      <c r="F70" t="s">
        <v>743</v>
      </c>
      <c r="G70">
        <v>1</v>
      </c>
      <c r="H70" t="s">
        <v>748</v>
      </c>
    </row>
    <row r="71" spans="1:8" x14ac:dyDescent="0.25">
      <c r="A71">
        <v>101</v>
      </c>
      <c r="B71" s="19">
        <v>44774</v>
      </c>
      <c r="C71" s="20">
        <v>0.5569560185185185</v>
      </c>
      <c r="D71">
        <v>2162037</v>
      </c>
      <c r="E71" t="s">
        <v>833</v>
      </c>
      <c r="F71" t="s">
        <v>743</v>
      </c>
      <c r="G71">
        <v>1</v>
      </c>
      <c r="H71" t="s">
        <v>748</v>
      </c>
    </row>
    <row r="72" spans="1:8" x14ac:dyDescent="0.25">
      <c r="A72">
        <v>101</v>
      </c>
      <c r="B72" s="19">
        <v>44775</v>
      </c>
      <c r="C72" s="20">
        <v>0.45659722222222227</v>
      </c>
      <c r="D72">
        <v>2162588</v>
      </c>
      <c r="E72" t="s">
        <v>833</v>
      </c>
      <c r="F72" t="s">
        <v>743</v>
      </c>
      <c r="G72">
        <v>1</v>
      </c>
      <c r="H72" t="s">
        <v>748</v>
      </c>
    </row>
    <row r="73" spans="1:8" x14ac:dyDescent="0.25">
      <c r="A73">
        <v>101</v>
      </c>
      <c r="B73" s="19">
        <v>44775</v>
      </c>
      <c r="C73" s="20">
        <v>0.63885416666666661</v>
      </c>
      <c r="D73">
        <v>2162732</v>
      </c>
      <c r="E73" t="s">
        <v>833</v>
      </c>
      <c r="F73" t="s">
        <v>743</v>
      </c>
      <c r="G73">
        <v>1</v>
      </c>
      <c r="H73" t="s">
        <v>748</v>
      </c>
    </row>
    <row r="74" spans="1:8" x14ac:dyDescent="0.25">
      <c r="A74">
        <v>101</v>
      </c>
      <c r="B74" s="19">
        <v>44776</v>
      </c>
      <c r="C74" s="20">
        <v>0.72636574074074067</v>
      </c>
      <c r="D74">
        <v>2163448</v>
      </c>
      <c r="E74" t="s">
        <v>720</v>
      </c>
      <c r="F74" t="s">
        <v>743</v>
      </c>
      <c r="G74">
        <v>1</v>
      </c>
      <c r="H74" t="s">
        <v>748</v>
      </c>
    </row>
    <row r="75" spans="1:8" x14ac:dyDescent="0.25">
      <c r="A75">
        <v>111</v>
      </c>
      <c r="B75" s="19">
        <v>44774</v>
      </c>
      <c r="C75" s="20">
        <v>0.38050925925925921</v>
      </c>
      <c r="D75">
        <v>730690</v>
      </c>
      <c r="E75" t="s">
        <v>813</v>
      </c>
      <c r="F75" t="s">
        <v>743</v>
      </c>
      <c r="G75">
        <v>1</v>
      </c>
      <c r="H75" t="s">
        <v>748</v>
      </c>
    </row>
    <row r="76" spans="1:8" x14ac:dyDescent="0.25">
      <c r="A76">
        <v>111</v>
      </c>
      <c r="B76" s="19">
        <v>44774</v>
      </c>
      <c r="C76" s="20">
        <v>0.7926157407407407</v>
      </c>
      <c r="D76">
        <v>730791</v>
      </c>
      <c r="E76" t="s">
        <v>722</v>
      </c>
      <c r="F76" t="s">
        <v>743</v>
      </c>
      <c r="G76">
        <v>1</v>
      </c>
      <c r="H76" t="s">
        <v>748</v>
      </c>
    </row>
    <row r="77" spans="1:8" x14ac:dyDescent="0.25">
      <c r="A77">
        <v>111</v>
      </c>
      <c r="B77" s="19">
        <v>44775</v>
      </c>
      <c r="C77" s="20">
        <v>0.56498842592592591</v>
      </c>
      <c r="D77">
        <v>730911</v>
      </c>
      <c r="E77" t="s">
        <v>721</v>
      </c>
      <c r="F77" t="s">
        <v>743</v>
      </c>
      <c r="G77">
        <v>1</v>
      </c>
      <c r="H77" t="s">
        <v>748</v>
      </c>
    </row>
    <row r="78" spans="1:8" x14ac:dyDescent="0.25">
      <c r="A78">
        <v>111</v>
      </c>
      <c r="B78" s="19">
        <v>44775</v>
      </c>
      <c r="C78" s="20">
        <v>0.56498842592592602</v>
      </c>
      <c r="D78">
        <v>730911</v>
      </c>
      <c r="E78" t="s">
        <v>721</v>
      </c>
      <c r="F78" t="s">
        <v>743</v>
      </c>
      <c r="G78">
        <v>1</v>
      </c>
    </row>
    <row r="79" spans="1:8" x14ac:dyDescent="0.25">
      <c r="A79">
        <v>111</v>
      </c>
      <c r="B79" s="19">
        <v>44775</v>
      </c>
      <c r="C79" s="20">
        <v>0.56498842592592602</v>
      </c>
      <c r="D79">
        <v>730911</v>
      </c>
      <c r="E79" t="s">
        <v>721</v>
      </c>
      <c r="F79" t="s">
        <v>743</v>
      </c>
      <c r="G79">
        <v>1</v>
      </c>
    </row>
    <row r="80" spans="1:8" x14ac:dyDescent="0.25">
      <c r="A80">
        <v>111</v>
      </c>
      <c r="B80" s="19">
        <v>44775</v>
      </c>
      <c r="C80" s="20">
        <v>0.56498842592592602</v>
      </c>
      <c r="D80">
        <v>730911</v>
      </c>
      <c r="E80" t="s">
        <v>721</v>
      </c>
      <c r="F80" t="s">
        <v>743</v>
      </c>
      <c r="G80">
        <v>1</v>
      </c>
    </row>
    <row r="81" spans="1:8" x14ac:dyDescent="0.25">
      <c r="A81">
        <v>111</v>
      </c>
      <c r="B81" s="19">
        <v>44775</v>
      </c>
      <c r="C81" s="20">
        <v>0.56498842592592602</v>
      </c>
      <c r="D81">
        <v>730911</v>
      </c>
      <c r="E81" t="s">
        <v>721</v>
      </c>
      <c r="F81" t="s">
        <v>743</v>
      </c>
      <c r="G81">
        <v>1</v>
      </c>
    </row>
    <row r="82" spans="1:8" x14ac:dyDescent="0.25">
      <c r="A82">
        <v>111</v>
      </c>
      <c r="B82" s="19">
        <v>44775</v>
      </c>
      <c r="C82" s="20">
        <v>0.56498842592592602</v>
      </c>
      <c r="D82">
        <v>730911</v>
      </c>
      <c r="E82" t="s">
        <v>721</v>
      </c>
      <c r="F82" t="s">
        <v>743</v>
      </c>
      <c r="G82">
        <v>1</v>
      </c>
    </row>
    <row r="83" spans="1:8" x14ac:dyDescent="0.25">
      <c r="A83">
        <v>111</v>
      </c>
      <c r="B83" s="19">
        <v>44775</v>
      </c>
      <c r="C83" s="20">
        <v>0.56498842592592602</v>
      </c>
      <c r="D83">
        <v>730911</v>
      </c>
      <c r="E83" t="s">
        <v>721</v>
      </c>
      <c r="F83" t="s">
        <v>743</v>
      </c>
      <c r="G83">
        <v>1</v>
      </c>
    </row>
    <row r="84" spans="1:8" x14ac:dyDescent="0.25">
      <c r="A84">
        <v>111</v>
      </c>
      <c r="B84" s="19">
        <v>44775</v>
      </c>
      <c r="C84" s="20">
        <v>0.56498842592592602</v>
      </c>
      <c r="D84">
        <v>730911</v>
      </c>
      <c r="E84" t="s">
        <v>721</v>
      </c>
      <c r="F84" t="s">
        <v>743</v>
      </c>
      <c r="G84">
        <v>1</v>
      </c>
    </row>
    <row r="85" spans="1:8" x14ac:dyDescent="0.25">
      <c r="A85">
        <v>111</v>
      </c>
      <c r="B85" s="19">
        <v>44775</v>
      </c>
      <c r="C85" s="20">
        <v>0.64415509259259263</v>
      </c>
      <c r="D85">
        <v>730921</v>
      </c>
      <c r="E85" t="s">
        <v>721</v>
      </c>
      <c r="F85" t="s">
        <v>743</v>
      </c>
      <c r="G85">
        <v>1</v>
      </c>
    </row>
    <row r="86" spans="1:8" x14ac:dyDescent="0.25">
      <c r="A86">
        <v>111</v>
      </c>
      <c r="B86" s="19">
        <v>44776</v>
      </c>
      <c r="C86" s="20">
        <v>0.55650462962962965</v>
      </c>
      <c r="D86">
        <v>731117</v>
      </c>
      <c r="E86" t="s">
        <v>721</v>
      </c>
      <c r="F86" t="s">
        <v>743</v>
      </c>
      <c r="G86">
        <v>1</v>
      </c>
      <c r="H86" t="s">
        <v>748</v>
      </c>
    </row>
    <row r="87" spans="1:8" x14ac:dyDescent="0.25">
      <c r="A87">
        <v>111</v>
      </c>
      <c r="B87" s="19">
        <v>44776</v>
      </c>
      <c r="C87" s="20">
        <v>0.90107638888888886</v>
      </c>
      <c r="D87">
        <v>731226</v>
      </c>
      <c r="E87" t="s">
        <v>722</v>
      </c>
      <c r="F87" t="s">
        <v>743</v>
      </c>
      <c r="G87">
        <v>1</v>
      </c>
      <c r="H87" t="s">
        <v>748</v>
      </c>
    </row>
    <row r="88" spans="1:8" x14ac:dyDescent="0.25">
      <c r="A88">
        <v>121</v>
      </c>
      <c r="B88" s="19">
        <v>44774</v>
      </c>
      <c r="C88" s="20">
        <v>0.4952893518518518</v>
      </c>
      <c r="D88">
        <v>1126961</v>
      </c>
      <c r="E88" t="s">
        <v>814</v>
      </c>
      <c r="F88" t="s">
        <v>743</v>
      </c>
      <c r="G88">
        <v>1</v>
      </c>
      <c r="H88" t="s">
        <v>748</v>
      </c>
    </row>
    <row r="89" spans="1:8" x14ac:dyDescent="0.25">
      <c r="A89">
        <v>121</v>
      </c>
      <c r="B89" s="19">
        <v>44774</v>
      </c>
      <c r="C89" s="20">
        <v>0.58893518518518517</v>
      </c>
      <c r="D89">
        <v>1126999</v>
      </c>
      <c r="E89" t="s">
        <v>814</v>
      </c>
      <c r="F89" t="s">
        <v>743</v>
      </c>
      <c r="G89">
        <v>1</v>
      </c>
      <c r="H89" t="s">
        <v>748</v>
      </c>
    </row>
    <row r="90" spans="1:8" x14ac:dyDescent="0.25">
      <c r="A90">
        <v>121</v>
      </c>
      <c r="B90" s="19">
        <v>44775</v>
      </c>
      <c r="C90" s="20">
        <v>0.47613425925925923</v>
      </c>
      <c r="D90">
        <v>1127201</v>
      </c>
      <c r="E90" t="s">
        <v>814</v>
      </c>
      <c r="F90" t="s">
        <v>743</v>
      </c>
      <c r="G90">
        <v>1</v>
      </c>
      <c r="H90" t="s">
        <v>748</v>
      </c>
    </row>
    <row r="91" spans="1:8" x14ac:dyDescent="0.25">
      <c r="A91">
        <v>121</v>
      </c>
      <c r="B91" s="19">
        <v>44775</v>
      </c>
      <c r="C91" s="20">
        <v>0.75775462962962958</v>
      </c>
      <c r="D91">
        <v>1127280</v>
      </c>
      <c r="E91" t="s">
        <v>814</v>
      </c>
      <c r="F91" t="s">
        <v>743</v>
      </c>
      <c r="G91">
        <v>1</v>
      </c>
      <c r="H91" t="s">
        <v>748</v>
      </c>
    </row>
    <row r="92" spans="1:8" x14ac:dyDescent="0.25">
      <c r="A92">
        <v>121</v>
      </c>
      <c r="B92" s="19">
        <v>44775</v>
      </c>
      <c r="C92" s="20">
        <v>0.81087962962962967</v>
      </c>
      <c r="D92">
        <v>1127306</v>
      </c>
      <c r="E92" t="s">
        <v>723</v>
      </c>
      <c r="F92" t="s">
        <v>743</v>
      </c>
      <c r="G92">
        <v>1</v>
      </c>
      <c r="H92" t="s">
        <v>748</v>
      </c>
    </row>
    <row r="93" spans="1:8" x14ac:dyDescent="0.25">
      <c r="A93">
        <v>121</v>
      </c>
      <c r="B93" s="19">
        <v>44776</v>
      </c>
      <c r="C93" s="20">
        <v>0.37593750000000004</v>
      </c>
      <c r="D93">
        <v>1127442</v>
      </c>
      <c r="E93" t="s">
        <v>814</v>
      </c>
      <c r="F93" t="s">
        <v>743</v>
      </c>
      <c r="G93">
        <v>1</v>
      </c>
      <c r="H93" t="s">
        <v>748</v>
      </c>
    </row>
    <row r="94" spans="1:8" x14ac:dyDescent="0.25">
      <c r="A94">
        <v>121</v>
      </c>
      <c r="B94" s="19">
        <v>44776</v>
      </c>
      <c r="C94" s="20">
        <v>0.44135416666666666</v>
      </c>
      <c r="D94">
        <v>1127493</v>
      </c>
      <c r="E94" t="s">
        <v>814</v>
      </c>
      <c r="F94" t="s">
        <v>743</v>
      </c>
      <c r="G94">
        <v>1</v>
      </c>
      <c r="H94" t="s">
        <v>748</v>
      </c>
    </row>
    <row r="95" spans="1:8" x14ac:dyDescent="0.25">
      <c r="A95">
        <v>121</v>
      </c>
      <c r="B95" s="19">
        <v>44776</v>
      </c>
      <c r="C95" s="20">
        <v>0.49901620370370375</v>
      </c>
      <c r="D95">
        <v>1127539</v>
      </c>
      <c r="E95" t="s">
        <v>814</v>
      </c>
      <c r="F95" t="s">
        <v>743</v>
      </c>
      <c r="G95">
        <v>1</v>
      </c>
      <c r="H95" t="s">
        <v>748</v>
      </c>
    </row>
    <row r="96" spans="1:8" x14ac:dyDescent="0.25">
      <c r="A96">
        <v>121</v>
      </c>
      <c r="B96" s="19">
        <v>44776</v>
      </c>
      <c r="C96" s="20">
        <v>0.59203703703703703</v>
      </c>
      <c r="D96">
        <v>1127618</v>
      </c>
      <c r="E96" t="s">
        <v>814</v>
      </c>
      <c r="F96" t="s">
        <v>743</v>
      </c>
      <c r="G96">
        <v>1</v>
      </c>
      <c r="H96" t="s">
        <v>748</v>
      </c>
    </row>
    <row r="97" spans="1:8" x14ac:dyDescent="0.25">
      <c r="A97">
        <v>121</v>
      </c>
      <c r="B97" s="19">
        <v>44776</v>
      </c>
      <c r="C97" s="20">
        <v>0.63268518518518524</v>
      </c>
      <c r="D97">
        <v>1127649</v>
      </c>
      <c r="E97" t="s">
        <v>814</v>
      </c>
      <c r="F97" t="s">
        <v>743</v>
      </c>
      <c r="G97">
        <v>1</v>
      </c>
      <c r="H97" t="s">
        <v>748</v>
      </c>
    </row>
    <row r="98" spans="1:8" x14ac:dyDescent="0.25">
      <c r="A98">
        <v>131</v>
      </c>
      <c r="B98" s="19">
        <v>44774</v>
      </c>
      <c r="C98" s="20">
        <v>0.39468750000000002</v>
      </c>
      <c r="D98">
        <v>1691288</v>
      </c>
      <c r="E98" t="s">
        <v>815</v>
      </c>
      <c r="F98" t="s">
        <v>743</v>
      </c>
      <c r="G98">
        <v>1</v>
      </c>
      <c r="H98" t="s">
        <v>748</v>
      </c>
    </row>
    <row r="99" spans="1:8" x14ac:dyDescent="0.25">
      <c r="A99">
        <v>131</v>
      </c>
      <c r="B99" s="19">
        <v>44774</v>
      </c>
      <c r="C99" s="20">
        <v>0.39697916666666666</v>
      </c>
      <c r="D99">
        <v>1691290</v>
      </c>
      <c r="E99" t="s">
        <v>815</v>
      </c>
      <c r="F99" t="s">
        <v>743</v>
      </c>
      <c r="G99">
        <v>1</v>
      </c>
      <c r="H99" t="s">
        <v>748</v>
      </c>
    </row>
    <row r="100" spans="1:8" x14ac:dyDescent="0.25">
      <c r="A100">
        <v>131</v>
      </c>
      <c r="B100" s="19">
        <v>44774</v>
      </c>
      <c r="C100" s="20">
        <v>0.41502314814814811</v>
      </c>
      <c r="D100">
        <v>1691299</v>
      </c>
      <c r="E100" t="s">
        <v>815</v>
      </c>
      <c r="F100" t="s">
        <v>743</v>
      </c>
      <c r="G100">
        <v>1</v>
      </c>
      <c r="H100" t="s">
        <v>748</v>
      </c>
    </row>
    <row r="101" spans="1:8" x14ac:dyDescent="0.25">
      <c r="A101">
        <v>131</v>
      </c>
      <c r="B101" s="19">
        <v>44774</v>
      </c>
      <c r="C101" s="20">
        <v>0.41622685185185188</v>
      </c>
      <c r="D101">
        <v>1691300</v>
      </c>
      <c r="E101" t="s">
        <v>815</v>
      </c>
      <c r="F101" t="s">
        <v>743</v>
      </c>
      <c r="G101">
        <v>1</v>
      </c>
      <c r="H101" t="s">
        <v>748</v>
      </c>
    </row>
    <row r="102" spans="1:8" x14ac:dyDescent="0.25">
      <c r="A102">
        <v>131</v>
      </c>
      <c r="B102" s="19">
        <v>44774</v>
      </c>
      <c r="C102" s="20">
        <v>0.42319444444444443</v>
      </c>
      <c r="D102">
        <v>1691307</v>
      </c>
      <c r="E102" t="s">
        <v>815</v>
      </c>
      <c r="F102" t="s">
        <v>743</v>
      </c>
      <c r="G102">
        <v>1</v>
      </c>
      <c r="H102" t="s">
        <v>748</v>
      </c>
    </row>
    <row r="103" spans="1:8" x14ac:dyDescent="0.25">
      <c r="A103">
        <v>131</v>
      </c>
      <c r="B103" s="19">
        <v>44774</v>
      </c>
      <c r="C103" s="20">
        <v>0.55298611111111107</v>
      </c>
      <c r="D103">
        <v>1691403</v>
      </c>
      <c r="E103" t="s">
        <v>816</v>
      </c>
      <c r="F103" t="s">
        <v>743</v>
      </c>
      <c r="G103">
        <v>1</v>
      </c>
      <c r="H103" t="s">
        <v>748</v>
      </c>
    </row>
    <row r="104" spans="1:8" x14ac:dyDescent="0.25">
      <c r="A104">
        <v>131</v>
      </c>
      <c r="B104" s="19">
        <v>44774</v>
      </c>
      <c r="C104" s="20">
        <v>0.66855324074074074</v>
      </c>
      <c r="D104">
        <v>1691432</v>
      </c>
      <c r="E104" t="s">
        <v>815</v>
      </c>
      <c r="F104" t="s">
        <v>743</v>
      </c>
      <c r="G104">
        <v>1</v>
      </c>
      <c r="H104" t="s">
        <v>748</v>
      </c>
    </row>
    <row r="105" spans="1:8" x14ac:dyDescent="0.25">
      <c r="A105">
        <v>131</v>
      </c>
      <c r="B105" s="19">
        <v>44774</v>
      </c>
      <c r="C105" s="20">
        <v>0.76616898148148149</v>
      </c>
      <c r="D105">
        <v>1691506</v>
      </c>
      <c r="E105" t="s">
        <v>815</v>
      </c>
      <c r="F105" t="s">
        <v>743</v>
      </c>
      <c r="G105">
        <v>1</v>
      </c>
      <c r="H105" t="s">
        <v>748</v>
      </c>
    </row>
    <row r="106" spans="1:8" x14ac:dyDescent="0.25">
      <c r="A106">
        <v>131</v>
      </c>
      <c r="B106" s="19">
        <v>44775</v>
      </c>
      <c r="C106" s="20">
        <v>0.44643518518518516</v>
      </c>
      <c r="D106">
        <v>1691719</v>
      </c>
      <c r="E106" t="s">
        <v>815</v>
      </c>
      <c r="F106" t="s">
        <v>743</v>
      </c>
      <c r="G106">
        <v>1</v>
      </c>
      <c r="H106" t="s">
        <v>748</v>
      </c>
    </row>
    <row r="107" spans="1:8" x14ac:dyDescent="0.25">
      <c r="A107">
        <v>131</v>
      </c>
      <c r="B107" s="19">
        <v>44775</v>
      </c>
      <c r="C107" s="20">
        <v>0.75480324074074068</v>
      </c>
      <c r="D107">
        <v>1691906</v>
      </c>
      <c r="E107" t="s">
        <v>724</v>
      </c>
      <c r="F107" t="s">
        <v>743</v>
      </c>
      <c r="G107">
        <v>1</v>
      </c>
      <c r="H107" t="s">
        <v>748</v>
      </c>
    </row>
    <row r="108" spans="1:8" x14ac:dyDescent="0.25">
      <c r="A108">
        <v>131</v>
      </c>
      <c r="B108" s="19">
        <v>44775</v>
      </c>
      <c r="C108" s="20">
        <v>0.82525462962962959</v>
      </c>
      <c r="D108">
        <v>1691957</v>
      </c>
      <c r="E108" t="s">
        <v>724</v>
      </c>
      <c r="F108" t="s">
        <v>743</v>
      </c>
      <c r="G108">
        <v>1</v>
      </c>
      <c r="H108" t="s">
        <v>748</v>
      </c>
    </row>
    <row r="109" spans="1:8" x14ac:dyDescent="0.25">
      <c r="A109">
        <v>131</v>
      </c>
      <c r="B109" s="19">
        <v>44775</v>
      </c>
      <c r="C109" s="20">
        <v>0.82618055555555558</v>
      </c>
      <c r="D109">
        <v>1691958</v>
      </c>
      <c r="E109" t="s">
        <v>724</v>
      </c>
      <c r="F109" t="s">
        <v>743</v>
      </c>
      <c r="G109">
        <v>1</v>
      </c>
      <c r="H109" t="s">
        <v>748</v>
      </c>
    </row>
    <row r="110" spans="1:8" x14ac:dyDescent="0.25">
      <c r="A110">
        <v>131</v>
      </c>
      <c r="B110" s="19">
        <v>44776</v>
      </c>
      <c r="C110" s="20">
        <v>0.48509259259259258</v>
      </c>
      <c r="D110">
        <v>1692145</v>
      </c>
      <c r="E110" t="s">
        <v>815</v>
      </c>
      <c r="F110" t="s">
        <v>743</v>
      </c>
      <c r="G110">
        <v>1</v>
      </c>
      <c r="H110" t="s">
        <v>748</v>
      </c>
    </row>
    <row r="111" spans="1:8" x14ac:dyDescent="0.25">
      <c r="A111">
        <v>131</v>
      </c>
      <c r="B111" s="19">
        <v>44776</v>
      </c>
      <c r="C111" s="20">
        <v>0.50056712962962957</v>
      </c>
      <c r="D111">
        <v>1692157</v>
      </c>
      <c r="E111" t="s">
        <v>815</v>
      </c>
      <c r="F111" t="s">
        <v>743</v>
      </c>
      <c r="G111">
        <v>1</v>
      </c>
      <c r="H111" t="s">
        <v>748</v>
      </c>
    </row>
    <row r="112" spans="1:8" x14ac:dyDescent="0.25">
      <c r="A112">
        <v>131</v>
      </c>
      <c r="B112" s="19">
        <v>44776</v>
      </c>
      <c r="C112" s="20">
        <v>0.57694444444444437</v>
      </c>
      <c r="D112">
        <v>1692204</v>
      </c>
      <c r="E112" t="s">
        <v>815</v>
      </c>
      <c r="F112" t="s">
        <v>743</v>
      </c>
      <c r="G112">
        <v>1</v>
      </c>
      <c r="H112" t="s">
        <v>748</v>
      </c>
    </row>
    <row r="113" spans="1:8" x14ac:dyDescent="0.25">
      <c r="A113">
        <v>131</v>
      </c>
      <c r="B113" s="19">
        <v>44776</v>
      </c>
      <c r="C113" s="20">
        <v>0.61697916666666663</v>
      </c>
      <c r="D113">
        <v>1692238</v>
      </c>
      <c r="E113" t="s">
        <v>815</v>
      </c>
      <c r="F113" t="s">
        <v>743</v>
      </c>
      <c r="G113">
        <v>1</v>
      </c>
      <c r="H113" t="s">
        <v>748</v>
      </c>
    </row>
    <row r="114" spans="1:8" x14ac:dyDescent="0.25">
      <c r="A114">
        <v>141</v>
      </c>
      <c r="B114" s="19">
        <v>44774</v>
      </c>
      <c r="C114" s="20">
        <v>0.35776620370370371</v>
      </c>
      <c r="D114">
        <v>1090120</v>
      </c>
      <c r="E114" t="s">
        <v>726</v>
      </c>
      <c r="F114" t="s">
        <v>743</v>
      </c>
      <c r="G114">
        <v>1</v>
      </c>
      <c r="H114" t="s">
        <v>748</v>
      </c>
    </row>
    <row r="115" spans="1:8" x14ac:dyDescent="0.25">
      <c r="A115">
        <v>141</v>
      </c>
      <c r="B115" s="19">
        <v>44774</v>
      </c>
      <c r="C115" s="20">
        <v>0.46880787037037036</v>
      </c>
      <c r="D115">
        <v>1090179</v>
      </c>
      <c r="E115" t="s">
        <v>726</v>
      </c>
      <c r="F115" t="s">
        <v>743</v>
      </c>
      <c r="G115">
        <v>1</v>
      </c>
      <c r="H115" t="s">
        <v>748</v>
      </c>
    </row>
    <row r="116" spans="1:8" x14ac:dyDescent="0.25">
      <c r="A116">
        <v>141</v>
      </c>
      <c r="B116" s="19">
        <v>44774</v>
      </c>
      <c r="C116" s="20">
        <v>0.50891203703703702</v>
      </c>
      <c r="D116">
        <v>1090211</v>
      </c>
      <c r="E116" t="s">
        <v>726</v>
      </c>
      <c r="F116" t="s">
        <v>743</v>
      </c>
      <c r="G116">
        <v>1</v>
      </c>
      <c r="H116" t="s">
        <v>748</v>
      </c>
    </row>
    <row r="117" spans="1:8" x14ac:dyDescent="0.25">
      <c r="A117">
        <v>141</v>
      </c>
      <c r="B117" s="19">
        <v>44774</v>
      </c>
      <c r="C117" s="20">
        <v>0.5103240740740741</v>
      </c>
      <c r="D117">
        <v>1090212</v>
      </c>
      <c r="E117" t="s">
        <v>726</v>
      </c>
      <c r="F117" t="s">
        <v>743</v>
      </c>
      <c r="G117">
        <v>1</v>
      </c>
      <c r="H117" t="s">
        <v>748</v>
      </c>
    </row>
    <row r="118" spans="1:8" x14ac:dyDescent="0.25">
      <c r="A118">
        <v>141</v>
      </c>
      <c r="B118" s="19">
        <v>44774</v>
      </c>
      <c r="C118" s="20">
        <v>0.6152199074074074</v>
      </c>
      <c r="D118">
        <v>1090293</v>
      </c>
      <c r="E118" t="s">
        <v>726</v>
      </c>
      <c r="F118" t="s">
        <v>743</v>
      </c>
      <c r="G118">
        <v>1</v>
      </c>
      <c r="H118" t="s">
        <v>748</v>
      </c>
    </row>
    <row r="119" spans="1:8" x14ac:dyDescent="0.25">
      <c r="A119">
        <v>141</v>
      </c>
      <c r="B119" s="19">
        <v>44774</v>
      </c>
      <c r="C119" s="20">
        <v>0.78520833333333329</v>
      </c>
      <c r="D119">
        <v>1090436</v>
      </c>
      <c r="E119" t="s">
        <v>726</v>
      </c>
      <c r="F119" t="s">
        <v>743</v>
      </c>
      <c r="G119">
        <v>1</v>
      </c>
      <c r="H119" t="s">
        <v>748</v>
      </c>
    </row>
    <row r="120" spans="1:8" x14ac:dyDescent="0.25">
      <c r="A120">
        <v>141</v>
      </c>
      <c r="B120" s="19">
        <v>44774</v>
      </c>
      <c r="C120" s="20">
        <v>0.84277777777777774</v>
      </c>
      <c r="D120">
        <v>1090487</v>
      </c>
      <c r="E120" t="s">
        <v>726</v>
      </c>
      <c r="F120" t="s">
        <v>743</v>
      </c>
      <c r="G120">
        <v>1</v>
      </c>
      <c r="H120" t="s">
        <v>748</v>
      </c>
    </row>
    <row r="121" spans="1:8" x14ac:dyDescent="0.25">
      <c r="A121">
        <v>141</v>
      </c>
      <c r="B121" s="19">
        <v>44775</v>
      </c>
      <c r="C121" s="20">
        <v>0.41368055555555555</v>
      </c>
      <c r="D121">
        <v>1090608</v>
      </c>
      <c r="E121" t="s">
        <v>726</v>
      </c>
      <c r="F121" t="s">
        <v>743</v>
      </c>
      <c r="G121">
        <v>1</v>
      </c>
      <c r="H121" t="s">
        <v>748</v>
      </c>
    </row>
    <row r="122" spans="1:8" x14ac:dyDescent="0.25">
      <c r="A122">
        <v>141</v>
      </c>
      <c r="B122" s="19">
        <v>44775</v>
      </c>
      <c r="C122" s="20">
        <v>0.44533564814814813</v>
      </c>
      <c r="D122">
        <v>1090626</v>
      </c>
      <c r="E122" t="s">
        <v>726</v>
      </c>
      <c r="F122" t="s">
        <v>743</v>
      </c>
      <c r="G122">
        <v>1</v>
      </c>
      <c r="H122" t="s">
        <v>748</v>
      </c>
    </row>
    <row r="123" spans="1:8" x14ac:dyDescent="0.25">
      <c r="A123">
        <v>141</v>
      </c>
      <c r="B123" s="19">
        <v>44775</v>
      </c>
      <c r="C123" s="20">
        <v>0.55371527777777774</v>
      </c>
      <c r="D123">
        <v>1090684</v>
      </c>
      <c r="E123" t="s">
        <v>726</v>
      </c>
      <c r="F123" t="s">
        <v>743</v>
      </c>
      <c r="G123">
        <v>1</v>
      </c>
      <c r="H123" t="s">
        <v>748</v>
      </c>
    </row>
    <row r="124" spans="1:8" x14ac:dyDescent="0.25">
      <c r="A124">
        <v>141</v>
      </c>
      <c r="B124" s="19">
        <v>44775</v>
      </c>
      <c r="C124" s="20">
        <v>0.71195601851851853</v>
      </c>
      <c r="D124">
        <v>1090802</v>
      </c>
      <c r="E124" t="s">
        <v>727</v>
      </c>
      <c r="F124" t="s">
        <v>743</v>
      </c>
      <c r="G124">
        <v>1</v>
      </c>
      <c r="H124" t="s">
        <v>748</v>
      </c>
    </row>
    <row r="125" spans="1:8" x14ac:dyDescent="0.25">
      <c r="A125">
        <v>141</v>
      </c>
      <c r="B125" s="19">
        <v>44776</v>
      </c>
      <c r="C125" s="20">
        <v>0.25430555555555556</v>
      </c>
      <c r="D125">
        <v>1090928</v>
      </c>
      <c r="E125" t="s">
        <v>726</v>
      </c>
      <c r="F125" t="s">
        <v>743</v>
      </c>
      <c r="G125">
        <v>1</v>
      </c>
      <c r="H125" t="s">
        <v>748</v>
      </c>
    </row>
    <row r="126" spans="1:8" x14ac:dyDescent="0.25">
      <c r="A126">
        <v>141</v>
      </c>
      <c r="B126" s="19">
        <v>44776</v>
      </c>
      <c r="C126" s="20">
        <v>0.38564814814814818</v>
      </c>
      <c r="D126">
        <v>1090967</v>
      </c>
      <c r="E126" t="s">
        <v>816</v>
      </c>
      <c r="F126" t="s">
        <v>743</v>
      </c>
      <c r="G126">
        <v>1</v>
      </c>
      <c r="H126" t="s">
        <v>748</v>
      </c>
    </row>
    <row r="127" spans="1:8" x14ac:dyDescent="0.25">
      <c r="A127">
        <v>141</v>
      </c>
      <c r="B127" s="19">
        <v>44776</v>
      </c>
      <c r="C127" s="20">
        <v>0.40069444444444446</v>
      </c>
      <c r="D127">
        <v>1090973</v>
      </c>
      <c r="E127" t="s">
        <v>816</v>
      </c>
      <c r="F127" t="s">
        <v>743</v>
      </c>
      <c r="G127">
        <v>1</v>
      </c>
      <c r="H127" t="s">
        <v>748</v>
      </c>
    </row>
    <row r="128" spans="1:8" x14ac:dyDescent="0.25">
      <c r="A128">
        <v>141</v>
      </c>
      <c r="B128" s="19">
        <v>44776</v>
      </c>
      <c r="C128" s="20">
        <v>0.42890046296296297</v>
      </c>
      <c r="D128">
        <v>1090983</v>
      </c>
      <c r="E128" t="s">
        <v>726</v>
      </c>
      <c r="F128" t="s">
        <v>743</v>
      </c>
      <c r="G128">
        <v>1</v>
      </c>
      <c r="H128" t="s">
        <v>748</v>
      </c>
    </row>
    <row r="129" spans="1:8" x14ac:dyDescent="0.25">
      <c r="A129">
        <v>141</v>
      </c>
      <c r="B129" s="19">
        <v>44776</v>
      </c>
      <c r="C129" s="20">
        <v>0.56600694444444444</v>
      </c>
      <c r="D129">
        <v>1091069</v>
      </c>
      <c r="E129" t="s">
        <v>726</v>
      </c>
      <c r="F129" t="s">
        <v>743</v>
      </c>
      <c r="G129">
        <v>1</v>
      </c>
      <c r="H129" t="s">
        <v>748</v>
      </c>
    </row>
    <row r="130" spans="1:8" x14ac:dyDescent="0.25">
      <c r="A130">
        <v>141</v>
      </c>
      <c r="B130" s="19">
        <v>44776</v>
      </c>
      <c r="C130" s="20">
        <v>0.59055555555555561</v>
      </c>
      <c r="D130">
        <v>1091087</v>
      </c>
      <c r="E130" t="s">
        <v>726</v>
      </c>
      <c r="F130" t="s">
        <v>743</v>
      </c>
      <c r="G130">
        <v>1</v>
      </c>
      <c r="H130" t="s">
        <v>748</v>
      </c>
    </row>
    <row r="131" spans="1:8" x14ac:dyDescent="0.25">
      <c r="A131">
        <v>141</v>
      </c>
      <c r="B131" s="19">
        <v>44776</v>
      </c>
      <c r="C131" s="20">
        <v>0.59914351851851855</v>
      </c>
      <c r="D131">
        <v>1091095</v>
      </c>
      <c r="E131" t="s">
        <v>727</v>
      </c>
      <c r="F131" t="s">
        <v>743</v>
      </c>
      <c r="G131">
        <v>1</v>
      </c>
      <c r="H131" t="s">
        <v>748</v>
      </c>
    </row>
    <row r="132" spans="1:8" x14ac:dyDescent="0.25">
      <c r="A132">
        <v>141</v>
      </c>
      <c r="B132" s="19">
        <v>44776</v>
      </c>
      <c r="C132" s="20">
        <v>0.60119212962962965</v>
      </c>
      <c r="D132">
        <v>1091098</v>
      </c>
      <c r="E132" t="s">
        <v>727</v>
      </c>
      <c r="F132" t="s">
        <v>743</v>
      </c>
      <c r="G132">
        <v>1</v>
      </c>
      <c r="H132" t="s">
        <v>748</v>
      </c>
    </row>
    <row r="133" spans="1:8" x14ac:dyDescent="0.25">
      <c r="A133">
        <v>141</v>
      </c>
      <c r="B133" s="19">
        <v>44776</v>
      </c>
      <c r="C133" s="20">
        <v>0.65601851851851845</v>
      </c>
      <c r="D133">
        <v>1091149</v>
      </c>
      <c r="E133" t="s">
        <v>727</v>
      </c>
      <c r="F133" t="s">
        <v>743</v>
      </c>
      <c r="G133">
        <v>1</v>
      </c>
      <c r="H133" t="s">
        <v>748</v>
      </c>
    </row>
    <row r="134" spans="1:8" x14ac:dyDescent="0.25">
      <c r="A134">
        <v>161</v>
      </c>
      <c r="B134" s="19">
        <v>44774</v>
      </c>
      <c r="C134" s="20">
        <v>0.62113425925925925</v>
      </c>
      <c r="D134">
        <v>622486</v>
      </c>
      <c r="E134" t="s">
        <v>817</v>
      </c>
      <c r="F134" t="s">
        <v>743</v>
      </c>
      <c r="G134">
        <v>1</v>
      </c>
      <c r="H134" t="s">
        <v>748</v>
      </c>
    </row>
    <row r="135" spans="1:8" x14ac:dyDescent="0.25">
      <c r="A135">
        <v>161</v>
      </c>
      <c r="B135" s="19">
        <v>44774</v>
      </c>
      <c r="C135" s="20">
        <v>0.67186342592592585</v>
      </c>
      <c r="D135">
        <v>622507</v>
      </c>
      <c r="E135" t="s">
        <v>817</v>
      </c>
      <c r="F135" t="s">
        <v>743</v>
      </c>
      <c r="G135">
        <v>1</v>
      </c>
      <c r="H135" t="s">
        <v>748</v>
      </c>
    </row>
    <row r="136" spans="1:8" x14ac:dyDescent="0.25">
      <c r="A136">
        <v>161</v>
      </c>
      <c r="B136" s="19">
        <v>44774</v>
      </c>
      <c r="C136" s="20">
        <v>0.88218750000000001</v>
      </c>
      <c r="D136">
        <v>622598</v>
      </c>
      <c r="E136" t="s">
        <v>728</v>
      </c>
      <c r="F136" t="s">
        <v>743</v>
      </c>
      <c r="G136">
        <v>1</v>
      </c>
      <c r="H136" t="s">
        <v>748</v>
      </c>
    </row>
    <row r="137" spans="1:8" x14ac:dyDescent="0.25">
      <c r="A137">
        <v>161</v>
      </c>
      <c r="B137" s="19">
        <v>44775</v>
      </c>
      <c r="C137" s="20">
        <v>0.45319444444444446</v>
      </c>
      <c r="D137">
        <v>622738</v>
      </c>
      <c r="E137" t="s">
        <v>817</v>
      </c>
      <c r="F137" t="s">
        <v>743</v>
      </c>
      <c r="G137">
        <v>1</v>
      </c>
      <c r="H137" t="s">
        <v>748</v>
      </c>
    </row>
    <row r="138" spans="1:8" x14ac:dyDescent="0.25">
      <c r="A138">
        <v>161</v>
      </c>
      <c r="B138" s="19">
        <v>44775</v>
      </c>
      <c r="C138" s="20">
        <v>0.4546412037037037</v>
      </c>
      <c r="D138">
        <v>622739</v>
      </c>
      <c r="E138" t="s">
        <v>817</v>
      </c>
      <c r="F138" t="s">
        <v>743</v>
      </c>
      <c r="G138">
        <v>1</v>
      </c>
      <c r="H138" t="s">
        <v>748</v>
      </c>
    </row>
    <row r="139" spans="1:8" x14ac:dyDescent="0.25">
      <c r="A139">
        <v>161</v>
      </c>
      <c r="B139" s="19">
        <v>44776</v>
      </c>
      <c r="C139" s="20">
        <v>0.62364583333333334</v>
      </c>
      <c r="D139">
        <v>623077</v>
      </c>
      <c r="E139" t="s">
        <v>728</v>
      </c>
      <c r="F139" t="s">
        <v>743</v>
      </c>
      <c r="G139">
        <v>1</v>
      </c>
      <c r="H139" t="s">
        <v>748</v>
      </c>
    </row>
    <row r="140" spans="1:8" x14ac:dyDescent="0.25">
      <c r="A140">
        <v>161</v>
      </c>
      <c r="B140" s="19">
        <v>44776</v>
      </c>
      <c r="C140" s="20">
        <v>0.81042824074074071</v>
      </c>
      <c r="D140">
        <v>623153</v>
      </c>
      <c r="E140" t="s">
        <v>707</v>
      </c>
      <c r="F140" t="s">
        <v>743</v>
      </c>
      <c r="G140">
        <v>1</v>
      </c>
      <c r="H140" t="s">
        <v>748</v>
      </c>
    </row>
    <row r="141" spans="1:8" x14ac:dyDescent="0.25">
      <c r="A141">
        <v>161</v>
      </c>
      <c r="B141" s="19">
        <v>44776</v>
      </c>
      <c r="C141" s="20">
        <v>0.88347222222222221</v>
      </c>
      <c r="D141">
        <v>623186</v>
      </c>
      <c r="E141" t="s">
        <v>707</v>
      </c>
      <c r="F141" t="s">
        <v>743</v>
      </c>
      <c r="G141">
        <v>1</v>
      </c>
      <c r="H141" t="s">
        <v>748</v>
      </c>
    </row>
    <row r="142" spans="1:8" x14ac:dyDescent="0.25">
      <c r="A142">
        <v>231</v>
      </c>
      <c r="B142" s="19">
        <v>44774</v>
      </c>
      <c r="C142" s="20">
        <v>0.55084490740740744</v>
      </c>
      <c r="D142">
        <v>496109</v>
      </c>
      <c r="E142" t="s">
        <v>730</v>
      </c>
      <c r="F142" t="s">
        <v>743</v>
      </c>
      <c r="G142">
        <v>1</v>
      </c>
      <c r="H142" t="s">
        <v>748</v>
      </c>
    </row>
    <row r="143" spans="1:8" x14ac:dyDescent="0.25">
      <c r="A143">
        <v>231</v>
      </c>
      <c r="B143" s="19">
        <v>44774</v>
      </c>
      <c r="C143" s="20">
        <v>0.78901620370370373</v>
      </c>
      <c r="D143">
        <v>496234</v>
      </c>
      <c r="E143" t="s">
        <v>730</v>
      </c>
      <c r="F143" t="s">
        <v>743</v>
      </c>
      <c r="G143">
        <v>1</v>
      </c>
      <c r="H143" t="s">
        <v>748</v>
      </c>
    </row>
    <row r="144" spans="1:8" x14ac:dyDescent="0.25">
      <c r="A144">
        <v>231</v>
      </c>
      <c r="B144" s="19">
        <v>44776</v>
      </c>
      <c r="C144" s="20">
        <v>0.31071759259259263</v>
      </c>
      <c r="D144">
        <v>496542</v>
      </c>
      <c r="E144" t="s">
        <v>731</v>
      </c>
      <c r="F144" t="s">
        <v>743</v>
      </c>
      <c r="G144">
        <v>1</v>
      </c>
      <c r="H144" t="s">
        <v>748</v>
      </c>
    </row>
    <row r="145" spans="1:8" x14ac:dyDescent="0.25">
      <c r="A145">
        <v>231</v>
      </c>
      <c r="B145" s="19">
        <v>44776</v>
      </c>
      <c r="C145" s="20">
        <v>0.42969907407407404</v>
      </c>
      <c r="D145">
        <v>496560</v>
      </c>
      <c r="E145" t="s">
        <v>731</v>
      </c>
      <c r="F145" t="s">
        <v>743</v>
      </c>
      <c r="G145">
        <v>1</v>
      </c>
      <c r="H145" t="s">
        <v>748</v>
      </c>
    </row>
    <row r="146" spans="1:8" x14ac:dyDescent="0.25">
      <c r="A146">
        <v>261</v>
      </c>
      <c r="B146" s="19">
        <v>44775</v>
      </c>
      <c r="C146" s="20">
        <v>0.41403935185185187</v>
      </c>
      <c r="D146">
        <v>592405</v>
      </c>
      <c r="E146" t="s">
        <v>732</v>
      </c>
      <c r="F146" t="s">
        <v>743</v>
      </c>
      <c r="G146">
        <v>1</v>
      </c>
      <c r="H146" t="s">
        <v>748</v>
      </c>
    </row>
    <row r="147" spans="1:8" x14ac:dyDescent="0.25">
      <c r="A147">
        <v>261</v>
      </c>
      <c r="B147" s="19">
        <v>44775</v>
      </c>
      <c r="C147" s="20">
        <v>0.50105324074074076</v>
      </c>
      <c r="D147">
        <v>592426</v>
      </c>
      <c r="E147" t="s">
        <v>732</v>
      </c>
      <c r="F147" t="s">
        <v>743</v>
      </c>
      <c r="G147">
        <v>1</v>
      </c>
      <c r="H147" t="s">
        <v>748</v>
      </c>
    </row>
    <row r="148" spans="1:8" x14ac:dyDescent="0.25">
      <c r="A148">
        <v>271</v>
      </c>
      <c r="B148" s="19">
        <v>44774</v>
      </c>
      <c r="C148" s="20">
        <v>0.52182870370370371</v>
      </c>
      <c r="D148">
        <v>238800</v>
      </c>
      <c r="E148" t="s">
        <v>830</v>
      </c>
      <c r="F148" t="s">
        <v>743</v>
      </c>
      <c r="G148">
        <v>1</v>
      </c>
      <c r="H148" t="s">
        <v>748</v>
      </c>
    </row>
    <row r="149" spans="1:8" x14ac:dyDescent="0.25">
      <c r="A149">
        <v>271</v>
      </c>
      <c r="B149" s="19">
        <v>44774</v>
      </c>
      <c r="C149" s="20">
        <v>0.52678240740740734</v>
      </c>
      <c r="D149">
        <v>238806</v>
      </c>
      <c r="E149" t="s">
        <v>830</v>
      </c>
      <c r="F149" t="s">
        <v>743</v>
      </c>
      <c r="G149">
        <v>1</v>
      </c>
      <c r="H149" t="s">
        <v>748</v>
      </c>
    </row>
    <row r="150" spans="1:8" x14ac:dyDescent="0.25">
      <c r="A150">
        <v>271</v>
      </c>
      <c r="B150" s="19">
        <v>44774</v>
      </c>
      <c r="C150" s="20">
        <v>0.6463888888888889</v>
      </c>
      <c r="D150">
        <v>238926</v>
      </c>
      <c r="E150" t="s">
        <v>707</v>
      </c>
      <c r="F150" t="s">
        <v>743</v>
      </c>
      <c r="G150">
        <v>1</v>
      </c>
      <c r="H150" t="s">
        <v>748</v>
      </c>
    </row>
    <row r="151" spans="1:8" x14ac:dyDescent="0.25">
      <c r="A151">
        <v>271</v>
      </c>
      <c r="B151" s="19">
        <v>44774</v>
      </c>
      <c r="C151" s="20">
        <v>0.79791666666666661</v>
      </c>
      <c r="D151">
        <v>239026</v>
      </c>
      <c r="E151" t="s">
        <v>830</v>
      </c>
      <c r="F151" t="s">
        <v>743</v>
      </c>
      <c r="G151">
        <v>1</v>
      </c>
      <c r="H151" t="s">
        <v>748</v>
      </c>
    </row>
    <row r="152" spans="1:8" x14ac:dyDescent="0.25">
      <c r="A152">
        <v>271</v>
      </c>
      <c r="B152" s="19">
        <v>44774</v>
      </c>
      <c r="C152" s="20">
        <v>0.8497569444444445</v>
      </c>
      <c r="D152">
        <v>239064</v>
      </c>
      <c r="E152" t="s">
        <v>707</v>
      </c>
      <c r="F152" t="s">
        <v>743</v>
      </c>
      <c r="G152">
        <v>1</v>
      </c>
      <c r="H152" t="s">
        <v>748</v>
      </c>
    </row>
    <row r="153" spans="1:8" x14ac:dyDescent="0.25">
      <c r="A153">
        <v>271</v>
      </c>
      <c r="B153" s="19">
        <v>44775</v>
      </c>
      <c r="C153" s="20">
        <v>0.61840277777777775</v>
      </c>
      <c r="D153">
        <v>239275</v>
      </c>
      <c r="E153" t="s">
        <v>818</v>
      </c>
      <c r="F153" t="s">
        <v>743</v>
      </c>
      <c r="G153">
        <v>1</v>
      </c>
      <c r="H153" t="s">
        <v>748</v>
      </c>
    </row>
    <row r="154" spans="1:8" x14ac:dyDescent="0.25">
      <c r="A154">
        <v>271</v>
      </c>
      <c r="B154" s="19">
        <v>44775</v>
      </c>
      <c r="C154" s="20">
        <v>0.64311342592592591</v>
      </c>
      <c r="D154">
        <v>239297</v>
      </c>
      <c r="E154" t="s">
        <v>707</v>
      </c>
      <c r="F154" t="s">
        <v>743</v>
      </c>
      <c r="G154">
        <v>1</v>
      </c>
      <c r="H154" t="s">
        <v>748</v>
      </c>
    </row>
    <row r="155" spans="1:8" x14ac:dyDescent="0.25">
      <c r="A155">
        <v>271</v>
      </c>
      <c r="B155" s="19">
        <v>44775</v>
      </c>
      <c r="C155" s="20">
        <v>0.79185185185185192</v>
      </c>
      <c r="D155">
        <v>239396</v>
      </c>
      <c r="E155" t="s">
        <v>707</v>
      </c>
      <c r="F155" t="s">
        <v>743</v>
      </c>
      <c r="G155">
        <v>1</v>
      </c>
      <c r="H155" t="s">
        <v>748</v>
      </c>
    </row>
    <row r="156" spans="1:8" x14ac:dyDescent="0.25">
      <c r="A156">
        <v>271</v>
      </c>
      <c r="B156" s="19">
        <v>44776</v>
      </c>
      <c r="C156" s="20">
        <v>0.3283564814814815</v>
      </c>
      <c r="D156">
        <v>239497</v>
      </c>
      <c r="E156" t="s">
        <v>707</v>
      </c>
      <c r="F156" t="s">
        <v>743</v>
      </c>
      <c r="G156">
        <v>1</v>
      </c>
      <c r="H156" t="s">
        <v>748</v>
      </c>
    </row>
    <row r="157" spans="1:8" x14ac:dyDescent="0.25">
      <c r="A157">
        <v>271</v>
      </c>
      <c r="B157" s="19">
        <v>44776</v>
      </c>
      <c r="C157" s="20">
        <v>0.33703703703703702</v>
      </c>
      <c r="D157">
        <v>239502</v>
      </c>
      <c r="E157" t="s">
        <v>707</v>
      </c>
      <c r="F157" t="s">
        <v>743</v>
      </c>
      <c r="G157">
        <v>1</v>
      </c>
      <c r="H157" t="s">
        <v>748</v>
      </c>
    </row>
    <row r="158" spans="1:8" x14ac:dyDescent="0.25">
      <c r="A158">
        <v>271</v>
      </c>
      <c r="B158" s="19">
        <v>44776</v>
      </c>
      <c r="C158" s="20">
        <v>0.44344907407407402</v>
      </c>
      <c r="D158">
        <v>239552</v>
      </c>
      <c r="E158" t="s">
        <v>707</v>
      </c>
      <c r="F158" t="s">
        <v>743</v>
      </c>
      <c r="G158">
        <v>1</v>
      </c>
      <c r="H158" t="s">
        <v>748</v>
      </c>
    </row>
    <row r="159" spans="1:8" x14ac:dyDescent="0.25">
      <c r="A159">
        <v>271</v>
      </c>
      <c r="B159" s="19">
        <v>44776</v>
      </c>
      <c r="C159" s="20">
        <v>0.48643518518518519</v>
      </c>
      <c r="D159">
        <v>239570</v>
      </c>
      <c r="E159" t="s">
        <v>707</v>
      </c>
      <c r="F159" t="s">
        <v>743</v>
      </c>
      <c r="G159">
        <v>1</v>
      </c>
      <c r="H159" t="s">
        <v>748</v>
      </c>
    </row>
    <row r="160" spans="1:8" x14ac:dyDescent="0.25">
      <c r="A160">
        <v>271</v>
      </c>
      <c r="B160" s="19">
        <v>44776</v>
      </c>
      <c r="C160" s="20">
        <v>0.49438657407407405</v>
      </c>
      <c r="D160">
        <v>239574</v>
      </c>
      <c r="E160" t="s">
        <v>707</v>
      </c>
      <c r="F160" t="s">
        <v>743</v>
      </c>
      <c r="G160">
        <v>1</v>
      </c>
      <c r="H160" t="s">
        <v>748</v>
      </c>
    </row>
    <row r="161" spans="1:8" x14ac:dyDescent="0.25">
      <c r="A161">
        <v>271</v>
      </c>
      <c r="B161" s="19">
        <v>44776</v>
      </c>
      <c r="C161" s="20">
        <v>0.61032407407407407</v>
      </c>
      <c r="D161">
        <v>239681</v>
      </c>
      <c r="E161" t="s">
        <v>707</v>
      </c>
      <c r="F161" t="s">
        <v>743</v>
      </c>
      <c r="G161">
        <v>1</v>
      </c>
      <c r="H161" t="s">
        <v>748</v>
      </c>
    </row>
    <row r="162" spans="1:8" x14ac:dyDescent="0.25">
      <c r="A162">
        <v>271</v>
      </c>
      <c r="B162" s="19">
        <v>44776</v>
      </c>
      <c r="C162" s="20">
        <v>0.62758101851851855</v>
      </c>
      <c r="D162">
        <v>239693</v>
      </c>
      <c r="E162" t="s">
        <v>707</v>
      </c>
      <c r="F162" t="s">
        <v>743</v>
      </c>
      <c r="G162">
        <v>1</v>
      </c>
      <c r="H162" t="s">
        <v>748</v>
      </c>
    </row>
    <row r="163" spans="1:8" x14ac:dyDescent="0.25">
      <c r="A163">
        <v>271</v>
      </c>
      <c r="B163" s="19">
        <v>44776</v>
      </c>
      <c r="C163" s="20">
        <v>0.64068287037037031</v>
      </c>
      <c r="D163">
        <v>239699</v>
      </c>
      <c r="E163" t="s">
        <v>707</v>
      </c>
      <c r="F163" t="s">
        <v>743</v>
      </c>
      <c r="G163">
        <v>1</v>
      </c>
      <c r="H163" t="s">
        <v>748</v>
      </c>
    </row>
    <row r="164" spans="1:8" x14ac:dyDescent="0.25">
      <c r="A164">
        <v>271</v>
      </c>
      <c r="B164" s="19">
        <v>44776</v>
      </c>
      <c r="C164" s="20">
        <v>0.77055555555555555</v>
      </c>
      <c r="D164">
        <v>239785</v>
      </c>
      <c r="E164" t="s">
        <v>707</v>
      </c>
      <c r="F164" t="s">
        <v>743</v>
      </c>
      <c r="G164">
        <v>1</v>
      </c>
      <c r="H164" t="s">
        <v>748</v>
      </c>
    </row>
    <row r="165" spans="1:8" x14ac:dyDescent="0.25">
      <c r="A165">
        <v>321</v>
      </c>
      <c r="B165" s="19">
        <v>44774</v>
      </c>
      <c r="C165" s="20">
        <v>0.34052083333333333</v>
      </c>
      <c r="D165">
        <v>511988</v>
      </c>
      <c r="E165" t="s">
        <v>834</v>
      </c>
      <c r="F165" t="s">
        <v>743</v>
      </c>
      <c r="G165">
        <v>1</v>
      </c>
      <c r="H165" t="s">
        <v>748</v>
      </c>
    </row>
    <row r="166" spans="1:8" x14ac:dyDescent="0.25">
      <c r="A166">
        <v>321</v>
      </c>
      <c r="B166" s="19">
        <v>44774</v>
      </c>
      <c r="C166" s="20">
        <v>0.75291666666666668</v>
      </c>
      <c r="D166">
        <v>512179</v>
      </c>
      <c r="E166" t="s">
        <v>834</v>
      </c>
      <c r="F166" t="s">
        <v>743</v>
      </c>
      <c r="G166">
        <v>1</v>
      </c>
      <c r="H166" t="s">
        <v>748</v>
      </c>
    </row>
    <row r="167" spans="1:8" x14ac:dyDescent="0.25">
      <c r="A167">
        <v>321</v>
      </c>
      <c r="B167" s="19">
        <v>44776</v>
      </c>
      <c r="C167" s="20">
        <v>0.54818287037037039</v>
      </c>
      <c r="D167">
        <v>512806</v>
      </c>
      <c r="E167" t="s">
        <v>834</v>
      </c>
      <c r="F167" t="s">
        <v>743</v>
      </c>
      <c r="G167">
        <v>1</v>
      </c>
      <c r="H167" t="s">
        <v>748</v>
      </c>
    </row>
    <row r="168" spans="1:8" x14ac:dyDescent="0.25">
      <c r="A168">
        <v>321</v>
      </c>
      <c r="B168" s="19">
        <v>44776</v>
      </c>
      <c r="C168" s="20">
        <v>0.61619212962962966</v>
      </c>
      <c r="D168">
        <v>512828</v>
      </c>
      <c r="E168" t="s">
        <v>834</v>
      </c>
      <c r="F168" t="s">
        <v>743</v>
      </c>
      <c r="G168">
        <v>1</v>
      </c>
      <c r="H168" t="s">
        <v>748</v>
      </c>
    </row>
    <row r="169" spans="1:8" x14ac:dyDescent="0.25">
      <c r="A169">
        <v>321</v>
      </c>
      <c r="B169" s="19">
        <v>44776</v>
      </c>
      <c r="C169" s="20">
        <v>0.79886574074074079</v>
      </c>
      <c r="D169">
        <v>512920</v>
      </c>
      <c r="E169" t="s">
        <v>735</v>
      </c>
      <c r="F169" t="s">
        <v>743</v>
      </c>
      <c r="G169">
        <v>1</v>
      </c>
      <c r="H169" t="s">
        <v>748</v>
      </c>
    </row>
    <row r="170" spans="1:8" x14ac:dyDescent="0.25">
      <c r="A170">
        <v>321</v>
      </c>
      <c r="B170" s="19">
        <v>44776</v>
      </c>
      <c r="C170" s="20">
        <v>0.80004629629629631</v>
      </c>
      <c r="D170">
        <v>512921</v>
      </c>
      <c r="E170" t="s">
        <v>735</v>
      </c>
      <c r="F170" t="s">
        <v>743</v>
      </c>
      <c r="G170">
        <v>1</v>
      </c>
      <c r="H170" t="s">
        <v>748</v>
      </c>
    </row>
    <row r="171" spans="1:8" x14ac:dyDescent="0.25">
      <c r="A171">
        <v>351</v>
      </c>
      <c r="B171" s="19">
        <v>44775</v>
      </c>
      <c r="C171" s="20">
        <v>0.75020833333333325</v>
      </c>
      <c r="D171">
        <v>471220</v>
      </c>
      <c r="E171" t="s">
        <v>812</v>
      </c>
      <c r="F171" t="s">
        <v>743</v>
      </c>
      <c r="G171">
        <v>1</v>
      </c>
    </row>
    <row r="172" spans="1:8" x14ac:dyDescent="0.25">
      <c r="A172">
        <v>361</v>
      </c>
      <c r="B172" s="19">
        <v>44776</v>
      </c>
      <c r="C172" s="20">
        <v>0.82696759259259256</v>
      </c>
      <c r="D172">
        <v>352072</v>
      </c>
      <c r="E172" t="s">
        <v>707</v>
      </c>
      <c r="F172" t="s">
        <v>743</v>
      </c>
      <c r="G172">
        <v>1</v>
      </c>
      <c r="H172" t="s">
        <v>748</v>
      </c>
    </row>
    <row r="173" spans="1:8" x14ac:dyDescent="0.25">
      <c r="A173">
        <v>401</v>
      </c>
      <c r="B173" s="19">
        <v>44775</v>
      </c>
      <c r="C173" s="20">
        <v>0.74821759259259257</v>
      </c>
      <c r="D173">
        <v>44121</v>
      </c>
      <c r="E173" t="s">
        <v>820</v>
      </c>
      <c r="F173" t="s">
        <v>743</v>
      </c>
      <c r="G173">
        <v>4</v>
      </c>
    </row>
  </sheetData>
  <sortState xmlns:xlrd2="http://schemas.microsoft.com/office/spreadsheetml/2017/richdata2" ref="A3:G174">
    <sortCondition ref="A3:A174"/>
    <sortCondition ref="B3:B174"/>
    <sortCondition ref="C3:C17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B7A3-4650-456E-A128-41CF1604ED9D}">
  <sheetPr codeName="Hoja38"/>
  <dimension ref="A1:I230"/>
  <sheetViews>
    <sheetView workbookViewId="0">
      <selection sqref="A1:I1"/>
    </sheetView>
  </sheetViews>
  <sheetFormatPr baseColWidth="10" defaultRowHeight="15" x14ac:dyDescent="0.25"/>
  <cols>
    <col min="1" max="1" width="1.5703125" bestFit="1" customWidth="1"/>
    <col min="2" max="2" width="9" style="19" bestFit="1" customWidth="1"/>
    <col min="3" max="3" width="11.28515625" style="21" bestFit="1" customWidth="1"/>
    <col min="4" max="4" width="17.7109375" style="53" customWidth="1"/>
    <col min="5" max="5" width="13.85546875" style="53" bestFit="1" customWidth="1"/>
    <col min="6" max="6" width="27.140625" bestFit="1" customWidth="1"/>
    <col min="7" max="7" width="7.42578125" bestFit="1" customWidth="1"/>
    <col min="8" max="9" width="11.5703125" bestFit="1" customWidth="1"/>
  </cols>
  <sheetData>
    <row r="1" spans="1:9" x14ac:dyDescent="0.25">
      <c r="A1" s="65">
        <v>44784</v>
      </c>
      <c r="B1" s="66"/>
      <c r="C1" s="66"/>
      <c r="D1" s="66"/>
      <c r="E1" s="66"/>
      <c r="F1" s="66"/>
      <c r="G1" s="66"/>
      <c r="H1" s="66"/>
      <c r="I1" s="67"/>
    </row>
    <row r="2" spans="1:9" x14ac:dyDescent="0.25">
      <c r="A2" s="25"/>
      <c r="B2" s="26" t="s">
        <v>19</v>
      </c>
      <c r="C2" s="27" t="s">
        <v>739</v>
      </c>
      <c r="D2" s="49" t="s">
        <v>740</v>
      </c>
      <c r="E2" s="49" t="s">
        <v>741</v>
      </c>
      <c r="F2" s="25" t="s">
        <v>742</v>
      </c>
      <c r="G2" s="25" t="s">
        <v>691</v>
      </c>
      <c r="H2" s="25"/>
      <c r="I2" s="25"/>
    </row>
    <row r="3" spans="1:9" x14ac:dyDescent="0.25">
      <c r="A3" s="28" t="s">
        <v>806</v>
      </c>
      <c r="B3" s="29" t="s">
        <v>781</v>
      </c>
      <c r="C3" s="30"/>
      <c r="D3" s="30"/>
      <c r="E3" s="30"/>
      <c r="F3" s="30"/>
      <c r="G3" s="31"/>
      <c r="H3" s="25"/>
      <c r="I3" s="25"/>
    </row>
    <row r="4" spans="1:9" x14ac:dyDescent="0.25">
      <c r="A4" s="28"/>
      <c r="B4" s="35">
        <v>44774</v>
      </c>
      <c r="C4" s="36">
        <v>1.5243055555555557E-2</v>
      </c>
      <c r="D4" s="50" t="s">
        <v>707</v>
      </c>
      <c r="E4" s="50" t="s">
        <v>708</v>
      </c>
      <c r="F4" s="38" t="s">
        <v>1244</v>
      </c>
      <c r="G4" s="37">
        <v>-44.5</v>
      </c>
      <c r="H4" s="25"/>
      <c r="I4" s="25"/>
    </row>
    <row r="5" spans="1:9" x14ac:dyDescent="0.25">
      <c r="A5" s="28"/>
      <c r="B5" s="26">
        <v>44774</v>
      </c>
      <c r="C5" s="27">
        <v>0.51219907407407406</v>
      </c>
      <c r="D5" s="49" t="s">
        <v>706</v>
      </c>
      <c r="E5" s="49" t="s">
        <v>708</v>
      </c>
      <c r="F5" s="32" t="s">
        <v>993</v>
      </c>
      <c r="G5" s="25">
        <v>-54.5</v>
      </c>
      <c r="H5" s="25"/>
      <c r="I5" s="25"/>
    </row>
    <row r="6" spans="1:9" x14ac:dyDescent="0.25">
      <c r="A6" s="28"/>
      <c r="B6" s="26">
        <v>44774</v>
      </c>
      <c r="C6" s="27">
        <v>0.51396990740740744</v>
      </c>
      <c r="D6" s="49" t="s">
        <v>706</v>
      </c>
      <c r="E6" s="49" t="s">
        <v>708</v>
      </c>
      <c r="F6" s="32" t="s">
        <v>995</v>
      </c>
      <c r="G6" s="25">
        <v>-138.5</v>
      </c>
      <c r="H6" s="25"/>
      <c r="I6" s="25"/>
    </row>
    <row r="7" spans="1:9" x14ac:dyDescent="0.25">
      <c r="A7" s="28"/>
      <c r="B7" s="26">
        <v>44774</v>
      </c>
      <c r="C7" s="27">
        <v>0.51563657407407404</v>
      </c>
      <c r="D7" s="49" t="s">
        <v>706</v>
      </c>
      <c r="E7" s="49" t="s">
        <v>708</v>
      </c>
      <c r="F7" s="32" t="s">
        <v>997</v>
      </c>
      <c r="G7" s="25">
        <v>-698.5</v>
      </c>
      <c r="H7" s="25"/>
      <c r="I7" s="25"/>
    </row>
    <row r="8" spans="1:9" x14ac:dyDescent="0.25">
      <c r="A8" s="28"/>
      <c r="B8" s="26">
        <v>44776</v>
      </c>
      <c r="C8" s="27">
        <v>0.53665509259259259</v>
      </c>
      <c r="D8" s="49" t="s">
        <v>706</v>
      </c>
      <c r="E8" s="49" t="s">
        <v>708</v>
      </c>
      <c r="F8" s="32" t="s">
        <v>998</v>
      </c>
      <c r="G8" s="25">
        <v>-178.5</v>
      </c>
      <c r="H8" s="25"/>
      <c r="I8" s="25"/>
    </row>
    <row r="9" spans="1:9" x14ac:dyDescent="0.25">
      <c r="A9" s="28"/>
      <c r="B9" s="26">
        <v>44776</v>
      </c>
      <c r="C9" s="27">
        <v>0.64034722222222229</v>
      </c>
      <c r="D9" s="49" t="s">
        <v>706</v>
      </c>
      <c r="E9" s="49" t="s">
        <v>708</v>
      </c>
      <c r="F9" s="32" t="s">
        <v>1000</v>
      </c>
      <c r="G9" s="25">
        <v>-392.5</v>
      </c>
      <c r="H9" s="25"/>
      <c r="I9" s="25"/>
    </row>
    <row r="10" spans="1:9" x14ac:dyDescent="0.25">
      <c r="A10" s="28"/>
      <c r="B10" s="33"/>
      <c r="C10" s="33"/>
      <c r="D10" s="33"/>
      <c r="E10" s="33"/>
      <c r="F10" s="33"/>
      <c r="G10" s="34">
        <f>SUM(G4:G9)</f>
        <v>-1507</v>
      </c>
      <c r="H10" s="31">
        <f>6*4.94</f>
        <v>29.64</v>
      </c>
      <c r="I10" s="34">
        <f>G10+H10</f>
        <v>-1477.36</v>
      </c>
    </row>
    <row r="11" spans="1:9" x14ac:dyDescent="0.25">
      <c r="A11" s="28" t="s">
        <v>806</v>
      </c>
      <c r="B11" s="29" t="s">
        <v>782</v>
      </c>
      <c r="C11" s="30"/>
      <c r="D11" s="30"/>
      <c r="E11" s="30"/>
      <c r="F11" s="30"/>
      <c r="G11" s="31"/>
      <c r="H11" s="25"/>
      <c r="I11" s="25"/>
    </row>
    <row r="12" spans="1:9" x14ac:dyDescent="0.25">
      <c r="A12" s="28"/>
      <c r="B12" s="26">
        <v>44774</v>
      </c>
      <c r="C12" s="27">
        <v>0.48731481481481481</v>
      </c>
      <c r="D12" s="49" t="s">
        <v>709</v>
      </c>
      <c r="E12" s="49" t="s">
        <v>708</v>
      </c>
      <c r="F12" s="32" t="s">
        <v>1002</v>
      </c>
      <c r="G12" s="25">
        <v>-178.5</v>
      </c>
      <c r="H12" s="25"/>
      <c r="I12" s="25"/>
    </row>
    <row r="13" spans="1:9" x14ac:dyDescent="0.25">
      <c r="A13" s="28"/>
      <c r="B13" s="26">
        <v>44774</v>
      </c>
      <c r="C13" s="27">
        <v>0.54991898148148144</v>
      </c>
      <c r="D13" s="49" t="s">
        <v>709</v>
      </c>
      <c r="E13" s="49" t="s">
        <v>708</v>
      </c>
      <c r="F13" s="32" t="s">
        <v>1003</v>
      </c>
      <c r="G13" s="25">
        <v>-383.5</v>
      </c>
      <c r="H13" s="25"/>
      <c r="I13" s="25"/>
    </row>
    <row r="14" spans="1:9" x14ac:dyDescent="0.25">
      <c r="A14" s="28"/>
      <c r="B14" s="26">
        <v>44774</v>
      </c>
      <c r="C14" s="27">
        <v>0.89716435185185184</v>
      </c>
      <c r="D14" s="49" t="s">
        <v>829</v>
      </c>
      <c r="E14" s="49" t="s">
        <v>708</v>
      </c>
      <c r="F14" s="32" t="s">
        <v>1005</v>
      </c>
      <c r="G14" s="25">
        <v>-300.5</v>
      </c>
      <c r="H14" s="25"/>
      <c r="I14" s="25"/>
    </row>
    <row r="15" spans="1:9" x14ac:dyDescent="0.25">
      <c r="A15" s="28"/>
      <c r="B15" s="26">
        <v>44776</v>
      </c>
      <c r="C15" s="27">
        <v>0.79899305555555555</v>
      </c>
      <c r="D15" s="49" t="s">
        <v>709</v>
      </c>
      <c r="E15" s="49" t="s">
        <v>708</v>
      </c>
      <c r="F15" s="32" t="s">
        <v>1006</v>
      </c>
      <c r="G15" s="25">
        <v>-99.5</v>
      </c>
      <c r="H15" s="25"/>
      <c r="I15" s="25"/>
    </row>
    <row r="16" spans="1:9" x14ac:dyDescent="0.25">
      <c r="A16" s="28"/>
      <c r="B16" s="26">
        <v>44776</v>
      </c>
      <c r="C16" s="27">
        <v>0.87611111111111117</v>
      </c>
      <c r="D16" s="49" t="s">
        <v>729</v>
      </c>
      <c r="E16" s="49" t="s">
        <v>708</v>
      </c>
      <c r="F16" s="32" t="s">
        <v>1008</v>
      </c>
      <c r="G16" s="25">
        <v>-53.5</v>
      </c>
      <c r="H16" s="25"/>
      <c r="I16" s="25"/>
    </row>
    <row r="17" spans="1:9" x14ac:dyDescent="0.25">
      <c r="A17" s="28"/>
      <c r="B17" s="33"/>
      <c r="C17" s="33"/>
      <c r="D17" s="33"/>
      <c r="E17" s="33"/>
      <c r="F17" s="33"/>
      <c r="G17" s="34">
        <f>SUM(G12:G16)</f>
        <v>-1015.5</v>
      </c>
      <c r="H17" s="31">
        <f>5*4.94</f>
        <v>24.700000000000003</v>
      </c>
      <c r="I17" s="34">
        <f>G17+H17</f>
        <v>-990.8</v>
      </c>
    </row>
    <row r="18" spans="1:9" x14ac:dyDescent="0.25">
      <c r="A18" s="28" t="s">
        <v>806</v>
      </c>
      <c r="B18" s="29" t="s">
        <v>783</v>
      </c>
      <c r="C18" s="30"/>
      <c r="D18" s="30"/>
      <c r="E18" s="30"/>
      <c r="F18" s="30"/>
      <c r="G18" s="31"/>
      <c r="H18" s="25"/>
      <c r="I18" s="25"/>
    </row>
    <row r="19" spans="1:9" x14ac:dyDescent="0.25">
      <c r="A19" s="28"/>
      <c r="B19" s="26">
        <v>44776</v>
      </c>
      <c r="C19" s="27">
        <v>0.4899189814814815</v>
      </c>
      <c r="D19" s="49" t="s">
        <v>710</v>
      </c>
      <c r="E19" s="49" t="s">
        <v>708</v>
      </c>
      <c r="F19" s="32" t="s">
        <v>1010</v>
      </c>
      <c r="G19" s="25">
        <v>-625.5</v>
      </c>
      <c r="H19" s="25"/>
      <c r="I19" s="25"/>
    </row>
    <row r="20" spans="1:9" x14ac:dyDescent="0.25">
      <c r="A20" s="28"/>
      <c r="B20" s="26">
        <v>44776</v>
      </c>
      <c r="C20" s="27">
        <v>0.51201388888888888</v>
      </c>
      <c r="D20" s="49" t="s">
        <v>710</v>
      </c>
      <c r="E20" s="49" t="s">
        <v>708</v>
      </c>
      <c r="F20" s="32" t="s">
        <v>1012</v>
      </c>
      <c r="G20" s="25">
        <v>-1121.5</v>
      </c>
      <c r="H20" s="25"/>
      <c r="I20" s="25"/>
    </row>
    <row r="21" spans="1:9" x14ac:dyDescent="0.25">
      <c r="A21" s="28"/>
      <c r="B21" s="33"/>
      <c r="C21" s="33"/>
      <c r="D21" s="33"/>
      <c r="E21" s="33"/>
      <c r="F21" s="33"/>
      <c r="G21" s="34">
        <f>SUM(G19:G20)</f>
        <v>-1747</v>
      </c>
      <c r="H21" s="31">
        <f>2*4.94</f>
        <v>9.8800000000000008</v>
      </c>
      <c r="I21" s="34">
        <f>G21+H21</f>
        <v>-1737.12</v>
      </c>
    </row>
    <row r="22" spans="1:9" x14ac:dyDescent="0.25">
      <c r="A22" s="28" t="s">
        <v>806</v>
      </c>
      <c r="B22" s="29" t="s">
        <v>784</v>
      </c>
      <c r="C22" s="30"/>
      <c r="D22" s="30"/>
      <c r="E22" s="30"/>
      <c r="F22" s="30"/>
      <c r="G22" s="31"/>
      <c r="H22" s="25"/>
      <c r="I22" s="25"/>
    </row>
    <row r="23" spans="1:9" x14ac:dyDescent="0.25">
      <c r="A23" s="28"/>
      <c r="B23" s="26">
        <v>44774</v>
      </c>
      <c r="C23" s="27">
        <v>0.39659722222222221</v>
      </c>
      <c r="D23" s="49" t="s">
        <v>810</v>
      </c>
      <c r="E23" s="49" t="s">
        <v>708</v>
      </c>
      <c r="F23" s="32" t="s">
        <v>1014</v>
      </c>
      <c r="G23" s="25">
        <v>-101.5</v>
      </c>
      <c r="H23" s="25"/>
      <c r="I23" s="25"/>
    </row>
    <row r="24" spans="1:9" x14ac:dyDescent="0.25">
      <c r="A24" s="28"/>
      <c r="B24" s="26">
        <v>44774</v>
      </c>
      <c r="C24" s="27">
        <v>0.50736111111111104</v>
      </c>
      <c r="D24" s="49" t="s">
        <v>810</v>
      </c>
      <c r="E24" s="49" t="s">
        <v>708</v>
      </c>
      <c r="F24" s="32" t="s">
        <v>1016</v>
      </c>
      <c r="G24" s="25">
        <v>-45.5</v>
      </c>
      <c r="H24" s="25"/>
      <c r="I24" s="25"/>
    </row>
    <row r="25" spans="1:9" x14ac:dyDescent="0.25">
      <c r="A25" s="28"/>
      <c r="B25" s="68">
        <v>44774</v>
      </c>
      <c r="C25" s="69">
        <v>0.53060185185185182</v>
      </c>
      <c r="D25" s="72" t="s">
        <v>810</v>
      </c>
      <c r="E25" s="72" t="s">
        <v>708</v>
      </c>
      <c r="F25" s="71" t="s">
        <v>1266</v>
      </c>
      <c r="G25" s="70">
        <v>-1</v>
      </c>
      <c r="H25" s="25"/>
      <c r="I25" s="25"/>
    </row>
    <row r="26" spans="1:9" x14ac:dyDescent="0.25">
      <c r="A26" s="28"/>
      <c r="B26" s="26">
        <v>44774</v>
      </c>
      <c r="C26" s="27">
        <v>0.63231481481481489</v>
      </c>
      <c r="D26" s="49" t="s">
        <v>816</v>
      </c>
      <c r="E26" s="49" t="s">
        <v>708</v>
      </c>
      <c r="F26" s="32" t="s">
        <v>1018</v>
      </c>
      <c r="G26" s="25">
        <v>-86.5</v>
      </c>
      <c r="H26" s="25"/>
      <c r="I26" s="25"/>
    </row>
    <row r="27" spans="1:9" x14ac:dyDescent="0.25">
      <c r="A27" s="28"/>
      <c r="B27" s="44">
        <v>44774</v>
      </c>
      <c r="C27" s="45">
        <v>0.74306712962962962</v>
      </c>
      <c r="D27" s="52" t="s">
        <v>810</v>
      </c>
      <c r="E27" s="52" t="s">
        <v>712</v>
      </c>
      <c r="F27" s="47" t="s">
        <v>1243</v>
      </c>
      <c r="G27" s="47" t="s">
        <v>1275</v>
      </c>
      <c r="H27" s="25"/>
      <c r="I27" s="25"/>
    </row>
    <row r="28" spans="1:9" x14ac:dyDescent="0.25">
      <c r="A28" s="28"/>
      <c r="B28" s="48" t="s">
        <v>1242</v>
      </c>
      <c r="C28" s="48"/>
      <c r="D28" s="48"/>
      <c r="E28" s="48"/>
      <c r="F28" s="48"/>
      <c r="G28" s="47"/>
      <c r="H28" s="25"/>
      <c r="I28" s="25"/>
    </row>
    <row r="29" spans="1:9" x14ac:dyDescent="0.25">
      <c r="A29" s="28"/>
      <c r="B29" s="26">
        <v>44774</v>
      </c>
      <c r="C29" s="27">
        <v>0.76931712962962961</v>
      </c>
      <c r="D29" s="49" t="s">
        <v>810</v>
      </c>
      <c r="E29" s="49" t="s">
        <v>708</v>
      </c>
      <c r="F29" s="32" t="s">
        <v>1019</v>
      </c>
      <c r="G29" s="25">
        <v>-133.5</v>
      </c>
      <c r="H29" s="25"/>
      <c r="I29" s="25"/>
    </row>
    <row r="30" spans="1:9" x14ac:dyDescent="0.25">
      <c r="A30" s="28"/>
      <c r="B30" s="26">
        <v>44774</v>
      </c>
      <c r="C30" s="27">
        <v>0.78614583333333332</v>
      </c>
      <c r="D30" s="49" t="s">
        <v>810</v>
      </c>
      <c r="E30" s="49" t="s">
        <v>708</v>
      </c>
      <c r="F30" s="32" t="s">
        <v>1021</v>
      </c>
      <c r="G30" s="25">
        <v>-384.5</v>
      </c>
      <c r="H30" s="25"/>
      <c r="I30" s="25"/>
    </row>
    <row r="31" spans="1:9" x14ac:dyDescent="0.25">
      <c r="A31" s="28"/>
      <c r="B31" s="35">
        <v>44774</v>
      </c>
      <c r="C31" s="36">
        <v>0.78765046296296293</v>
      </c>
      <c r="D31" s="50" t="s">
        <v>810</v>
      </c>
      <c r="E31" s="50" t="s">
        <v>708</v>
      </c>
      <c r="F31" s="38" t="s">
        <v>1245</v>
      </c>
      <c r="G31" s="37">
        <v>-175.5</v>
      </c>
      <c r="H31" s="25"/>
      <c r="I31" s="25"/>
    </row>
    <row r="32" spans="1:9" x14ac:dyDescent="0.25">
      <c r="A32" s="28"/>
      <c r="B32" s="26">
        <v>44775</v>
      </c>
      <c r="C32" s="27">
        <v>0.38721064814814815</v>
      </c>
      <c r="D32" s="49" t="s">
        <v>810</v>
      </c>
      <c r="E32" s="49" t="s">
        <v>708</v>
      </c>
      <c r="F32" s="32" t="s">
        <v>1023</v>
      </c>
      <c r="G32" s="25">
        <v>-194.5</v>
      </c>
      <c r="H32" s="25"/>
      <c r="I32" s="25"/>
    </row>
    <row r="33" spans="1:9" x14ac:dyDescent="0.25">
      <c r="A33" s="28"/>
      <c r="B33" s="26">
        <v>44775</v>
      </c>
      <c r="C33" s="27">
        <v>0.50872685185185185</v>
      </c>
      <c r="D33" s="49" t="s">
        <v>810</v>
      </c>
      <c r="E33" s="49" t="s">
        <v>708</v>
      </c>
      <c r="F33" s="32" t="s">
        <v>1025</v>
      </c>
      <c r="G33" s="25">
        <v>-3086.5</v>
      </c>
      <c r="H33" s="25"/>
      <c r="I33" s="25"/>
    </row>
    <row r="34" spans="1:9" x14ac:dyDescent="0.25">
      <c r="A34" s="28"/>
      <c r="B34" s="35">
        <v>44775</v>
      </c>
      <c r="C34" s="36">
        <v>0.51071759259259253</v>
      </c>
      <c r="D34" s="50" t="s">
        <v>810</v>
      </c>
      <c r="E34" s="50" t="s">
        <v>708</v>
      </c>
      <c r="F34" s="38" t="s">
        <v>1247</v>
      </c>
      <c r="G34" s="37">
        <v>-116.5</v>
      </c>
      <c r="H34" s="25"/>
      <c r="I34" s="25"/>
    </row>
    <row r="35" spans="1:9" x14ac:dyDescent="0.25">
      <c r="A35" s="28"/>
      <c r="B35" s="26">
        <v>44775</v>
      </c>
      <c r="C35" s="27">
        <v>0.57180555555555557</v>
      </c>
      <c r="D35" s="49" t="s">
        <v>810</v>
      </c>
      <c r="E35" s="49" t="s">
        <v>708</v>
      </c>
      <c r="F35" s="32" t="s">
        <v>1026</v>
      </c>
      <c r="G35" s="25">
        <v>-154.5</v>
      </c>
      <c r="H35" s="25"/>
      <c r="I35" s="25"/>
    </row>
    <row r="36" spans="1:9" x14ac:dyDescent="0.25">
      <c r="A36" s="28"/>
      <c r="B36" s="26">
        <v>44775</v>
      </c>
      <c r="C36" s="27">
        <v>0.57351851851851854</v>
      </c>
      <c r="D36" s="49" t="s">
        <v>810</v>
      </c>
      <c r="E36" s="49" t="s">
        <v>708</v>
      </c>
      <c r="F36" s="32" t="s">
        <v>1028</v>
      </c>
      <c r="G36" s="25">
        <v>-109.5</v>
      </c>
      <c r="H36" s="25"/>
      <c r="I36" s="25"/>
    </row>
    <row r="37" spans="1:9" x14ac:dyDescent="0.25">
      <c r="A37" s="28"/>
      <c r="B37" s="26">
        <v>44775</v>
      </c>
      <c r="C37" s="27">
        <v>0.61559027777777775</v>
      </c>
      <c r="D37" s="49" t="s">
        <v>810</v>
      </c>
      <c r="E37" s="49" t="s">
        <v>708</v>
      </c>
      <c r="F37" s="32" t="s">
        <v>1030</v>
      </c>
      <c r="G37" s="25">
        <v>-153.5</v>
      </c>
      <c r="H37" s="25"/>
      <c r="I37" s="25"/>
    </row>
    <row r="38" spans="1:9" x14ac:dyDescent="0.25">
      <c r="A38" s="28"/>
      <c r="B38" s="35">
        <v>44775</v>
      </c>
      <c r="C38" s="36">
        <v>0.7817708333333333</v>
      </c>
      <c r="D38" s="50" t="s">
        <v>711</v>
      </c>
      <c r="E38" s="50" t="s">
        <v>708</v>
      </c>
      <c r="F38" s="38" t="s">
        <v>1248</v>
      </c>
      <c r="G38" s="37">
        <v>-106.5</v>
      </c>
      <c r="H38" s="25"/>
      <c r="I38" s="25"/>
    </row>
    <row r="39" spans="1:9" x14ac:dyDescent="0.25">
      <c r="A39" s="28"/>
      <c r="B39" s="26">
        <v>44776</v>
      </c>
      <c r="C39" s="27">
        <v>0.46269675925925924</v>
      </c>
      <c r="D39" s="49" t="s">
        <v>713</v>
      </c>
      <c r="E39" s="49" t="s">
        <v>708</v>
      </c>
      <c r="F39" s="32" t="s">
        <v>1031</v>
      </c>
      <c r="G39" s="25">
        <v>-80.5</v>
      </c>
      <c r="H39" s="25"/>
      <c r="I39" s="25"/>
    </row>
    <row r="40" spans="1:9" x14ac:dyDescent="0.25">
      <c r="A40" s="28"/>
      <c r="B40" s="26">
        <v>44776</v>
      </c>
      <c r="C40" s="27">
        <v>0.60252314814814811</v>
      </c>
      <c r="D40" s="49" t="s">
        <v>713</v>
      </c>
      <c r="E40" s="49" t="s">
        <v>708</v>
      </c>
      <c r="F40" s="32" t="s">
        <v>1033</v>
      </c>
      <c r="G40" s="25">
        <v>-183.5</v>
      </c>
      <c r="H40" s="25"/>
      <c r="I40" s="25"/>
    </row>
    <row r="41" spans="1:9" x14ac:dyDescent="0.25">
      <c r="A41" s="28"/>
      <c r="B41" s="26">
        <v>44776</v>
      </c>
      <c r="C41" s="27">
        <v>0.77181712962962967</v>
      </c>
      <c r="D41" s="49" t="s">
        <v>713</v>
      </c>
      <c r="E41" s="49" t="s">
        <v>708</v>
      </c>
      <c r="F41" s="32" t="s">
        <v>1035</v>
      </c>
      <c r="G41" s="25">
        <v>-190.5</v>
      </c>
      <c r="H41" s="25"/>
      <c r="I41" s="25"/>
    </row>
    <row r="42" spans="1:9" x14ac:dyDescent="0.25">
      <c r="A42" s="28"/>
      <c r="B42" s="33"/>
      <c r="C42" s="33"/>
      <c r="D42" s="33"/>
      <c r="E42" s="33"/>
      <c r="F42" s="33"/>
      <c r="G42" s="34">
        <f>SUM(G23:G41)</f>
        <v>-5304</v>
      </c>
      <c r="H42" s="31">
        <f>18*4.94</f>
        <v>88.92</v>
      </c>
      <c r="I42" s="34">
        <f>G42+H42</f>
        <v>-5215.08</v>
      </c>
    </row>
    <row r="43" spans="1:9" x14ac:dyDescent="0.25">
      <c r="A43" s="28" t="s">
        <v>806</v>
      </c>
      <c r="B43" s="29" t="s">
        <v>785</v>
      </c>
      <c r="C43" s="30"/>
      <c r="D43" s="30"/>
      <c r="E43" s="30"/>
      <c r="F43" s="30"/>
      <c r="G43" s="31"/>
      <c r="H43" s="25"/>
      <c r="I43" s="25"/>
    </row>
    <row r="44" spans="1:9" x14ac:dyDescent="0.25">
      <c r="A44" s="28"/>
      <c r="B44" s="26">
        <v>44776</v>
      </c>
      <c r="C44" s="27">
        <v>0.46605324074074073</v>
      </c>
      <c r="D44" s="49" t="s">
        <v>714</v>
      </c>
      <c r="E44" s="49" t="s">
        <v>708</v>
      </c>
      <c r="F44" s="32" t="s">
        <v>1037</v>
      </c>
      <c r="G44" s="25">
        <v>-44.5</v>
      </c>
      <c r="H44" s="25"/>
      <c r="I44" s="25"/>
    </row>
    <row r="45" spans="1:9" x14ac:dyDescent="0.25">
      <c r="A45" s="28"/>
      <c r="B45" s="26">
        <v>44776</v>
      </c>
      <c r="C45" s="27">
        <v>0.62702546296296291</v>
      </c>
      <c r="D45" s="49" t="s">
        <v>714</v>
      </c>
      <c r="E45" s="49" t="s">
        <v>708</v>
      </c>
      <c r="F45" s="32" t="s">
        <v>1039</v>
      </c>
      <c r="G45" s="25">
        <v>-238.5</v>
      </c>
      <c r="H45" s="25"/>
      <c r="I45" s="25"/>
    </row>
    <row r="46" spans="1:9" x14ac:dyDescent="0.25">
      <c r="A46" s="28"/>
      <c r="B46" s="33"/>
      <c r="C46" s="33"/>
      <c r="D46" s="33"/>
      <c r="E46" s="33"/>
      <c r="F46" s="33"/>
      <c r="G46" s="34">
        <f>SUM(G44:G45)</f>
        <v>-283</v>
      </c>
      <c r="H46" s="31">
        <f>2*4.94</f>
        <v>9.8800000000000008</v>
      </c>
      <c r="I46" s="34">
        <f>G46+H46</f>
        <v>-273.12</v>
      </c>
    </row>
    <row r="47" spans="1:9" x14ac:dyDescent="0.25">
      <c r="A47" s="28" t="s">
        <v>806</v>
      </c>
      <c r="B47" s="29" t="s">
        <v>786</v>
      </c>
      <c r="C47" s="30"/>
      <c r="D47" s="30"/>
      <c r="E47" s="30"/>
      <c r="F47" s="30"/>
      <c r="G47" s="31"/>
      <c r="H47" s="25"/>
      <c r="I47" s="25"/>
    </row>
    <row r="48" spans="1:9" x14ac:dyDescent="0.25">
      <c r="A48" s="28"/>
      <c r="B48" s="26">
        <v>44774</v>
      </c>
      <c r="C48" s="27">
        <v>0.7168402777777777</v>
      </c>
      <c r="D48" s="49" t="s">
        <v>715</v>
      </c>
      <c r="E48" s="49" t="s">
        <v>708</v>
      </c>
      <c r="F48" s="32" t="s">
        <v>1041</v>
      </c>
      <c r="G48" s="25">
        <v>-125.5</v>
      </c>
      <c r="H48" s="25"/>
      <c r="I48" s="25"/>
    </row>
    <row r="49" spans="1:9" x14ac:dyDescent="0.25">
      <c r="A49" s="28"/>
      <c r="B49" s="26">
        <v>44775</v>
      </c>
      <c r="C49" s="27">
        <v>0.66271990740740738</v>
      </c>
      <c r="D49" s="49" t="s">
        <v>715</v>
      </c>
      <c r="E49" s="49" t="s">
        <v>708</v>
      </c>
      <c r="F49" s="32" t="s">
        <v>1043</v>
      </c>
      <c r="G49" s="25">
        <v>-51.5</v>
      </c>
      <c r="H49" s="25"/>
      <c r="I49" s="25"/>
    </row>
    <row r="50" spans="1:9" x14ac:dyDescent="0.25">
      <c r="A50" s="28"/>
      <c r="B50" s="33"/>
      <c r="C50" s="33"/>
      <c r="D50" s="33"/>
      <c r="E50" s="33"/>
      <c r="F50" s="33"/>
      <c r="G50" s="34">
        <f>SUM(G48:G49)</f>
        <v>-177</v>
      </c>
      <c r="H50" s="31">
        <f>2*4.94</f>
        <v>9.8800000000000008</v>
      </c>
      <c r="I50" s="34">
        <f>G50+H50</f>
        <v>-167.12</v>
      </c>
    </row>
    <row r="51" spans="1:9" x14ac:dyDescent="0.25">
      <c r="A51" s="28" t="s">
        <v>806</v>
      </c>
      <c r="B51" s="29" t="s">
        <v>787</v>
      </c>
      <c r="C51" s="30"/>
      <c r="D51" s="30"/>
      <c r="E51" s="30"/>
      <c r="F51" s="30"/>
      <c r="G51" s="31"/>
      <c r="H51" s="25"/>
      <c r="I51" s="25"/>
    </row>
    <row r="52" spans="1:9" x14ac:dyDescent="0.25">
      <c r="A52" s="28"/>
      <c r="B52" s="26">
        <v>44774</v>
      </c>
      <c r="C52" s="27">
        <v>0.37031249999999999</v>
      </c>
      <c r="D52" s="49" t="s">
        <v>811</v>
      </c>
      <c r="E52" s="49" t="s">
        <v>708</v>
      </c>
      <c r="F52" s="32" t="s">
        <v>1044</v>
      </c>
      <c r="G52" s="25">
        <v>-44.5</v>
      </c>
      <c r="H52" s="25"/>
      <c r="I52" s="25"/>
    </row>
    <row r="53" spans="1:9" x14ac:dyDescent="0.25">
      <c r="A53" s="28"/>
      <c r="B53" s="26">
        <v>44774</v>
      </c>
      <c r="C53" s="27">
        <v>0.56267361111111114</v>
      </c>
      <c r="D53" s="49" t="s">
        <v>811</v>
      </c>
      <c r="E53" s="49" t="s">
        <v>708</v>
      </c>
      <c r="F53" s="32" t="s">
        <v>1045</v>
      </c>
      <c r="G53" s="25">
        <v>-102.5</v>
      </c>
      <c r="H53" s="25"/>
      <c r="I53" s="25"/>
    </row>
    <row r="54" spans="1:9" x14ac:dyDescent="0.25">
      <c r="A54" s="28"/>
      <c r="B54" s="26">
        <v>44775</v>
      </c>
      <c r="C54" s="27">
        <v>0.45997685185185189</v>
      </c>
      <c r="D54" s="49" t="s">
        <v>811</v>
      </c>
      <c r="E54" s="49" t="s">
        <v>708</v>
      </c>
      <c r="F54" s="32" t="s">
        <v>1047</v>
      </c>
      <c r="G54" s="25">
        <v>-79.5</v>
      </c>
      <c r="H54" s="25"/>
      <c r="I54" s="25"/>
    </row>
    <row r="55" spans="1:9" x14ac:dyDescent="0.25">
      <c r="A55" s="28"/>
      <c r="B55" s="26">
        <v>44775</v>
      </c>
      <c r="C55" s="27">
        <v>0.46767361111111111</v>
      </c>
      <c r="D55" s="49" t="s">
        <v>811</v>
      </c>
      <c r="E55" s="49" t="s">
        <v>708</v>
      </c>
      <c r="F55" s="32" t="s">
        <v>1049</v>
      </c>
      <c r="G55" s="25">
        <v>-99.5</v>
      </c>
      <c r="H55" s="25"/>
      <c r="I55" s="25"/>
    </row>
    <row r="56" spans="1:9" x14ac:dyDescent="0.25">
      <c r="A56" s="28"/>
      <c r="B56" s="26">
        <v>44776</v>
      </c>
      <c r="C56" s="27">
        <v>0.78339120370370363</v>
      </c>
      <c r="D56" s="49" t="s">
        <v>716</v>
      </c>
      <c r="E56" s="49" t="s">
        <v>708</v>
      </c>
      <c r="F56" s="32" t="s">
        <v>1050</v>
      </c>
      <c r="G56" s="25">
        <v>-211.5</v>
      </c>
      <c r="H56" s="25"/>
      <c r="I56" s="25"/>
    </row>
    <row r="57" spans="1:9" x14ac:dyDescent="0.25">
      <c r="A57" s="28"/>
      <c r="B57" s="35">
        <v>44776</v>
      </c>
      <c r="C57" s="36">
        <v>0.8551157407407407</v>
      </c>
      <c r="D57" s="50" t="s">
        <v>716</v>
      </c>
      <c r="E57" s="50" t="s">
        <v>708</v>
      </c>
      <c r="F57" s="38" t="s">
        <v>1250</v>
      </c>
      <c r="G57" s="37">
        <v>-63.5</v>
      </c>
      <c r="H57" s="25"/>
      <c r="I57" s="25"/>
    </row>
    <row r="58" spans="1:9" x14ac:dyDescent="0.25">
      <c r="A58" s="28"/>
      <c r="B58" s="26">
        <v>44776</v>
      </c>
      <c r="C58" s="27">
        <v>0.93256944444444445</v>
      </c>
      <c r="D58" s="49" t="s">
        <v>716</v>
      </c>
      <c r="E58" s="49" t="s">
        <v>708</v>
      </c>
      <c r="F58" s="32" t="s">
        <v>1052</v>
      </c>
      <c r="G58" s="25">
        <v>-541.5</v>
      </c>
      <c r="H58" s="25"/>
      <c r="I58" s="25"/>
    </row>
    <row r="59" spans="1:9" x14ac:dyDescent="0.25">
      <c r="A59" s="28"/>
      <c r="B59" s="33"/>
      <c r="C59" s="33"/>
      <c r="D59" s="33"/>
      <c r="E59" s="33"/>
      <c r="F59" s="33"/>
      <c r="G59" s="34">
        <f>SUM(G52:G58)</f>
        <v>-1142.5</v>
      </c>
      <c r="H59" s="31">
        <f>7*4.94</f>
        <v>34.580000000000005</v>
      </c>
      <c r="I59" s="34">
        <f>G59+H59</f>
        <v>-1107.92</v>
      </c>
    </row>
    <row r="60" spans="1:9" x14ac:dyDescent="0.25">
      <c r="A60" s="28" t="s">
        <v>806</v>
      </c>
      <c r="B60" s="29" t="s">
        <v>788</v>
      </c>
      <c r="C60" s="30"/>
      <c r="D60" s="30"/>
      <c r="E60" s="30"/>
      <c r="F60" s="30"/>
      <c r="G60" s="31"/>
      <c r="H60" s="25"/>
      <c r="I60" s="25"/>
    </row>
    <row r="61" spans="1:9" x14ac:dyDescent="0.25">
      <c r="A61" s="28"/>
      <c r="B61" s="26">
        <v>44774</v>
      </c>
      <c r="C61" s="27">
        <v>0.35931712962962964</v>
      </c>
      <c r="D61" s="49" t="s">
        <v>831</v>
      </c>
      <c r="E61" s="49" t="s">
        <v>708</v>
      </c>
      <c r="F61" s="32" t="s">
        <v>1054</v>
      </c>
      <c r="G61" s="25">
        <v>-113.5</v>
      </c>
      <c r="H61" s="25"/>
      <c r="I61" s="25"/>
    </row>
    <row r="62" spans="1:9" x14ac:dyDescent="0.25">
      <c r="A62" s="28"/>
      <c r="B62" s="26">
        <v>44774</v>
      </c>
      <c r="C62" s="27">
        <v>0.36653935185185182</v>
      </c>
      <c r="D62" s="49" t="s">
        <v>831</v>
      </c>
      <c r="E62" s="49" t="s">
        <v>708</v>
      </c>
      <c r="F62" s="32" t="s">
        <v>1056</v>
      </c>
      <c r="G62" s="25">
        <v>-57.5</v>
      </c>
      <c r="H62" s="25"/>
      <c r="I62" s="25"/>
    </row>
    <row r="63" spans="1:9" x14ac:dyDescent="0.25">
      <c r="A63" s="28"/>
      <c r="B63" s="26">
        <v>44774</v>
      </c>
      <c r="C63" s="27">
        <v>0.48863425925925924</v>
      </c>
      <c r="D63" s="49" t="s">
        <v>831</v>
      </c>
      <c r="E63" s="49" t="s">
        <v>708</v>
      </c>
      <c r="F63" s="32" t="s">
        <v>1058</v>
      </c>
      <c r="G63" s="25">
        <v>-70.5</v>
      </c>
      <c r="H63" s="25"/>
      <c r="I63" s="25"/>
    </row>
    <row r="64" spans="1:9" x14ac:dyDescent="0.25">
      <c r="A64" s="28"/>
      <c r="B64" s="26">
        <v>44774</v>
      </c>
      <c r="C64" s="27">
        <v>0.67518518518518522</v>
      </c>
      <c r="D64" s="49" t="s">
        <v>831</v>
      </c>
      <c r="E64" s="49" t="s">
        <v>708</v>
      </c>
      <c r="F64" s="32" t="s">
        <v>1060</v>
      </c>
      <c r="G64" s="25">
        <v>-109.5</v>
      </c>
      <c r="H64" s="25"/>
      <c r="I64" s="25"/>
    </row>
    <row r="65" spans="1:9" x14ac:dyDescent="0.25">
      <c r="A65" s="28"/>
      <c r="B65" s="26">
        <v>44775</v>
      </c>
      <c r="C65" s="27">
        <v>0.42797453703703708</v>
      </c>
      <c r="D65" s="49" t="s">
        <v>831</v>
      </c>
      <c r="E65" s="49" t="s">
        <v>708</v>
      </c>
      <c r="F65" s="32" t="s">
        <v>1061</v>
      </c>
      <c r="G65" s="25">
        <v>-105.5</v>
      </c>
      <c r="H65" s="25"/>
      <c r="I65" s="25"/>
    </row>
    <row r="66" spans="1:9" x14ac:dyDescent="0.25">
      <c r="A66" s="28"/>
      <c r="B66" s="26">
        <v>44775</v>
      </c>
      <c r="C66" s="27">
        <v>0.74671296296296286</v>
      </c>
      <c r="D66" s="49" t="s">
        <v>831</v>
      </c>
      <c r="E66" s="49" t="s">
        <v>708</v>
      </c>
      <c r="F66" s="32" t="s">
        <v>1063</v>
      </c>
      <c r="G66" s="25">
        <v>-190.5</v>
      </c>
      <c r="H66" s="25"/>
      <c r="I66" s="25"/>
    </row>
    <row r="67" spans="1:9" x14ac:dyDescent="0.25">
      <c r="A67" s="28"/>
      <c r="B67" s="26">
        <v>44775</v>
      </c>
      <c r="C67" s="27">
        <v>0.74807870370370377</v>
      </c>
      <c r="D67" s="49" t="s">
        <v>831</v>
      </c>
      <c r="E67" s="49" t="s">
        <v>708</v>
      </c>
      <c r="F67" s="32" t="s">
        <v>1065</v>
      </c>
      <c r="G67" s="25">
        <v>-142.5</v>
      </c>
      <c r="H67" s="25"/>
      <c r="I67" s="25"/>
    </row>
    <row r="68" spans="1:9" x14ac:dyDescent="0.25">
      <c r="A68" s="28"/>
      <c r="B68" s="26">
        <v>44776</v>
      </c>
      <c r="C68" s="27">
        <v>0.42064814814814816</v>
      </c>
      <c r="D68" s="49" t="s">
        <v>718</v>
      </c>
      <c r="E68" s="49" t="s">
        <v>708</v>
      </c>
      <c r="F68" s="32" t="s">
        <v>1066</v>
      </c>
      <c r="G68" s="25">
        <v>-44.5</v>
      </c>
      <c r="H68" s="25"/>
      <c r="I68" s="25"/>
    </row>
    <row r="69" spans="1:9" x14ac:dyDescent="0.25">
      <c r="A69" s="28"/>
      <c r="B69" s="26">
        <v>44776</v>
      </c>
      <c r="C69" s="27">
        <v>0.82980324074074074</v>
      </c>
      <c r="D69" s="49" t="s">
        <v>717</v>
      </c>
      <c r="E69" s="49" t="s">
        <v>708</v>
      </c>
      <c r="F69" s="32" t="s">
        <v>1068</v>
      </c>
      <c r="G69" s="25">
        <v>-181.5</v>
      </c>
      <c r="H69" s="25"/>
      <c r="I69" s="25"/>
    </row>
    <row r="70" spans="1:9" x14ac:dyDescent="0.25">
      <c r="A70" s="28"/>
      <c r="B70" s="26">
        <v>44776</v>
      </c>
      <c r="C70" s="27">
        <v>0.91438657407407409</v>
      </c>
      <c r="D70" s="49" t="s">
        <v>717</v>
      </c>
      <c r="E70" s="49" t="s">
        <v>708</v>
      </c>
      <c r="F70" s="32" t="s">
        <v>1070</v>
      </c>
      <c r="G70" s="25">
        <v>-161.5</v>
      </c>
      <c r="H70" s="25"/>
      <c r="I70" s="25"/>
    </row>
    <row r="71" spans="1:9" x14ac:dyDescent="0.25">
      <c r="A71" s="28"/>
      <c r="B71" s="33"/>
      <c r="C71" s="33"/>
      <c r="D71" s="33"/>
      <c r="E71" s="33"/>
      <c r="F71" s="33"/>
      <c r="G71" s="34">
        <f>SUM(G61:G70)</f>
        <v>-1177</v>
      </c>
      <c r="H71" s="31">
        <f>10*4.94</f>
        <v>49.400000000000006</v>
      </c>
      <c r="I71" s="34">
        <f>G71+H71</f>
        <v>-1127.5999999999999</v>
      </c>
    </row>
    <row r="72" spans="1:9" x14ac:dyDescent="0.25">
      <c r="A72" s="28" t="s">
        <v>806</v>
      </c>
      <c r="B72" s="29" t="s">
        <v>789</v>
      </c>
      <c r="C72" s="30"/>
      <c r="D72" s="30"/>
      <c r="E72" s="30"/>
      <c r="F72" s="30"/>
      <c r="G72" s="31"/>
      <c r="H72" s="25"/>
      <c r="I72" s="25"/>
    </row>
    <row r="73" spans="1:9" x14ac:dyDescent="0.25">
      <c r="A73" s="28"/>
      <c r="B73" s="26">
        <v>44774</v>
      </c>
      <c r="C73" s="27">
        <v>0.44</v>
      </c>
      <c r="D73" s="49" t="s">
        <v>719</v>
      </c>
      <c r="E73" s="49" t="s">
        <v>708</v>
      </c>
      <c r="F73" s="32" t="s">
        <v>1072</v>
      </c>
      <c r="G73" s="25">
        <v>-106.5</v>
      </c>
      <c r="H73" s="25"/>
      <c r="I73" s="25"/>
    </row>
    <row r="74" spans="1:9" x14ac:dyDescent="0.25">
      <c r="A74" s="28"/>
      <c r="B74" s="26">
        <v>44774</v>
      </c>
      <c r="C74" s="27">
        <v>0.44149305555555557</v>
      </c>
      <c r="D74" s="49" t="s">
        <v>719</v>
      </c>
      <c r="E74" s="49" t="s">
        <v>708</v>
      </c>
      <c r="F74" s="32" t="s">
        <v>1074</v>
      </c>
      <c r="G74" s="25">
        <v>-44.5</v>
      </c>
      <c r="H74" s="25"/>
      <c r="I74" s="25"/>
    </row>
    <row r="75" spans="1:9" x14ac:dyDescent="0.25">
      <c r="A75" s="28"/>
      <c r="B75" s="44">
        <v>44774</v>
      </c>
      <c r="C75" s="45">
        <v>0.90219907407407407</v>
      </c>
      <c r="D75" s="52" t="s">
        <v>832</v>
      </c>
      <c r="E75" s="52" t="s">
        <v>708</v>
      </c>
      <c r="F75" s="47" t="s">
        <v>1076</v>
      </c>
      <c r="G75" s="46">
        <f>-209+2.5</f>
        <v>-206.5</v>
      </c>
      <c r="H75" s="25"/>
      <c r="I75" s="25"/>
    </row>
    <row r="76" spans="1:9" x14ac:dyDescent="0.25">
      <c r="A76" s="28"/>
      <c r="B76" s="48" t="s">
        <v>1276</v>
      </c>
      <c r="C76" s="48"/>
      <c r="D76" s="48"/>
      <c r="E76" s="48"/>
      <c r="F76" s="48"/>
      <c r="G76" s="46"/>
      <c r="H76" s="25"/>
      <c r="I76" s="25"/>
    </row>
    <row r="77" spans="1:9" x14ac:dyDescent="0.25">
      <c r="A77" s="28"/>
      <c r="B77" s="26">
        <v>44775</v>
      </c>
      <c r="C77" s="27">
        <v>0.61821759259259257</v>
      </c>
      <c r="D77" s="49" t="s">
        <v>719</v>
      </c>
      <c r="E77" s="49" t="s">
        <v>708</v>
      </c>
      <c r="F77" s="32" t="s">
        <v>1078</v>
      </c>
      <c r="G77" s="25">
        <v>-156.5</v>
      </c>
      <c r="H77" s="25"/>
      <c r="I77" s="25"/>
    </row>
    <row r="78" spans="1:9" x14ac:dyDescent="0.25">
      <c r="A78" s="28"/>
      <c r="B78" s="26">
        <v>44775</v>
      </c>
      <c r="C78" s="27">
        <v>0.80480324074074072</v>
      </c>
      <c r="D78" s="49" t="s">
        <v>832</v>
      </c>
      <c r="E78" s="49" t="s">
        <v>708</v>
      </c>
      <c r="F78" s="32" t="s">
        <v>1079</v>
      </c>
      <c r="G78" s="25">
        <v>-139.5</v>
      </c>
      <c r="H78" s="25"/>
      <c r="I78" s="25"/>
    </row>
    <row r="79" spans="1:9" x14ac:dyDescent="0.25">
      <c r="A79" s="28"/>
      <c r="B79" s="26">
        <v>44775</v>
      </c>
      <c r="C79" s="27">
        <v>0.89214120370370376</v>
      </c>
      <c r="D79" s="49" t="s">
        <v>832</v>
      </c>
      <c r="E79" s="49" t="s">
        <v>708</v>
      </c>
      <c r="F79" s="32" t="s">
        <v>1081</v>
      </c>
      <c r="G79" s="25">
        <v>-152.5</v>
      </c>
      <c r="H79" s="25"/>
      <c r="I79" s="25"/>
    </row>
    <row r="80" spans="1:9" x14ac:dyDescent="0.25">
      <c r="A80" s="28"/>
      <c r="B80" s="26">
        <v>44775</v>
      </c>
      <c r="C80" s="27">
        <v>0.89340277777777777</v>
      </c>
      <c r="D80" s="49" t="s">
        <v>832</v>
      </c>
      <c r="E80" s="49" t="s">
        <v>708</v>
      </c>
      <c r="F80" s="32" t="s">
        <v>1083</v>
      </c>
      <c r="G80" s="25">
        <v>-77.5</v>
      </c>
      <c r="H80" s="25"/>
      <c r="I80" s="25"/>
    </row>
    <row r="81" spans="1:9" x14ac:dyDescent="0.25">
      <c r="A81" s="28"/>
      <c r="B81" s="26">
        <v>44775</v>
      </c>
      <c r="C81" s="27">
        <v>0.89513888888888893</v>
      </c>
      <c r="D81" s="49" t="s">
        <v>832</v>
      </c>
      <c r="E81" s="49" t="s">
        <v>708</v>
      </c>
      <c r="F81" s="32" t="s">
        <v>1085</v>
      </c>
      <c r="G81" s="25">
        <v>-86.5</v>
      </c>
      <c r="H81" s="25"/>
      <c r="I81" s="25"/>
    </row>
    <row r="82" spans="1:9" x14ac:dyDescent="0.25">
      <c r="A82" s="28"/>
      <c r="B82" s="26">
        <v>44776</v>
      </c>
      <c r="C82" s="27">
        <v>0.35494212962962962</v>
      </c>
      <c r="D82" s="49" t="s">
        <v>719</v>
      </c>
      <c r="E82" s="49" t="s">
        <v>708</v>
      </c>
      <c r="F82" s="32" t="s">
        <v>1087</v>
      </c>
      <c r="G82" s="25">
        <v>-211.5</v>
      </c>
      <c r="H82" s="25"/>
      <c r="I82" s="25"/>
    </row>
    <row r="83" spans="1:9" x14ac:dyDescent="0.25">
      <c r="A83" s="28"/>
      <c r="B83" s="26">
        <v>44776</v>
      </c>
      <c r="C83" s="27">
        <v>0.58299768518518513</v>
      </c>
      <c r="D83" s="49" t="s">
        <v>719</v>
      </c>
      <c r="E83" s="49" t="s">
        <v>708</v>
      </c>
      <c r="F83" s="32" t="s">
        <v>1088</v>
      </c>
      <c r="G83" s="25">
        <v>-166.5</v>
      </c>
      <c r="H83" s="25"/>
      <c r="I83" s="25"/>
    </row>
    <row r="84" spans="1:9" x14ac:dyDescent="0.25">
      <c r="A84" s="28"/>
      <c r="B84" s="26">
        <v>44776</v>
      </c>
      <c r="C84" s="27">
        <v>0.60403935185185187</v>
      </c>
      <c r="D84" s="49" t="s">
        <v>719</v>
      </c>
      <c r="E84" s="49" t="s">
        <v>708</v>
      </c>
      <c r="F84" s="32" t="s">
        <v>1090</v>
      </c>
      <c r="G84" s="25">
        <v>-166.5</v>
      </c>
      <c r="H84" s="25"/>
      <c r="I84" s="25"/>
    </row>
    <row r="85" spans="1:9" x14ac:dyDescent="0.25">
      <c r="A85" s="28"/>
      <c r="B85" s="39">
        <v>44776</v>
      </c>
      <c r="C85" s="40">
        <v>0.70973379629629629</v>
      </c>
      <c r="D85" s="51" t="s">
        <v>719</v>
      </c>
      <c r="E85" s="51" t="s">
        <v>708</v>
      </c>
      <c r="F85" s="42" t="s">
        <v>1093</v>
      </c>
      <c r="G85" s="41">
        <v>-43.5</v>
      </c>
      <c r="H85" s="25"/>
      <c r="I85" s="25"/>
    </row>
    <row r="86" spans="1:9" x14ac:dyDescent="0.25">
      <c r="A86" s="28"/>
      <c r="B86" s="43" t="s">
        <v>1092</v>
      </c>
      <c r="C86" s="43"/>
      <c r="D86" s="43"/>
      <c r="E86" s="43"/>
      <c r="F86" s="43"/>
      <c r="G86" s="41"/>
      <c r="H86" s="25"/>
      <c r="I86" s="25"/>
    </row>
    <row r="87" spans="1:9" x14ac:dyDescent="0.25">
      <c r="A87" s="28"/>
      <c r="B87" s="33"/>
      <c r="C87" s="33"/>
      <c r="D87" s="33"/>
      <c r="E87" s="33"/>
      <c r="F87" s="33"/>
      <c r="G87" s="34">
        <f>SUM(G73:G85)</f>
        <v>-1558</v>
      </c>
      <c r="H87" s="31">
        <f>12*4.94</f>
        <v>59.28</v>
      </c>
      <c r="I87" s="34">
        <f>G87+H87</f>
        <v>-1498.72</v>
      </c>
    </row>
    <row r="88" spans="1:9" x14ac:dyDescent="0.25">
      <c r="A88" s="28" t="s">
        <v>806</v>
      </c>
      <c r="B88" s="29" t="s">
        <v>790</v>
      </c>
      <c r="C88" s="30"/>
      <c r="D88" s="30"/>
      <c r="E88" s="30"/>
      <c r="F88" s="30"/>
      <c r="G88" s="31"/>
      <c r="H88" s="25"/>
      <c r="I88" s="25"/>
    </row>
    <row r="89" spans="1:9" x14ac:dyDescent="0.25">
      <c r="A89" s="28"/>
      <c r="B89" s="26">
        <v>44774</v>
      </c>
      <c r="C89" s="27">
        <v>3.9189814814814809E-2</v>
      </c>
      <c r="D89" s="49" t="s">
        <v>720</v>
      </c>
      <c r="E89" s="49" t="s">
        <v>708</v>
      </c>
      <c r="F89" s="32" t="s">
        <v>1095</v>
      </c>
      <c r="G89" s="25">
        <v>-71.5</v>
      </c>
      <c r="H89" s="25"/>
      <c r="I89" s="25"/>
    </row>
    <row r="90" spans="1:9" x14ac:dyDescent="0.25">
      <c r="A90" s="28"/>
      <c r="B90" s="26">
        <v>44774</v>
      </c>
      <c r="C90" s="27">
        <v>0.48275462962962962</v>
      </c>
      <c r="D90" s="49" t="s">
        <v>833</v>
      </c>
      <c r="E90" s="49" t="s">
        <v>708</v>
      </c>
      <c r="F90" s="32" t="s">
        <v>1096</v>
      </c>
      <c r="G90" s="25">
        <v>-50.5</v>
      </c>
      <c r="H90" s="25"/>
      <c r="I90" s="25"/>
    </row>
    <row r="91" spans="1:9" x14ac:dyDescent="0.25">
      <c r="A91" s="28"/>
      <c r="B91" s="26">
        <v>44774</v>
      </c>
      <c r="C91" s="27">
        <v>0.5567361111111111</v>
      </c>
      <c r="D91" s="49" t="s">
        <v>833</v>
      </c>
      <c r="E91" s="49" t="s">
        <v>708</v>
      </c>
      <c r="F91" s="32" t="s">
        <v>1098</v>
      </c>
      <c r="G91" s="25">
        <v>-69.5</v>
      </c>
      <c r="H91" s="25"/>
      <c r="I91" s="25"/>
    </row>
    <row r="92" spans="1:9" x14ac:dyDescent="0.25">
      <c r="A92" s="28"/>
      <c r="B92" s="26">
        <v>44775</v>
      </c>
      <c r="C92" s="27">
        <v>0.45653935185185185</v>
      </c>
      <c r="D92" s="49" t="s">
        <v>833</v>
      </c>
      <c r="E92" s="49" t="s">
        <v>708</v>
      </c>
      <c r="F92" s="32" t="s">
        <v>1100</v>
      </c>
      <c r="G92" s="25">
        <v>-124.5</v>
      </c>
      <c r="H92" s="25"/>
      <c r="I92" s="25"/>
    </row>
    <row r="93" spans="1:9" x14ac:dyDescent="0.25">
      <c r="A93" s="28"/>
      <c r="B93" s="26">
        <v>44775</v>
      </c>
      <c r="C93" s="27">
        <v>0.63880787037037035</v>
      </c>
      <c r="D93" s="49" t="s">
        <v>833</v>
      </c>
      <c r="E93" s="49" t="s">
        <v>708</v>
      </c>
      <c r="F93" s="32" t="s">
        <v>1101</v>
      </c>
      <c r="G93" s="25">
        <v>-155.5</v>
      </c>
      <c r="H93" s="25"/>
      <c r="I93" s="25"/>
    </row>
    <row r="94" spans="1:9" x14ac:dyDescent="0.25">
      <c r="A94" s="28"/>
      <c r="B94" s="26">
        <v>44776</v>
      </c>
      <c r="C94" s="27">
        <v>0.72633101851851845</v>
      </c>
      <c r="D94" s="49" t="s">
        <v>720</v>
      </c>
      <c r="E94" s="49" t="s">
        <v>708</v>
      </c>
      <c r="F94" s="32" t="s">
        <v>1102</v>
      </c>
      <c r="G94" s="25">
        <v>-96.5</v>
      </c>
      <c r="H94" s="25"/>
      <c r="I94" s="25"/>
    </row>
    <row r="95" spans="1:9" x14ac:dyDescent="0.25">
      <c r="A95" s="28"/>
      <c r="B95" s="33"/>
      <c r="C95" s="33"/>
      <c r="D95" s="33"/>
      <c r="E95" s="33"/>
      <c r="F95" s="33"/>
      <c r="G95" s="34">
        <f>SUM(G89:G94)</f>
        <v>-568</v>
      </c>
      <c r="H95" s="31">
        <f>6*4.94</f>
        <v>29.64</v>
      </c>
      <c r="I95" s="34">
        <f>G95+H95</f>
        <v>-538.36</v>
      </c>
    </row>
    <row r="96" spans="1:9" x14ac:dyDescent="0.25">
      <c r="A96" s="28" t="s">
        <v>806</v>
      </c>
      <c r="B96" s="29" t="s">
        <v>791</v>
      </c>
      <c r="C96" s="30"/>
      <c r="D96" s="30"/>
      <c r="E96" s="30"/>
      <c r="F96" s="30"/>
      <c r="G96" s="31"/>
      <c r="H96" s="25"/>
      <c r="I96" s="25"/>
    </row>
    <row r="97" spans="1:9" x14ac:dyDescent="0.25">
      <c r="A97" s="28"/>
      <c r="B97" s="26">
        <v>44774</v>
      </c>
      <c r="C97" s="27">
        <v>0.38043981481481487</v>
      </c>
      <c r="D97" s="49" t="s">
        <v>813</v>
      </c>
      <c r="E97" s="49" t="s">
        <v>708</v>
      </c>
      <c r="F97" s="32" t="s">
        <v>1104</v>
      </c>
      <c r="G97" s="25">
        <v>-58.5</v>
      </c>
      <c r="H97" s="25"/>
      <c r="I97" s="25"/>
    </row>
    <row r="98" spans="1:9" x14ac:dyDescent="0.25">
      <c r="A98" s="28"/>
      <c r="B98" s="44">
        <v>44774</v>
      </c>
      <c r="C98" s="45">
        <v>0.38232638888888887</v>
      </c>
      <c r="D98" s="52" t="s">
        <v>813</v>
      </c>
      <c r="E98" s="52" t="s">
        <v>708</v>
      </c>
      <c r="F98" s="47" t="s">
        <v>1267</v>
      </c>
      <c r="G98" s="47" t="s">
        <v>1277</v>
      </c>
      <c r="H98" s="25"/>
      <c r="I98" s="25"/>
    </row>
    <row r="99" spans="1:9" x14ac:dyDescent="0.25">
      <c r="A99" s="28"/>
      <c r="B99" s="48" t="s">
        <v>778</v>
      </c>
      <c r="C99" s="48"/>
      <c r="D99" s="48"/>
      <c r="E99" s="48"/>
      <c r="F99" s="48"/>
      <c r="G99" s="47"/>
      <c r="H99" s="25"/>
      <c r="I99" s="25"/>
    </row>
    <row r="100" spans="1:9" x14ac:dyDescent="0.25">
      <c r="A100" s="28"/>
      <c r="B100" s="44">
        <v>44774</v>
      </c>
      <c r="C100" s="45">
        <v>0.54355324074074074</v>
      </c>
      <c r="D100" s="52" t="s">
        <v>721</v>
      </c>
      <c r="E100" s="52" t="s">
        <v>708</v>
      </c>
      <c r="F100" s="47" t="s">
        <v>1268</v>
      </c>
      <c r="G100" s="47" t="s">
        <v>1278</v>
      </c>
      <c r="H100" s="25"/>
      <c r="I100" s="25"/>
    </row>
    <row r="101" spans="1:9" x14ac:dyDescent="0.25">
      <c r="A101" s="28"/>
      <c r="B101" s="48" t="s">
        <v>778</v>
      </c>
      <c r="C101" s="48"/>
      <c r="D101" s="48"/>
      <c r="E101" s="48"/>
      <c r="F101" s="48"/>
      <c r="G101" s="47"/>
      <c r="H101" s="25"/>
      <c r="I101" s="25"/>
    </row>
    <row r="102" spans="1:9" x14ac:dyDescent="0.25">
      <c r="A102" s="28"/>
      <c r="B102" s="26">
        <v>44774</v>
      </c>
      <c r="C102" s="27">
        <v>0.79197916666666668</v>
      </c>
      <c r="D102" s="49" t="s">
        <v>722</v>
      </c>
      <c r="E102" s="49" t="s">
        <v>708</v>
      </c>
      <c r="F102" s="32" t="s">
        <v>1106</v>
      </c>
      <c r="G102" s="25">
        <v>-108.5</v>
      </c>
      <c r="H102" s="25"/>
      <c r="I102" s="25"/>
    </row>
    <row r="103" spans="1:9" x14ac:dyDescent="0.25">
      <c r="A103" s="28"/>
      <c r="B103" s="26">
        <v>44775</v>
      </c>
      <c r="C103" s="27">
        <v>0.64399305555555553</v>
      </c>
      <c r="D103" s="49" t="s">
        <v>721</v>
      </c>
      <c r="E103" s="49" t="s">
        <v>708</v>
      </c>
      <c r="F103" s="32" t="s">
        <v>1107</v>
      </c>
      <c r="G103" s="25">
        <v>-47.5</v>
      </c>
      <c r="H103" s="25"/>
      <c r="I103" s="25"/>
    </row>
    <row r="104" spans="1:9" x14ac:dyDescent="0.25">
      <c r="A104" s="28"/>
      <c r="B104" s="26">
        <v>44776</v>
      </c>
      <c r="C104" s="27">
        <v>0.5564351851851852</v>
      </c>
      <c r="D104" s="49" t="s">
        <v>721</v>
      </c>
      <c r="E104" s="49" t="s">
        <v>708</v>
      </c>
      <c r="F104" s="32" t="s">
        <v>1109</v>
      </c>
      <c r="G104" s="25">
        <v>-44.5</v>
      </c>
      <c r="H104" s="25"/>
      <c r="I104" s="25"/>
    </row>
    <row r="105" spans="1:9" x14ac:dyDescent="0.25">
      <c r="A105" s="28"/>
      <c r="B105" s="26">
        <v>44776</v>
      </c>
      <c r="C105" s="27">
        <v>0.90101851851851855</v>
      </c>
      <c r="D105" s="49" t="s">
        <v>722</v>
      </c>
      <c r="E105" s="49" t="s">
        <v>708</v>
      </c>
      <c r="F105" s="32" t="s">
        <v>1111</v>
      </c>
      <c r="G105" s="25">
        <v>-355.5</v>
      </c>
      <c r="H105" s="25"/>
      <c r="I105" s="25"/>
    </row>
    <row r="106" spans="1:9" x14ac:dyDescent="0.25">
      <c r="A106" s="28"/>
      <c r="B106" s="33"/>
      <c r="C106" s="33"/>
      <c r="D106" s="33"/>
      <c r="E106" s="33"/>
      <c r="F106" s="33"/>
      <c r="G106" s="34">
        <f>SUM(G97:G105)</f>
        <v>-614.5</v>
      </c>
      <c r="H106" s="31">
        <f>7*4.94</f>
        <v>34.580000000000005</v>
      </c>
      <c r="I106" s="34">
        <f>G106+H106</f>
        <v>-579.91999999999996</v>
      </c>
    </row>
    <row r="107" spans="1:9" x14ac:dyDescent="0.25">
      <c r="A107" s="28" t="s">
        <v>806</v>
      </c>
      <c r="B107" s="29" t="s">
        <v>792</v>
      </c>
      <c r="C107" s="30"/>
      <c r="D107" s="30"/>
      <c r="E107" s="30"/>
      <c r="F107" s="30"/>
      <c r="G107" s="31"/>
      <c r="H107" s="25"/>
      <c r="I107" s="25"/>
    </row>
    <row r="108" spans="1:9" x14ac:dyDescent="0.25">
      <c r="A108" s="28"/>
      <c r="B108" s="26">
        <v>44774</v>
      </c>
      <c r="C108" s="27">
        <v>0.49523148148148149</v>
      </c>
      <c r="D108" s="49" t="s">
        <v>814</v>
      </c>
      <c r="E108" s="49" t="s">
        <v>708</v>
      </c>
      <c r="F108" s="32" t="s">
        <v>1112</v>
      </c>
      <c r="G108" s="25">
        <v>-79.5</v>
      </c>
      <c r="H108" s="25"/>
      <c r="I108" s="25"/>
    </row>
    <row r="109" spans="1:9" x14ac:dyDescent="0.25">
      <c r="A109" s="28"/>
      <c r="B109" s="26">
        <v>44774</v>
      </c>
      <c r="C109" s="27">
        <v>0.58888888888888891</v>
      </c>
      <c r="D109" s="49" t="s">
        <v>814</v>
      </c>
      <c r="E109" s="49" t="s">
        <v>708</v>
      </c>
      <c r="F109" s="32" t="s">
        <v>1114</v>
      </c>
      <c r="G109" s="25">
        <v>-44.5</v>
      </c>
      <c r="H109" s="25"/>
      <c r="I109" s="25"/>
    </row>
    <row r="110" spans="1:9" x14ac:dyDescent="0.25">
      <c r="A110" s="28"/>
      <c r="B110" s="26">
        <v>44775</v>
      </c>
      <c r="C110" s="27">
        <v>0.47609953703703706</v>
      </c>
      <c r="D110" s="49" t="s">
        <v>814</v>
      </c>
      <c r="E110" s="49" t="s">
        <v>708</v>
      </c>
      <c r="F110" s="32" t="s">
        <v>1116</v>
      </c>
      <c r="G110" s="25">
        <v>-95.5</v>
      </c>
      <c r="H110" s="25"/>
      <c r="I110" s="25"/>
    </row>
    <row r="111" spans="1:9" x14ac:dyDescent="0.25">
      <c r="A111" s="28"/>
      <c r="B111" s="26">
        <v>44775</v>
      </c>
      <c r="C111" s="27">
        <v>0.75760416666666675</v>
      </c>
      <c r="D111" s="49" t="s">
        <v>814</v>
      </c>
      <c r="E111" s="49" t="s">
        <v>708</v>
      </c>
      <c r="F111" s="32" t="s">
        <v>1118</v>
      </c>
      <c r="G111" s="25">
        <v>-79.5</v>
      </c>
      <c r="H111" s="25"/>
      <c r="I111" s="25"/>
    </row>
    <row r="112" spans="1:9" x14ac:dyDescent="0.25">
      <c r="A112" s="28"/>
      <c r="B112" s="26">
        <v>44775</v>
      </c>
      <c r="C112" s="27">
        <v>0.81077546296296299</v>
      </c>
      <c r="D112" s="49" t="s">
        <v>723</v>
      </c>
      <c r="E112" s="49" t="s">
        <v>708</v>
      </c>
      <c r="F112" s="32" t="s">
        <v>1119</v>
      </c>
      <c r="G112" s="25">
        <v>-339.5</v>
      </c>
      <c r="H112" s="25"/>
      <c r="I112" s="25"/>
    </row>
    <row r="113" spans="1:9" x14ac:dyDescent="0.25">
      <c r="A113" s="28"/>
      <c r="B113" s="26">
        <v>44776</v>
      </c>
      <c r="C113" s="27">
        <v>0.3756944444444445</v>
      </c>
      <c r="D113" s="49" t="s">
        <v>814</v>
      </c>
      <c r="E113" s="49" t="s">
        <v>708</v>
      </c>
      <c r="F113" s="32" t="s">
        <v>1121</v>
      </c>
      <c r="G113" s="25">
        <v>-509.5</v>
      </c>
      <c r="H113" s="25"/>
      <c r="I113" s="25"/>
    </row>
    <row r="114" spans="1:9" x14ac:dyDescent="0.25">
      <c r="A114" s="28"/>
      <c r="B114" s="26">
        <v>44776</v>
      </c>
      <c r="C114" s="27">
        <v>0.44133101851851847</v>
      </c>
      <c r="D114" s="49" t="s">
        <v>814</v>
      </c>
      <c r="E114" s="49" t="s">
        <v>708</v>
      </c>
      <c r="F114" s="32" t="s">
        <v>1123</v>
      </c>
      <c r="G114" s="25">
        <v>-62.5</v>
      </c>
      <c r="H114" s="25"/>
      <c r="I114" s="25"/>
    </row>
    <row r="115" spans="1:9" x14ac:dyDescent="0.25">
      <c r="A115" s="28"/>
      <c r="B115" s="26">
        <v>44776</v>
      </c>
      <c r="C115" s="27">
        <v>0.49863425925925925</v>
      </c>
      <c r="D115" s="49" t="s">
        <v>814</v>
      </c>
      <c r="E115" s="49" t="s">
        <v>708</v>
      </c>
      <c r="F115" s="32" t="s">
        <v>1125</v>
      </c>
      <c r="G115" s="25">
        <v>-339.5</v>
      </c>
      <c r="H115" s="25"/>
      <c r="I115" s="25"/>
    </row>
    <row r="116" spans="1:9" x14ac:dyDescent="0.25">
      <c r="A116" s="28"/>
      <c r="B116" s="26">
        <v>44776</v>
      </c>
      <c r="C116" s="27">
        <v>0.59201388888888895</v>
      </c>
      <c r="D116" s="49" t="s">
        <v>814</v>
      </c>
      <c r="E116" s="49" t="s">
        <v>708</v>
      </c>
      <c r="F116" s="32" t="s">
        <v>1127</v>
      </c>
      <c r="G116" s="25">
        <v>-169.5</v>
      </c>
      <c r="H116" s="25"/>
      <c r="I116" s="25"/>
    </row>
    <row r="117" spans="1:9" x14ac:dyDescent="0.25">
      <c r="A117" s="28"/>
      <c r="B117" s="26">
        <v>44776</v>
      </c>
      <c r="C117" s="27">
        <v>0.63266203703703705</v>
      </c>
      <c r="D117" s="49" t="s">
        <v>814</v>
      </c>
      <c r="E117" s="49" t="s">
        <v>708</v>
      </c>
      <c r="F117" s="32" t="s">
        <v>1129</v>
      </c>
      <c r="G117" s="25">
        <v>-149.5</v>
      </c>
      <c r="H117" s="25"/>
      <c r="I117" s="25"/>
    </row>
    <row r="118" spans="1:9" x14ac:dyDescent="0.25">
      <c r="A118" s="28"/>
      <c r="B118" s="33"/>
      <c r="C118" s="33"/>
      <c r="D118" s="33"/>
      <c r="E118" s="33"/>
      <c r="F118" s="33"/>
      <c r="G118" s="34">
        <f>SUM(G108:G117)</f>
        <v>-1869</v>
      </c>
      <c r="H118" s="31">
        <f>10*4.94</f>
        <v>49.400000000000006</v>
      </c>
      <c r="I118" s="34">
        <f>G118+H118</f>
        <v>-1819.6</v>
      </c>
    </row>
    <row r="119" spans="1:9" x14ac:dyDescent="0.25">
      <c r="A119" s="28" t="s">
        <v>806</v>
      </c>
      <c r="B119" s="29" t="s">
        <v>793</v>
      </c>
      <c r="C119" s="30"/>
      <c r="D119" s="30"/>
      <c r="E119" s="30"/>
      <c r="F119" s="30"/>
      <c r="G119" s="31"/>
      <c r="H119" s="25"/>
      <c r="I119" s="25"/>
    </row>
    <row r="120" spans="1:9" x14ac:dyDescent="0.25">
      <c r="A120" s="28"/>
      <c r="B120" s="26">
        <v>44774</v>
      </c>
      <c r="C120" s="27">
        <v>0.3946527777777778</v>
      </c>
      <c r="D120" s="49" t="s">
        <v>815</v>
      </c>
      <c r="E120" s="49" t="s">
        <v>708</v>
      </c>
      <c r="F120" s="32" t="s">
        <v>1131</v>
      </c>
      <c r="G120" s="25">
        <v>-445.5</v>
      </c>
      <c r="H120" s="25"/>
      <c r="I120" s="25"/>
    </row>
    <row r="121" spans="1:9" x14ac:dyDescent="0.25">
      <c r="A121" s="28"/>
      <c r="B121" s="26">
        <v>44774</v>
      </c>
      <c r="C121" s="27">
        <v>0.39694444444444449</v>
      </c>
      <c r="D121" s="49" t="s">
        <v>815</v>
      </c>
      <c r="E121" s="49" t="s">
        <v>708</v>
      </c>
      <c r="F121" s="32" t="s">
        <v>1133</v>
      </c>
      <c r="G121" s="25">
        <v>-689.5</v>
      </c>
      <c r="H121" s="25"/>
      <c r="I121" s="25"/>
    </row>
    <row r="122" spans="1:9" x14ac:dyDescent="0.25">
      <c r="A122" s="28"/>
      <c r="B122" s="35">
        <v>44774</v>
      </c>
      <c r="C122" s="36">
        <v>0.41500000000000004</v>
      </c>
      <c r="D122" s="50" t="s">
        <v>815</v>
      </c>
      <c r="E122" s="50" t="s">
        <v>708</v>
      </c>
      <c r="F122" s="38" t="s">
        <v>1251</v>
      </c>
      <c r="G122" s="37">
        <v>-120.5</v>
      </c>
      <c r="H122" s="25"/>
      <c r="I122" s="25"/>
    </row>
    <row r="123" spans="1:9" x14ac:dyDescent="0.25">
      <c r="A123" s="28"/>
      <c r="B123" s="26">
        <v>44774</v>
      </c>
      <c r="C123" s="27">
        <v>0.41615740740740742</v>
      </c>
      <c r="D123" s="49" t="s">
        <v>815</v>
      </c>
      <c r="E123" s="49" t="s">
        <v>708</v>
      </c>
      <c r="F123" s="32" t="s">
        <v>1134</v>
      </c>
      <c r="G123" s="25">
        <v>-129.5</v>
      </c>
      <c r="H123" s="25"/>
      <c r="I123" s="25"/>
    </row>
    <row r="124" spans="1:9" x14ac:dyDescent="0.25">
      <c r="A124" s="28"/>
      <c r="B124" s="26">
        <v>44774</v>
      </c>
      <c r="C124" s="27">
        <v>0.4230902777777778</v>
      </c>
      <c r="D124" s="49" t="s">
        <v>815</v>
      </c>
      <c r="E124" s="49" t="s">
        <v>708</v>
      </c>
      <c r="F124" s="32" t="s">
        <v>1135</v>
      </c>
      <c r="G124" s="25">
        <v>-135.5</v>
      </c>
      <c r="H124" s="25"/>
      <c r="I124" s="25"/>
    </row>
    <row r="125" spans="1:9" x14ac:dyDescent="0.25">
      <c r="A125" s="28"/>
      <c r="B125" s="26">
        <v>44774</v>
      </c>
      <c r="C125" s="27">
        <v>0.55296296296296299</v>
      </c>
      <c r="D125" s="49" t="s">
        <v>816</v>
      </c>
      <c r="E125" s="49" t="s">
        <v>708</v>
      </c>
      <c r="F125" s="32" t="s">
        <v>1137</v>
      </c>
      <c r="G125" s="25">
        <v>-304.5</v>
      </c>
      <c r="H125" s="25"/>
      <c r="I125" s="25"/>
    </row>
    <row r="126" spans="1:9" x14ac:dyDescent="0.25">
      <c r="A126" s="28"/>
      <c r="B126" s="35">
        <v>44774</v>
      </c>
      <c r="C126" s="36">
        <v>0.66849537037037043</v>
      </c>
      <c r="D126" s="50" t="s">
        <v>815</v>
      </c>
      <c r="E126" s="50" t="s">
        <v>708</v>
      </c>
      <c r="F126" s="38" t="s">
        <v>1252</v>
      </c>
      <c r="G126" s="37">
        <v>-98.5</v>
      </c>
      <c r="H126" s="25"/>
      <c r="I126" s="25"/>
    </row>
    <row r="127" spans="1:9" x14ac:dyDescent="0.25">
      <c r="A127" s="28"/>
      <c r="B127" s="35">
        <v>44774</v>
      </c>
      <c r="C127" s="36">
        <v>0.76611111111111108</v>
      </c>
      <c r="D127" s="50" t="s">
        <v>815</v>
      </c>
      <c r="E127" s="50" t="s">
        <v>708</v>
      </c>
      <c r="F127" s="38" t="s">
        <v>1253</v>
      </c>
      <c r="G127" s="37">
        <v>-189.5</v>
      </c>
      <c r="H127" s="25"/>
      <c r="I127" s="25"/>
    </row>
    <row r="128" spans="1:9" x14ac:dyDescent="0.25">
      <c r="A128" s="28"/>
      <c r="B128" s="26">
        <v>44775</v>
      </c>
      <c r="C128" s="27">
        <v>0.44637731481481485</v>
      </c>
      <c r="D128" s="49" t="s">
        <v>815</v>
      </c>
      <c r="E128" s="49" t="s">
        <v>708</v>
      </c>
      <c r="F128" s="32" t="s">
        <v>1138</v>
      </c>
      <c r="G128" s="25">
        <v>-131.5</v>
      </c>
      <c r="H128" s="25"/>
      <c r="I128" s="25"/>
    </row>
    <row r="129" spans="1:9" x14ac:dyDescent="0.25">
      <c r="A129" s="28"/>
      <c r="B129" s="26">
        <v>44775</v>
      </c>
      <c r="C129" s="27">
        <v>0.75474537037037026</v>
      </c>
      <c r="D129" s="49" t="s">
        <v>724</v>
      </c>
      <c r="E129" s="49" t="s">
        <v>708</v>
      </c>
      <c r="F129" s="32" t="s">
        <v>1139</v>
      </c>
      <c r="G129" s="25">
        <v>-56.5</v>
      </c>
      <c r="H129" s="25"/>
      <c r="I129" s="25"/>
    </row>
    <row r="130" spans="1:9" x14ac:dyDescent="0.25">
      <c r="A130" s="28"/>
      <c r="B130" s="26">
        <v>44775</v>
      </c>
      <c r="C130" s="27">
        <v>0.82521990740740747</v>
      </c>
      <c r="D130" s="49" t="s">
        <v>724</v>
      </c>
      <c r="E130" s="49" t="s">
        <v>708</v>
      </c>
      <c r="F130" s="32" t="s">
        <v>1141</v>
      </c>
      <c r="G130" s="25">
        <v>-85.5</v>
      </c>
      <c r="H130" s="25"/>
      <c r="I130" s="25"/>
    </row>
    <row r="131" spans="1:9" x14ac:dyDescent="0.25">
      <c r="A131" s="28"/>
      <c r="B131" s="26">
        <v>44775</v>
      </c>
      <c r="C131" s="27">
        <v>0.82614583333333336</v>
      </c>
      <c r="D131" s="49" t="s">
        <v>724</v>
      </c>
      <c r="E131" s="49" t="s">
        <v>708</v>
      </c>
      <c r="F131" s="32" t="s">
        <v>1142</v>
      </c>
      <c r="G131" s="25">
        <v>-45.5</v>
      </c>
      <c r="H131" s="25"/>
      <c r="I131" s="25"/>
    </row>
    <row r="132" spans="1:9" x14ac:dyDescent="0.25">
      <c r="A132" s="28"/>
      <c r="B132" s="35">
        <v>44776</v>
      </c>
      <c r="C132" s="36">
        <v>0.48501157407407408</v>
      </c>
      <c r="D132" s="50" t="s">
        <v>815</v>
      </c>
      <c r="E132" s="50" t="s">
        <v>708</v>
      </c>
      <c r="F132" s="38" t="s">
        <v>1254</v>
      </c>
      <c r="G132" s="37">
        <v>-165.5</v>
      </c>
      <c r="H132" s="25"/>
      <c r="I132" s="25"/>
    </row>
    <row r="133" spans="1:9" x14ac:dyDescent="0.25">
      <c r="A133" s="28"/>
      <c r="B133" s="26">
        <v>44776</v>
      </c>
      <c r="C133" s="27">
        <v>0.50049768518518511</v>
      </c>
      <c r="D133" s="49" t="s">
        <v>815</v>
      </c>
      <c r="E133" s="49" t="s">
        <v>708</v>
      </c>
      <c r="F133" s="32" t="s">
        <v>1143</v>
      </c>
      <c r="G133" s="25">
        <v>-189.5</v>
      </c>
      <c r="H133" s="25"/>
      <c r="I133" s="25"/>
    </row>
    <row r="134" spans="1:9" x14ac:dyDescent="0.25">
      <c r="A134" s="28"/>
      <c r="B134" s="35">
        <v>44776</v>
      </c>
      <c r="C134" s="36">
        <v>0.57690972222222225</v>
      </c>
      <c r="D134" s="50" t="s">
        <v>815</v>
      </c>
      <c r="E134" s="50" t="s">
        <v>708</v>
      </c>
      <c r="F134" s="38" t="s">
        <v>1255</v>
      </c>
      <c r="G134" s="37">
        <v>-93.5</v>
      </c>
      <c r="H134" s="25"/>
      <c r="I134" s="25"/>
    </row>
    <row r="135" spans="1:9" x14ac:dyDescent="0.25">
      <c r="A135" s="28"/>
      <c r="B135" s="26">
        <v>44776</v>
      </c>
      <c r="C135" s="27">
        <v>0.61689814814814814</v>
      </c>
      <c r="D135" s="49" t="s">
        <v>815</v>
      </c>
      <c r="E135" s="49" t="s">
        <v>708</v>
      </c>
      <c r="F135" s="32" t="s">
        <v>1145</v>
      </c>
      <c r="G135" s="25">
        <v>-130.5</v>
      </c>
      <c r="H135" s="25"/>
      <c r="I135" s="25"/>
    </row>
    <row r="136" spans="1:9" x14ac:dyDescent="0.25">
      <c r="A136" s="28"/>
      <c r="B136" s="35">
        <v>44776</v>
      </c>
      <c r="C136" s="36">
        <v>0.83616898148148155</v>
      </c>
      <c r="D136" s="50" t="s">
        <v>725</v>
      </c>
      <c r="E136" s="50" t="s">
        <v>708</v>
      </c>
      <c r="F136" s="38" t="s">
        <v>1257</v>
      </c>
      <c r="G136" s="37">
        <v>-44.5</v>
      </c>
      <c r="H136" s="25"/>
      <c r="I136" s="25"/>
    </row>
    <row r="137" spans="1:9" x14ac:dyDescent="0.25">
      <c r="A137" s="28"/>
      <c r="B137" s="33"/>
      <c r="C137" s="33"/>
      <c r="D137" s="33"/>
      <c r="E137" s="33"/>
      <c r="F137" s="33"/>
      <c r="G137" s="34">
        <f>SUM(G120:G136)</f>
        <v>-3055.5</v>
      </c>
      <c r="H137" s="31">
        <f>17*4.94</f>
        <v>83.98</v>
      </c>
      <c r="I137" s="34">
        <f>G137+H137</f>
        <v>-2971.52</v>
      </c>
    </row>
    <row r="138" spans="1:9" x14ac:dyDescent="0.25">
      <c r="A138" s="28" t="s">
        <v>806</v>
      </c>
      <c r="B138" s="29" t="s">
        <v>794</v>
      </c>
      <c r="C138" s="30"/>
      <c r="D138" s="30"/>
      <c r="E138" s="30"/>
      <c r="F138" s="30"/>
      <c r="G138" s="31"/>
      <c r="H138" s="25"/>
      <c r="I138" s="25"/>
    </row>
    <row r="139" spans="1:9" x14ac:dyDescent="0.25">
      <c r="A139" s="28"/>
      <c r="B139" s="26">
        <v>44774</v>
      </c>
      <c r="C139" s="27">
        <v>0.35770833333333335</v>
      </c>
      <c r="D139" s="49" t="s">
        <v>726</v>
      </c>
      <c r="E139" s="49" t="s">
        <v>708</v>
      </c>
      <c r="F139" s="32" t="s">
        <v>1147</v>
      </c>
      <c r="G139" s="25">
        <v>-55.5</v>
      </c>
      <c r="H139" s="25"/>
      <c r="I139" s="25"/>
    </row>
    <row r="140" spans="1:9" x14ac:dyDescent="0.25">
      <c r="A140" s="28"/>
      <c r="B140" s="26">
        <v>44774</v>
      </c>
      <c r="C140" s="27">
        <v>0.46875</v>
      </c>
      <c r="D140" s="49" t="s">
        <v>726</v>
      </c>
      <c r="E140" s="49" t="s">
        <v>708</v>
      </c>
      <c r="F140" s="32" t="s">
        <v>1148</v>
      </c>
      <c r="G140" s="25">
        <v>-116.5</v>
      </c>
      <c r="H140" s="25"/>
      <c r="I140" s="25"/>
    </row>
    <row r="141" spans="1:9" x14ac:dyDescent="0.25">
      <c r="A141" s="28"/>
      <c r="B141" s="26">
        <v>44774</v>
      </c>
      <c r="C141" s="27">
        <v>0.50885416666666672</v>
      </c>
      <c r="D141" s="49" t="s">
        <v>726</v>
      </c>
      <c r="E141" s="49" t="s">
        <v>708</v>
      </c>
      <c r="F141" s="32" t="s">
        <v>1149</v>
      </c>
      <c r="G141" s="25">
        <v>-239.5</v>
      </c>
      <c r="H141" s="25"/>
      <c r="I141" s="25"/>
    </row>
    <row r="142" spans="1:9" x14ac:dyDescent="0.25">
      <c r="A142" s="28"/>
      <c r="B142" s="26">
        <v>44774</v>
      </c>
      <c r="C142" s="27">
        <v>0.51026620370370368</v>
      </c>
      <c r="D142" s="49" t="s">
        <v>726</v>
      </c>
      <c r="E142" s="49" t="s">
        <v>708</v>
      </c>
      <c r="F142" s="32" t="s">
        <v>1150</v>
      </c>
      <c r="G142" s="25">
        <v>-44.5</v>
      </c>
      <c r="H142" s="25"/>
      <c r="I142" s="25"/>
    </row>
    <row r="143" spans="1:9" x14ac:dyDescent="0.25">
      <c r="A143" s="28"/>
      <c r="B143" s="68">
        <v>44774</v>
      </c>
      <c r="C143" s="69">
        <v>0.53531249999999997</v>
      </c>
      <c r="D143" s="72" t="s">
        <v>726</v>
      </c>
      <c r="E143" s="72" t="s">
        <v>708</v>
      </c>
      <c r="F143" s="71" t="s">
        <v>1269</v>
      </c>
      <c r="G143" s="70">
        <v>-120.5</v>
      </c>
      <c r="H143" s="25"/>
      <c r="I143" s="25"/>
    </row>
    <row r="144" spans="1:9" x14ac:dyDescent="0.25">
      <c r="A144" s="28"/>
      <c r="B144" s="26">
        <v>44774</v>
      </c>
      <c r="C144" s="27">
        <v>0.61515046296296294</v>
      </c>
      <c r="D144" s="49" t="s">
        <v>726</v>
      </c>
      <c r="E144" s="49" t="s">
        <v>708</v>
      </c>
      <c r="F144" s="32" t="s">
        <v>1151</v>
      </c>
      <c r="G144" s="25">
        <v>-308.5</v>
      </c>
      <c r="H144" s="25"/>
      <c r="I144" s="25"/>
    </row>
    <row r="145" spans="1:9" x14ac:dyDescent="0.25">
      <c r="A145" s="28"/>
      <c r="B145" s="26">
        <v>44774</v>
      </c>
      <c r="C145" s="27">
        <v>0.78513888888888894</v>
      </c>
      <c r="D145" s="49" t="s">
        <v>726</v>
      </c>
      <c r="E145" s="49" t="s">
        <v>708</v>
      </c>
      <c r="F145" s="32" t="s">
        <v>1152</v>
      </c>
      <c r="G145" s="25">
        <v>-51.5</v>
      </c>
      <c r="H145" s="25"/>
      <c r="I145" s="25"/>
    </row>
    <row r="146" spans="1:9" x14ac:dyDescent="0.25">
      <c r="A146" s="28"/>
      <c r="B146" s="26">
        <v>44774</v>
      </c>
      <c r="C146" s="27">
        <v>0.84273148148148147</v>
      </c>
      <c r="D146" s="49" t="s">
        <v>726</v>
      </c>
      <c r="E146" s="49" t="s">
        <v>708</v>
      </c>
      <c r="F146" s="32" t="s">
        <v>1153</v>
      </c>
      <c r="G146" s="25">
        <v>-45.5</v>
      </c>
      <c r="H146" s="25"/>
      <c r="I146" s="25"/>
    </row>
    <row r="147" spans="1:9" x14ac:dyDescent="0.25">
      <c r="A147" s="28"/>
      <c r="B147" s="26">
        <v>44775</v>
      </c>
      <c r="C147" s="27">
        <v>0.41362268518518519</v>
      </c>
      <c r="D147" s="49" t="s">
        <v>726</v>
      </c>
      <c r="E147" s="49" t="s">
        <v>708</v>
      </c>
      <c r="F147" s="32" t="s">
        <v>1154</v>
      </c>
      <c r="G147" s="25">
        <v>-44.5</v>
      </c>
      <c r="H147" s="25"/>
      <c r="I147" s="25"/>
    </row>
    <row r="148" spans="1:9" x14ac:dyDescent="0.25">
      <c r="A148" s="28"/>
      <c r="B148" s="26">
        <v>44775</v>
      </c>
      <c r="C148" s="27">
        <v>0.44527777777777783</v>
      </c>
      <c r="D148" s="49" t="s">
        <v>726</v>
      </c>
      <c r="E148" s="49" t="s">
        <v>708</v>
      </c>
      <c r="F148" s="32" t="s">
        <v>1156</v>
      </c>
      <c r="G148" s="25">
        <v>-74.5</v>
      </c>
      <c r="H148" s="25"/>
      <c r="I148" s="25"/>
    </row>
    <row r="149" spans="1:9" x14ac:dyDescent="0.25">
      <c r="A149" s="28"/>
      <c r="B149" s="26">
        <v>44775</v>
      </c>
      <c r="C149" s="27">
        <v>0.55356481481481479</v>
      </c>
      <c r="D149" s="49" t="s">
        <v>726</v>
      </c>
      <c r="E149" s="49" t="s">
        <v>708</v>
      </c>
      <c r="F149" s="32" t="s">
        <v>1158</v>
      </c>
      <c r="G149" s="25">
        <v>-212.5</v>
      </c>
      <c r="H149" s="25"/>
      <c r="I149" s="25"/>
    </row>
    <row r="150" spans="1:9" x14ac:dyDescent="0.25">
      <c r="A150" s="28"/>
      <c r="B150" s="26">
        <v>44775</v>
      </c>
      <c r="C150" s="27">
        <v>0.7007175925925927</v>
      </c>
      <c r="D150" s="49" t="s">
        <v>727</v>
      </c>
      <c r="E150" s="49" t="s">
        <v>708</v>
      </c>
      <c r="F150" s="32" t="s">
        <v>1160</v>
      </c>
      <c r="G150" s="25">
        <v>-404.5</v>
      </c>
      <c r="H150" s="25"/>
      <c r="I150" s="25"/>
    </row>
    <row r="151" spans="1:9" x14ac:dyDescent="0.25">
      <c r="A151" s="28"/>
      <c r="B151" s="26">
        <v>44775</v>
      </c>
      <c r="C151" s="27">
        <v>0.7117592592592592</v>
      </c>
      <c r="D151" s="49" t="s">
        <v>727</v>
      </c>
      <c r="E151" s="49" t="s">
        <v>708</v>
      </c>
      <c r="F151" s="32" t="s">
        <v>1162</v>
      </c>
      <c r="G151" s="25">
        <v>-44.5</v>
      </c>
      <c r="H151" s="25"/>
      <c r="I151" s="25"/>
    </row>
    <row r="152" spans="1:9" x14ac:dyDescent="0.25">
      <c r="A152" s="28"/>
      <c r="B152" s="26">
        <v>44776</v>
      </c>
      <c r="C152" s="27">
        <v>0.25349537037037034</v>
      </c>
      <c r="D152" s="49" t="s">
        <v>726</v>
      </c>
      <c r="E152" s="49" t="s">
        <v>708</v>
      </c>
      <c r="F152" s="32" t="s">
        <v>1164</v>
      </c>
      <c r="G152" s="25">
        <v>-94.5</v>
      </c>
      <c r="H152" s="25"/>
      <c r="I152" s="25"/>
    </row>
    <row r="153" spans="1:9" x14ac:dyDescent="0.25">
      <c r="A153" s="28"/>
      <c r="B153" s="26">
        <v>44776</v>
      </c>
      <c r="C153" s="27">
        <v>0.38557870370370373</v>
      </c>
      <c r="D153" s="49" t="s">
        <v>816</v>
      </c>
      <c r="E153" s="49" t="s">
        <v>708</v>
      </c>
      <c r="F153" s="32" t="s">
        <v>1166</v>
      </c>
      <c r="G153" s="25">
        <v>-88.5</v>
      </c>
      <c r="H153" s="25"/>
      <c r="I153" s="25"/>
    </row>
    <row r="154" spans="1:9" x14ac:dyDescent="0.25">
      <c r="A154" s="28"/>
      <c r="B154" s="26">
        <v>44776</v>
      </c>
      <c r="C154" s="27">
        <v>0.40064814814814814</v>
      </c>
      <c r="D154" s="49" t="s">
        <v>816</v>
      </c>
      <c r="E154" s="49" t="s">
        <v>708</v>
      </c>
      <c r="F154" s="32" t="s">
        <v>1168</v>
      </c>
      <c r="G154" s="25">
        <v>-143.5</v>
      </c>
      <c r="H154" s="25"/>
      <c r="I154" s="25"/>
    </row>
    <row r="155" spans="1:9" x14ac:dyDescent="0.25">
      <c r="A155" s="28"/>
      <c r="B155" s="26">
        <v>44776</v>
      </c>
      <c r="C155" s="27">
        <v>0.4288541666666667</v>
      </c>
      <c r="D155" s="49" t="s">
        <v>726</v>
      </c>
      <c r="E155" s="49" t="s">
        <v>708</v>
      </c>
      <c r="F155" s="32" t="s">
        <v>1170</v>
      </c>
      <c r="G155" s="25">
        <v>-153.5</v>
      </c>
      <c r="H155" s="25"/>
      <c r="I155" s="25"/>
    </row>
    <row r="156" spans="1:9" x14ac:dyDescent="0.25">
      <c r="A156" s="28"/>
      <c r="B156" s="26">
        <v>44776</v>
      </c>
      <c r="C156" s="27">
        <v>0.56589120370370372</v>
      </c>
      <c r="D156" s="49" t="s">
        <v>726</v>
      </c>
      <c r="E156" s="49" t="s">
        <v>708</v>
      </c>
      <c r="F156" s="32" t="s">
        <v>1172</v>
      </c>
      <c r="G156" s="25">
        <v>-86.5</v>
      </c>
      <c r="H156" s="25"/>
      <c r="I156" s="25"/>
    </row>
    <row r="157" spans="1:9" x14ac:dyDescent="0.25">
      <c r="A157" s="28"/>
      <c r="B157" s="26">
        <v>44776</v>
      </c>
      <c r="C157" s="27">
        <v>0.59048611111111116</v>
      </c>
      <c r="D157" s="49" t="s">
        <v>726</v>
      </c>
      <c r="E157" s="49" t="s">
        <v>708</v>
      </c>
      <c r="F157" s="32" t="s">
        <v>1174</v>
      </c>
      <c r="G157" s="25">
        <v>-144.5</v>
      </c>
      <c r="H157" s="25"/>
      <c r="I157" s="25"/>
    </row>
    <row r="158" spans="1:9" x14ac:dyDescent="0.25">
      <c r="A158" s="28"/>
      <c r="B158" s="26">
        <v>44776</v>
      </c>
      <c r="C158" s="27">
        <v>0.59902777777777783</v>
      </c>
      <c r="D158" s="49" t="s">
        <v>727</v>
      </c>
      <c r="E158" s="49" t="s">
        <v>708</v>
      </c>
      <c r="F158" s="32" t="s">
        <v>1176</v>
      </c>
      <c r="G158" s="25">
        <v>-44.5</v>
      </c>
      <c r="H158" s="25"/>
      <c r="I158" s="25"/>
    </row>
    <row r="159" spans="1:9" x14ac:dyDescent="0.25">
      <c r="A159" s="28"/>
      <c r="B159" s="26">
        <v>44776</v>
      </c>
      <c r="C159" s="27">
        <v>0.60108796296296296</v>
      </c>
      <c r="D159" s="49" t="s">
        <v>727</v>
      </c>
      <c r="E159" s="49" t="s">
        <v>708</v>
      </c>
      <c r="F159" s="32" t="s">
        <v>1177</v>
      </c>
      <c r="G159" s="25">
        <v>-299.5</v>
      </c>
      <c r="H159" s="25"/>
      <c r="I159" s="25"/>
    </row>
    <row r="160" spans="1:9" x14ac:dyDescent="0.25">
      <c r="A160" s="28"/>
      <c r="B160" s="26">
        <v>44776</v>
      </c>
      <c r="C160" s="27">
        <v>0.65587962962962965</v>
      </c>
      <c r="D160" s="49" t="s">
        <v>727</v>
      </c>
      <c r="E160" s="49" t="s">
        <v>708</v>
      </c>
      <c r="F160" s="32" t="s">
        <v>1178</v>
      </c>
      <c r="G160" s="25">
        <v>-143.5</v>
      </c>
      <c r="H160" s="25"/>
      <c r="I160" s="25"/>
    </row>
    <row r="161" spans="1:9" x14ac:dyDescent="0.25">
      <c r="A161" s="28"/>
      <c r="B161" s="33"/>
      <c r="C161" s="33"/>
      <c r="D161" s="33"/>
      <c r="E161" s="33"/>
      <c r="F161" s="33"/>
      <c r="G161" s="34">
        <f>SUM(G139:G160)</f>
        <v>-2961</v>
      </c>
      <c r="H161" s="31">
        <f>22*4.94</f>
        <v>108.68</v>
      </c>
      <c r="I161" s="34">
        <f>G161+H161</f>
        <v>-2852.32</v>
      </c>
    </row>
    <row r="162" spans="1:9" x14ac:dyDescent="0.25">
      <c r="A162" s="28" t="s">
        <v>806</v>
      </c>
      <c r="B162" s="29" t="s">
        <v>795</v>
      </c>
      <c r="C162" s="30"/>
      <c r="D162" s="30"/>
      <c r="E162" s="30"/>
      <c r="F162" s="30"/>
      <c r="G162" s="31"/>
      <c r="H162" s="25"/>
      <c r="I162" s="25"/>
    </row>
    <row r="163" spans="1:9" x14ac:dyDescent="0.25">
      <c r="A163" s="28"/>
      <c r="B163" s="68">
        <v>44774</v>
      </c>
      <c r="C163" s="69">
        <v>0.53681712962962969</v>
      </c>
      <c r="D163" s="72" t="s">
        <v>817</v>
      </c>
      <c r="E163" s="72" t="s">
        <v>708</v>
      </c>
      <c r="F163" s="71" t="s">
        <v>1270</v>
      </c>
      <c r="G163" s="70">
        <v>-0.5</v>
      </c>
      <c r="H163" s="25"/>
      <c r="I163" s="25"/>
    </row>
    <row r="164" spans="1:9" x14ac:dyDescent="0.25">
      <c r="A164" s="28"/>
      <c r="B164" s="26">
        <v>44774</v>
      </c>
      <c r="C164" s="27">
        <v>0.62105324074074075</v>
      </c>
      <c r="D164" s="49" t="s">
        <v>817</v>
      </c>
      <c r="E164" s="49" t="s">
        <v>708</v>
      </c>
      <c r="F164" s="32" t="s">
        <v>1179</v>
      </c>
      <c r="G164" s="25">
        <v>-111.5</v>
      </c>
      <c r="H164" s="25"/>
      <c r="I164" s="25"/>
    </row>
    <row r="165" spans="1:9" x14ac:dyDescent="0.25">
      <c r="A165" s="28"/>
      <c r="B165" s="26">
        <v>44774</v>
      </c>
      <c r="C165" s="27">
        <v>0.67182870370370373</v>
      </c>
      <c r="D165" s="49" t="s">
        <v>817</v>
      </c>
      <c r="E165" s="49" t="s">
        <v>708</v>
      </c>
      <c r="F165" s="32" t="s">
        <v>1181</v>
      </c>
      <c r="G165" s="25">
        <v>-152.5</v>
      </c>
      <c r="H165" s="25"/>
      <c r="I165" s="25"/>
    </row>
    <row r="166" spans="1:9" x14ac:dyDescent="0.25">
      <c r="A166" s="28"/>
      <c r="B166" s="26">
        <v>44774</v>
      </c>
      <c r="C166" s="27">
        <v>0.88215277777777779</v>
      </c>
      <c r="D166" s="49" t="s">
        <v>728</v>
      </c>
      <c r="E166" s="49" t="s">
        <v>708</v>
      </c>
      <c r="F166" s="32" t="s">
        <v>1183</v>
      </c>
      <c r="G166" s="25">
        <v>-57.5</v>
      </c>
      <c r="H166" s="25"/>
      <c r="I166" s="25"/>
    </row>
    <row r="167" spans="1:9" x14ac:dyDescent="0.25">
      <c r="A167" s="28"/>
      <c r="B167" s="26">
        <v>44775</v>
      </c>
      <c r="C167" s="27">
        <v>0.45315972222222217</v>
      </c>
      <c r="D167" s="49" t="s">
        <v>817</v>
      </c>
      <c r="E167" s="49" t="s">
        <v>708</v>
      </c>
      <c r="F167" s="32" t="s">
        <v>1185</v>
      </c>
      <c r="G167" s="25">
        <v>-299.5</v>
      </c>
      <c r="H167" s="25"/>
      <c r="I167" s="25"/>
    </row>
    <row r="168" spans="1:9" x14ac:dyDescent="0.25">
      <c r="A168" s="28"/>
      <c r="B168" s="26">
        <v>44775</v>
      </c>
      <c r="C168" s="27">
        <v>0.45454861111111106</v>
      </c>
      <c r="D168" s="49" t="s">
        <v>817</v>
      </c>
      <c r="E168" s="49" t="s">
        <v>708</v>
      </c>
      <c r="F168" s="32" t="s">
        <v>1187</v>
      </c>
      <c r="G168" s="25">
        <v>-135.5</v>
      </c>
      <c r="H168" s="25"/>
      <c r="I168" s="25"/>
    </row>
    <row r="169" spans="1:9" x14ac:dyDescent="0.25">
      <c r="A169" s="28"/>
      <c r="B169" s="26">
        <v>44776</v>
      </c>
      <c r="C169" s="27">
        <v>0.62361111111111112</v>
      </c>
      <c r="D169" s="49" t="s">
        <v>728</v>
      </c>
      <c r="E169" s="49" t="s">
        <v>708</v>
      </c>
      <c r="F169" s="32" t="s">
        <v>1189</v>
      </c>
      <c r="G169" s="25">
        <v>-45.5</v>
      </c>
      <c r="H169" s="25"/>
      <c r="I169" s="25"/>
    </row>
    <row r="170" spans="1:9" x14ac:dyDescent="0.25">
      <c r="A170" s="28"/>
      <c r="B170" s="26">
        <v>44776</v>
      </c>
      <c r="C170" s="27">
        <v>0.81033564814814818</v>
      </c>
      <c r="D170" s="49" t="s">
        <v>707</v>
      </c>
      <c r="E170" s="49" t="s">
        <v>708</v>
      </c>
      <c r="F170" s="32" t="s">
        <v>1191</v>
      </c>
      <c r="G170" s="25">
        <v>-142.5</v>
      </c>
      <c r="H170" s="25"/>
      <c r="I170" s="25"/>
    </row>
    <row r="171" spans="1:9" x14ac:dyDescent="0.25">
      <c r="A171" s="28"/>
      <c r="B171" s="35">
        <v>44776</v>
      </c>
      <c r="C171" s="36">
        <v>0.88336805555555553</v>
      </c>
      <c r="D171" s="50" t="s">
        <v>707</v>
      </c>
      <c r="E171" s="50" t="s">
        <v>708</v>
      </c>
      <c r="F171" s="38" t="s">
        <v>1259</v>
      </c>
      <c r="G171" s="37">
        <v>-100.5</v>
      </c>
      <c r="H171" s="25"/>
      <c r="I171" s="25"/>
    </row>
    <row r="172" spans="1:9" x14ac:dyDescent="0.25">
      <c r="A172" s="28"/>
      <c r="B172" s="33"/>
      <c r="C172" s="33"/>
      <c r="D172" s="33"/>
      <c r="E172" s="33"/>
      <c r="F172" s="33"/>
      <c r="G172" s="34">
        <f>SUM(G163:G171)</f>
        <v>-1045.5</v>
      </c>
      <c r="H172" s="31">
        <f>9*4.94</f>
        <v>44.46</v>
      </c>
      <c r="I172" s="34">
        <f>G172+H172</f>
        <v>-1001.04</v>
      </c>
    </row>
    <row r="173" spans="1:9" x14ac:dyDescent="0.25">
      <c r="A173" s="28" t="s">
        <v>806</v>
      </c>
      <c r="B173" s="29" t="s">
        <v>796</v>
      </c>
      <c r="C173" s="30"/>
      <c r="D173" s="30"/>
      <c r="E173" s="30"/>
      <c r="F173" s="30"/>
      <c r="G173" s="31"/>
      <c r="H173" s="25"/>
      <c r="I173" s="25"/>
    </row>
    <row r="174" spans="1:9" x14ac:dyDescent="0.25">
      <c r="A174" s="28"/>
      <c r="B174" s="26">
        <v>44774</v>
      </c>
      <c r="C174" s="27">
        <v>0.55078703703703702</v>
      </c>
      <c r="D174" s="49" t="s">
        <v>730</v>
      </c>
      <c r="E174" s="49" t="s">
        <v>708</v>
      </c>
      <c r="F174" s="32" t="s">
        <v>1193</v>
      </c>
      <c r="G174" s="25">
        <v>-74.5</v>
      </c>
      <c r="H174" s="25"/>
      <c r="I174" s="25"/>
    </row>
    <row r="175" spans="1:9" x14ac:dyDescent="0.25">
      <c r="A175" s="28"/>
      <c r="B175" s="26">
        <v>44774</v>
      </c>
      <c r="C175" s="27">
        <v>0.78895833333333332</v>
      </c>
      <c r="D175" s="49" t="s">
        <v>730</v>
      </c>
      <c r="E175" s="49" t="s">
        <v>708</v>
      </c>
      <c r="F175" s="32" t="s">
        <v>1195</v>
      </c>
      <c r="G175" s="25">
        <v>-102.5</v>
      </c>
      <c r="H175" s="25"/>
      <c r="I175" s="25"/>
    </row>
    <row r="176" spans="1:9" x14ac:dyDescent="0.25">
      <c r="A176" s="28"/>
      <c r="B176" s="26">
        <v>44776</v>
      </c>
      <c r="C176" s="27">
        <v>0.31109953703703702</v>
      </c>
      <c r="D176" s="49" t="s">
        <v>731</v>
      </c>
      <c r="E176" s="49" t="s">
        <v>708</v>
      </c>
      <c r="F176" s="32" t="s">
        <v>1196</v>
      </c>
      <c r="G176" s="25">
        <v>-44.5</v>
      </c>
      <c r="H176" s="25"/>
      <c r="I176" s="25"/>
    </row>
    <row r="177" spans="1:9" x14ac:dyDescent="0.25">
      <c r="A177" s="28"/>
      <c r="B177" s="26">
        <v>44776</v>
      </c>
      <c r="C177" s="27">
        <v>0.42993055555555554</v>
      </c>
      <c r="D177" s="49" t="s">
        <v>731</v>
      </c>
      <c r="E177" s="49" t="s">
        <v>708</v>
      </c>
      <c r="F177" s="32" t="s">
        <v>1198</v>
      </c>
      <c r="G177" s="25">
        <v>-94.5</v>
      </c>
      <c r="H177" s="25"/>
      <c r="I177" s="25"/>
    </row>
    <row r="178" spans="1:9" x14ac:dyDescent="0.25">
      <c r="A178" s="28"/>
      <c r="B178" s="33"/>
      <c r="C178" s="33"/>
      <c r="D178" s="33"/>
      <c r="E178" s="33"/>
      <c r="F178" s="33"/>
      <c r="G178" s="34">
        <f>SUM(G174:G177)</f>
        <v>-316</v>
      </c>
      <c r="H178" s="31">
        <f>4*4.94</f>
        <v>19.760000000000002</v>
      </c>
      <c r="I178" s="34">
        <f>G178+H178</f>
        <v>-296.24</v>
      </c>
    </row>
    <row r="179" spans="1:9" x14ac:dyDescent="0.25">
      <c r="A179" s="28" t="s">
        <v>806</v>
      </c>
      <c r="B179" s="29" t="s">
        <v>797</v>
      </c>
      <c r="C179" s="30"/>
      <c r="D179" s="30"/>
      <c r="E179" s="30"/>
      <c r="F179" s="30"/>
      <c r="G179" s="31"/>
      <c r="H179" s="25"/>
      <c r="I179" s="25"/>
    </row>
    <row r="180" spans="1:9" x14ac:dyDescent="0.25">
      <c r="A180" s="28"/>
      <c r="B180" s="26">
        <v>44775</v>
      </c>
      <c r="C180" s="27">
        <v>0.41400462962962964</v>
      </c>
      <c r="D180" s="49" t="s">
        <v>732</v>
      </c>
      <c r="E180" s="49" t="s">
        <v>708</v>
      </c>
      <c r="F180" s="32" t="s">
        <v>1200</v>
      </c>
      <c r="G180" s="25">
        <v>-147.5</v>
      </c>
      <c r="H180" s="25"/>
      <c r="I180" s="25"/>
    </row>
    <row r="181" spans="1:9" x14ac:dyDescent="0.25">
      <c r="A181" s="28"/>
      <c r="B181" s="26">
        <v>44775</v>
      </c>
      <c r="C181" s="27">
        <v>0.50101851851851853</v>
      </c>
      <c r="D181" s="49" t="s">
        <v>732</v>
      </c>
      <c r="E181" s="49" t="s">
        <v>708</v>
      </c>
      <c r="F181" s="32" t="s">
        <v>1202</v>
      </c>
      <c r="G181" s="25">
        <v>-106.5</v>
      </c>
      <c r="H181" s="25"/>
      <c r="I181" s="25"/>
    </row>
    <row r="182" spans="1:9" x14ac:dyDescent="0.25">
      <c r="A182" s="28"/>
      <c r="B182" s="44">
        <v>44776</v>
      </c>
      <c r="C182" s="45">
        <v>0.81718750000000007</v>
      </c>
      <c r="D182" s="52" t="s">
        <v>733</v>
      </c>
      <c r="E182" s="52" t="s">
        <v>708</v>
      </c>
      <c r="F182" s="47" t="s">
        <v>1271</v>
      </c>
      <c r="G182" s="47" t="s">
        <v>1279</v>
      </c>
      <c r="H182" s="25"/>
      <c r="I182" s="25"/>
    </row>
    <row r="183" spans="1:9" x14ac:dyDescent="0.25">
      <c r="A183" s="28"/>
      <c r="B183" s="48" t="s">
        <v>778</v>
      </c>
      <c r="C183" s="48"/>
      <c r="D183" s="48"/>
      <c r="E183" s="48"/>
      <c r="F183" s="48"/>
      <c r="G183" s="47"/>
      <c r="H183" s="25"/>
      <c r="I183" s="25"/>
    </row>
    <row r="184" spans="1:9" x14ac:dyDescent="0.25">
      <c r="A184" s="28"/>
      <c r="B184" s="26">
        <v>44776</v>
      </c>
      <c r="C184" s="27">
        <v>0.85534722222222215</v>
      </c>
      <c r="D184" s="49" t="s">
        <v>733</v>
      </c>
      <c r="E184" s="49" t="s">
        <v>708</v>
      </c>
      <c r="F184" s="32" t="s">
        <v>826</v>
      </c>
      <c r="G184" s="25">
        <v>-98.5</v>
      </c>
      <c r="H184" s="25"/>
      <c r="I184" s="25"/>
    </row>
    <row r="185" spans="1:9" x14ac:dyDescent="0.25">
      <c r="A185" s="28"/>
      <c r="B185" s="33"/>
      <c r="C185" s="33"/>
      <c r="D185" s="33"/>
      <c r="E185" s="33"/>
      <c r="F185" s="33"/>
      <c r="G185" s="34">
        <f>SUM(G180:G184)</f>
        <v>-352.5</v>
      </c>
      <c r="H185" s="31">
        <f>4*4.94</f>
        <v>19.760000000000002</v>
      </c>
      <c r="I185" s="34">
        <f>G185+H185</f>
        <v>-332.74</v>
      </c>
    </row>
    <row r="186" spans="1:9" x14ac:dyDescent="0.25">
      <c r="A186" s="28" t="s">
        <v>806</v>
      </c>
      <c r="B186" s="29" t="s">
        <v>798</v>
      </c>
      <c r="C186" s="30"/>
      <c r="D186" s="30"/>
      <c r="E186" s="30"/>
      <c r="F186" s="30"/>
      <c r="G186" s="31"/>
      <c r="H186" s="25"/>
      <c r="I186" s="25"/>
    </row>
    <row r="187" spans="1:9" x14ac:dyDescent="0.25">
      <c r="A187" s="28"/>
      <c r="B187" s="26">
        <v>44774</v>
      </c>
      <c r="C187" s="27">
        <v>0.52170138888888895</v>
      </c>
      <c r="D187" s="49" t="s">
        <v>830</v>
      </c>
      <c r="E187" s="49" t="s">
        <v>708</v>
      </c>
      <c r="F187" s="32" t="s">
        <v>1204</v>
      </c>
      <c r="G187" s="25">
        <v>-163.5</v>
      </c>
      <c r="H187" s="25"/>
      <c r="I187" s="25"/>
    </row>
    <row r="188" spans="1:9" x14ac:dyDescent="0.25">
      <c r="A188" s="28"/>
      <c r="B188" s="35">
        <v>44774</v>
      </c>
      <c r="C188" s="36">
        <v>0.52674768518518522</v>
      </c>
      <c r="D188" s="50" t="s">
        <v>830</v>
      </c>
      <c r="E188" s="50" t="s">
        <v>708</v>
      </c>
      <c r="F188" s="38" t="s">
        <v>1261</v>
      </c>
      <c r="G188" s="37">
        <v>-45.5</v>
      </c>
      <c r="H188" s="25"/>
      <c r="I188" s="25"/>
    </row>
    <row r="189" spans="1:9" x14ac:dyDescent="0.25">
      <c r="A189" s="28"/>
      <c r="B189" s="26">
        <v>44774</v>
      </c>
      <c r="C189" s="27">
        <v>0.64623842592592595</v>
      </c>
      <c r="D189" s="49" t="s">
        <v>707</v>
      </c>
      <c r="E189" s="49" t="s">
        <v>708</v>
      </c>
      <c r="F189" s="32" t="s">
        <v>1206</v>
      </c>
      <c r="G189" s="25">
        <v>-79.5</v>
      </c>
      <c r="H189" s="25"/>
      <c r="I189" s="25"/>
    </row>
    <row r="190" spans="1:9" x14ac:dyDescent="0.25">
      <c r="A190" s="28"/>
      <c r="B190" s="26">
        <v>44774</v>
      </c>
      <c r="C190" s="27">
        <v>0.79777777777777781</v>
      </c>
      <c r="D190" s="49" t="s">
        <v>830</v>
      </c>
      <c r="E190" s="49" t="s">
        <v>708</v>
      </c>
      <c r="F190" s="32" t="s">
        <v>1208</v>
      </c>
      <c r="G190" s="25">
        <v>-99.5</v>
      </c>
      <c r="H190" s="25"/>
      <c r="I190" s="25"/>
    </row>
    <row r="191" spans="1:9" x14ac:dyDescent="0.25">
      <c r="A191" s="28"/>
      <c r="B191" s="26">
        <v>44774</v>
      </c>
      <c r="C191" s="27">
        <v>0.84959490740740751</v>
      </c>
      <c r="D191" s="49" t="s">
        <v>707</v>
      </c>
      <c r="E191" s="49" t="s">
        <v>708</v>
      </c>
      <c r="F191" s="32" t="s">
        <v>1210</v>
      </c>
      <c r="G191" s="25">
        <v>-143.5</v>
      </c>
      <c r="H191" s="25"/>
      <c r="I191" s="25"/>
    </row>
    <row r="192" spans="1:9" x14ac:dyDescent="0.25">
      <c r="A192" s="28"/>
      <c r="B192" s="35">
        <v>44775</v>
      </c>
      <c r="C192" s="36">
        <v>0.61834490740740744</v>
      </c>
      <c r="D192" s="50" t="s">
        <v>818</v>
      </c>
      <c r="E192" s="50" t="s">
        <v>708</v>
      </c>
      <c r="F192" s="38" t="s">
        <v>1262</v>
      </c>
      <c r="G192" s="37">
        <v>-117.5</v>
      </c>
      <c r="H192" s="25"/>
      <c r="I192" s="25"/>
    </row>
    <row r="193" spans="1:9" x14ac:dyDescent="0.25">
      <c r="A193" s="28"/>
      <c r="B193" s="26">
        <v>44775</v>
      </c>
      <c r="C193" s="27">
        <v>0.6430555555555556</v>
      </c>
      <c r="D193" s="49" t="s">
        <v>707</v>
      </c>
      <c r="E193" s="49" t="s">
        <v>708</v>
      </c>
      <c r="F193" s="32" t="s">
        <v>1211</v>
      </c>
      <c r="G193" s="25">
        <v>-628.5</v>
      </c>
      <c r="H193" s="25"/>
      <c r="I193" s="25"/>
    </row>
    <row r="194" spans="1:9" x14ac:dyDescent="0.25">
      <c r="A194" s="28"/>
      <c r="B194" s="26">
        <v>44775</v>
      </c>
      <c r="C194" s="27">
        <v>0.79178240740740735</v>
      </c>
      <c r="D194" s="49" t="s">
        <v>707</v>
      </c>
      <c r="E194" s="49" t="s">
        <v>708</v>
      </c>
      <c r="F194" s="32" t="s">
        <v>1213</v>
      </c>
      <c r="G194" s="25">
        <v>-58.5</v>
      </c>
      <c r="H194" s="25"/>
      <c r="I194" s="25"/>
    </row>
    <row r="195" spans="1:9" x14ac:dyDescent="0.25">
      <c r="A195" s="28"/>
      <c r="B195" s="26">
        <v>44776</v>
      </c>
      <c r="C195" s="27">
        <v>0.32828703703703704</v>
      </c>
      <c r="D195" s="49" t="s">
        <v>707</v>
      </c>
      <c r="E195" s="49" t="s">
        <v>708</v>
      </c>
      <c r="F195" s="32" t="s">
        <v>1214</v>
      </c>
      <c r="G195" s="25">
        <v>-116.5</v>
      </c>
      <c r="H195" s="25"/>
      <c r="I195" s="25"/>
    </row>
    <row r="196" spans="1:9" x14ac:dyDescent="0.25">
      <c r="A196" s="28"/>
      <c r="B196" s="26">
        <v>44776</v>
      </c>
      <c r="C196" s="27">
        <v>0.33697916666666666</v>
      </c>
      <c r="D196" s="49" t="s">
        <v>707</v>
      </c>
      <c r="E196" s="49" t="s">
        <v>708</v>
      </c>
      <c r="F196" s="32" t="s">
        <v>1216</v>
      </c>
      <c r="G196" s="25">
        <v>-156.5</v>
      </c>
      <c r="H196" s="25"/>
      <c r="I196" s="25"/>
    </row>
    <row r="197" spans="1:9" x14ac:dyDescent="0.25">
      <c r="A197" s="28"/>
      <c r="B197" s="26">
        <v>44776</v>
      </c>
      <c r="C197" s="27">
        <v>0.44339120370370372</v>
      </c>
      <c r="D197" s="49" t="s">
        <v>707</v>
      </c>
      <c r="E197" s="49" t="s">
        <v>708</v>
      </c>
      <c r="F197" s="32" t="s">
        <v>1218</v>
      </c>
      <c r="G197" s="25">
        <v>-89.5</v>
      </c>
      <c r="H197" s="25"/>
      <c r="I197" s="25"/>
    </row>
    <row r="198" spans="1:9" x14ac:dyDescent="0.25">
      <c r="A198" s="28"/>
      <c r="B198" s="26">
        <v>44776</v>
      </c>
      <c r="C198" s="27">
        <v>0.48628472222222219</v>
      </c>
      <c r="D198" s="49" t="s">
        <v>707</v>
      </c>
      <c r="E198" s="49" t="s">
        <v>708</v>
      </c>
      <c r="F198" s="32" t="s">
        <v>1220</v>
      </c>
      <c r="G198" s="25">
        <v>-356.5</v>
      </c>
      <c r="H198" s="25"/>
      <c r="I198" s="25"/>
    </row>
    <row r="199" spans="1:9" x14ac:dyDescent="0.25">
      <c r="A199" s="28"/>
      <c r="B199" s="26">
        <v>44776</v>
      </c>
      <c r="C199" s="27">
        <v>0.49428240740740742</v>
      </c>
      <c r="D199" s="49" t="s">
        <v>707</v>
      </c>
      <c r="E199" s="49" t="s">
        <v>708</v>
      </c>
      <c r="F199" s="32" t="s">
        <v>1222</v>
      </c>
      <c r="G199" s="25">
        <v>-159.5</v>
      </c>
      <c r="H199" s="25"/>
      <c r="I199" s="25"/>
    </row>
    <row r="200" spans="1:9" x14ac:dyDescent="0.25">
      <c r="A200" s="28"/>
      <c r="B200" s="26">
        <v>44776</v>
      </c>
      <c r="C200" s="27">
        <v>0.61076388888888888</v>
      </c>
      <c r="D200" s="49" t="s">
        <v>707</v>
      </c>
      <c r="E200" s="49" t="s">
        <v>708</v>
      </c>
      <c r="F200" s="32" t="s">
        <v>1224</v>
      </c>
      <c r="G200" s="25">
        <v>-105.5</v>
      </c>
      <c r="H200" s="25"/>
      <c r="I200" s="25"/>
    </row>
    <row r="201" spans="1:9" x14ac:dyDescent="0.25">
      <c r="A201" s="28"/>
      <c r="B201" s="26">
        <v>44776</v>
      </c>
      <c r="C201" s="27">
        <v>0.62752314814814814</v>
      </c>
      <c r="D201" s="49" t="s">
        <v>707</v>
      </c>
      <c r="E201" s="49" t="s">
        <v>708</v>
      </c>
      <c r="F201" s="32" t="s">
        <v>1226</v>
      </c>
      <c r="G201" s="25">
        <v>-161.5</v>
      </c>
      <c r="H201" s="25"/>
      <c r="I201" s="25"/>
    </row>
    <row r="202" spans="1:9" x14ac:dyDescent="0.25">
      <c r="A202" s="28"/>
      <c r="B202" s="26">
        <v>44776</v>
      </c>
      <c r="C202" s="27">
        <v>0.6413078703703704</v>
      </c>
      <c r="D202" s="49" t="s">
        <v>707</v>
      </c>
      <c r="E202" s="49" t="s">
        <v>708</v>
      </c>
      <c r="F202" s="32" t="s">
        <v>1227</v>
      </c>
      <c r="G202" s="25">
        <v>-113.5</v>
      </c>
      <c r="H202" s="25"/>
      <c r="I202" s="25"/>
    </row>
    <row r="203" spans="1:9" x14ac:dyDescent="0.25">
      <c r="A203" s="28"/>
      <c r="B203" s="26">
        <v>44776</v>
      </c>
      <c r="C203" s="27">
        <v>0.77049768518518524</v>
      </c>
      <c r="D203" s="49" t="s">
        <v>707</v>
      </c>
      <c r="E203" s="49" t="s">
        <v>708</v>
      </c>
      <c r="F203" s="32" t="s">
        <v>1228</v>
      </c>
      <c r="G203" s="25">
        <v>-1194.5</v>
      </c>
      <c r="H203" s="25"/>
      <c r="I203" s="25"/>
    </row>
    <row r="204" spans="1:9" x14ac:dyDescent="0.25">
      <c r="A204" s="28"/>
      <c r="B204" s="33"/>
      <c r="C204" s="33"/>
      <c r="D204" s="33"/>
      <c r="E204" s="33"/>
      <c r="F204" s="33"/>
      <c r="G204" s="34">
        <f>SUM(G187:G203)</f>
        <v>-3789.5</v>
      </c>
      <c r="H204" s="31">
        <f>17*4.94</f>
        <v>83.98</v>
      </c>
      <c r="I204" s="34">
        <f>G204+H204</f>
        <v>-3705.52</v>
      </c>
    </row>
    <row r="205" spans="1:9" x14ac:dyDescent="0.25">
      <c r="A205" s="28" t="s">
        <v>806</v>
      </c>
      <c r="B205" s="29" t="s">
        <v>1274</v>
      </c>
      <c r="C205" s="30"/>
      <c r="D205" s="30"/>
      <c r="E205" s="30"/>
      <c r="F205" s="30"/>
      <c r="G205" s="31"/>
      <c r="H205" s="25"/>
      <c r="I205" s="25"/>
    </row>
    <row r="206" spans="1:9" x14ac:dyDescent="0.25">
      <c r="A206" s="28"/>
      <c r="B206" s="68">
        <v>44774</v>
      </c>
      <c r="C206" s="69">
        <v>0.71597222222222223</v>
      </c>
      <c r="D206" s="72" t="s">
        <v>734</v>
      </c>
      <c r="E206" s="72" t="s">
        <v>705</v>
      </c>
      <c r="F206" s="71" t="s">
        <v>1272</v>
      </c>
      <c r="G206" s="70">
        <v>-100</v>
      </c>
      <c r="H206" s="25"/>
      <c r="I206" s="25"/>
    </row>
    <row r="207" spans="1:9" x14ac:dyDescent="0.25">
      <c r="A207" s="28"/>
      <c r="B207" s="33"/>
      <c r="C207" s="33"/>
      <c r="D207" s="33"/>
      <c r="E207" s="33"/>
      <c r="F207" s="33"/>
      <c r="G207" s="34">
        <f>SUM(G206:G206)</f>
        <v>-100</v>
      </c>
      <c r="H207" s="31">
        <f>1*4.94</f>
        <v>4.9400000000000004</v>
      </c>
      <c r="I207" s="34">
        <f>G207+H207</f>
        <v>-95.06</v>
      </c>
    </row>
    <row r="208" spans="1:9" x14ac:dyDescent="0.25">
      <c r="A208" s="28" t="s">
        <v>806</v>
      </c>
      <c r="B208" s="29" t="s">
        <v>799</v>
      </c>
      <c r="C208" s="30"/>
      <c r="D208" s="30"/>
      <c r="E208" s="30"/>
      <c r="F208" s="30"/>
      <c r="G208" s="31"/>
      <c r="H208" s="25"/>
      <c r="I208" s="25"/>
    </row>
    <row r="209" spans="1:9" x14ac:dyDescent="0.25">
      <c r="A209" s="28"/>
      <c r="B209" s="26">
        <v>44774</v>
      </c>
      <c r="C209" s="27">
        <v>0.3404861111111111</v>
      </c>
      <c r="D209" s="49" t="s">
        <v>834</v>
      </c>
      <c r="E209" s="49" t="s">
        <v>708</v>
      </c>
      <c r="F209" s="32" t="s">
        <v>1230</v>
      </c>
      <c r="G209" s="25">
        <v>-72.5</v>
      </c>
      <c r="H209" s="25"/>
      <c r="I209" s="25"/>
    </row>
    <row r="210" spans="1:9" x14ac:dyDescent="0.25">
      <c r="A210" s="28"/>
      <c r="B210" s="26">
        <v>44774</v>
      </c>
      <c r="C210" s="27">
        <v>0.75288194444444445</v>
      </c>
      <c r="D210" s="49" t="s">
        <v>834</v>
      </c>
      <c r="E210" s="49" t="s">
        <v>708</v>
      </c>
      <c r="F210" s="32" t="s">
        <v>1232</v>
      </c>
      <c r="G210" s="25">
        <v>-440.5</v>
      </c>
      <c r="H210" s="25"/>
      <c r="I210" s="25"/>
    </row>
    <row r="211" spans="1:9" x14ac:dyDescent="0.25">
      <c r="A211" s="28"/>
      <c r="B211" s="26">
        <v>44776</v>
      </c>
      <c r="C211" s="27">
        <v>0.54814814814814816</v>
      </c>
      <c r="D211" s="49" t="s">
        <v>834</v>
      </c>
      <c r="E211" s="49" t="s">
        <v>708</v>
      </c>
      <c r="F211" s="32" t="s">
        <v>1234</v>
      </c>
      <c r="G211" s="25">
        <v>-180.5</v>
      </c>
      <c r="H211" s="25"/>
      <c r="I211" s="25"/>
    </row>
    <row r="212" spans="1:9" x14ac:dyDescent="0.25">
      <c r="A212" s="28"/>
      <c r="B212" s="26">
        <v>44776</v>
      </c>
      <c r="C212" s="27">
        <v>0.61615740740740743</v>
      </c>
      <c r="D212" s="49" t="s">
        <v>834</v>
      </c>
      <c r="E212" s="49" t="s">
        <v>708</v>
      </c>
      <c r="F212" s="32" t="s">
        <v>1236</v>
      </c>
      <c r="G212" s="25">
        <v>-74.5</v>
      </c>
      <c r="H212" s="25"/>
      <c r="I212" s="25"/>
    </row>
    <row r="213" spans="1:9" x14ac:dyDescent="0.25">
      <c r="A213" s="28"/>
      <c r="B213" s="26">
        <v>44776</v>
      </c>
      <c r="C213" s="27">
        <v>0.79880787037037038</v>
      </c>
      <c r="D213" s="49" t="s">
        <v>735</v>
      </c>
      <c r="E213" s="49" t="s">
        <v>708</v>
      </c>
      <c r="F213" s="32" t="s">
        <v>1238</v>
      </c>
      <c r="G213" s="25">
        <v>-177.5</v>
      </c>
      <c r="H213" s="25"/>
      <c r="I213" s="25"/>
    </row>
    <row r="214" spans="1:9" x14ac:dyDescent="0.25">
      <c r="A214" s="28"/>
      <c r="B214" s="26">
        <v>44776</v>
      </c>
      <c r="C214" s="27">
        <v>0.79999999999999993</v>
      </c>
      <c r="D214" s="49" t="s">
        <v>735</v>
      </c>
      <c r="E214" s="49" t="s">
        <v>708</v>
      </c>
      <c r="F214" s="32" t="s">
        <v>1239</v>
      </c>
      <c r="G214" s="25">
        <v>-44.5</v>
      </c>
      <c r="H214" s="25"/>
      <c r="I214" s="25"/>
    </row>
    <row r="215" spans="1:9" x14ac:dyDescent="0.25">
      <c r="A215" s="28"/>
      <c r="B215" s="33"/>
      <c r="C215" s="33"/>
      <c r="D215" s="33"/>
      <c r="E215" s="33"/>
      <c r="F215" s="33"/>
      <c r="G215" s="34">
        <f>SUM(G209:G214)</f>
        <v>-990</v>
      </c>
      <c r="H215" s="31">
        <f>6*4.94</f>
        <v>29.64</v>
      </c>
      <c r="I215" s="34">
        <f>G215+H215</f>
        <v>-960.36</v>
      </c>
    </row>
    <row r="216" spans="1:9" x14ac:dyDescent="0.25">
      <c r="A216" s="28" t="s">
        <v>806</v>
      </c>
      <c r="B216" s="29" t="s">
        <v>800</v>
      </c>
      <c r="C216" s="30"/>
      <c r="D216" s="30"/>
      <c r="E216" s="30"/>
      <c r="F216" s="30"/>
      <c r="G216" s="31"/>
      <c r="H216" s="25"/>
      <c r="I216" s="25"/>
    </row>
    <row r="217" spans="1:9" x14ac:dyDescent="0.25">
      <c r="A217" s="28"/>
      <c r="B217" s="26">
        <v>44776</v>
      </c>
      <c r="C217" s="27">
        <v>0.82693287037037033</v>
      </c>
      <c r="D217" s="49" t="s">
        <v>707</v>
      </c>
      <c r="E217" s="49" t="s">
        <v>708</v>
      </c>
      <c r="F217" s="32" t="s">
        <v>1240</v>
      </c>
      <c r="G217" s="25">
        <v>-97.5</v>
      </c>
      <c r="H217" s="25"/>
      <c r="I217" s="25"/>
    </row>
    <row r="218" spans="1:9" x14ac:dyDescent="0.25">
      <c r="A218" s="28"/>
      <c r="B218" s="33"/>
      <c r="C218" s="33"/>
      <c r="D218" s="33"/>
      <c r="E218" s="33"/>
      <c r="F218" s="33"/>
      <c r="G218" s="34">
        <f>SUM(G217:G217)</f>
        <v>-97.5</v>
      </c>
      <c r="H218" s="31">
        <f>1*4.94</f>
        <v>4.9400000000000004</v>
      </c>
      <c r="I218" s="34">
        <f>G218+H218</f>
        <v>-92.56</v>
      </c>
    </row>
    <row r="219" spans="1:9" x14ac:dyDescent="0.25">
      <c r="A219" s="28" t="s">
        <v>806</v>
      </c>
      <c r="B219" s="29" t="s">
        <v>801</v>
      </c>
      <c r="C219" s="30"/>
      <c r="D219" s="30"/>
      <c r="E219" s="30"/>
      <c r="F219" s="30"/>
      <c r="G219" s="31"/>
      <c r="H219" s="25"/>
      <c r="I219" s="25"/>
    </row>
    <row r="220" spans="1:9" x14ac:dyDescent="0.25">
      <c r="A220" s="28"/>
      <c r="B220" s="68">
        <v>44774</v>
      </c>
      <c r="C220" s="69">
        <v>0.53888888888888886</v>
      </c>
      <c r="D220" s="72" t="s">
        <v>820</v>
      </c>
      <c r="E220" s="72" t="s">
        <v>708</v>
      </c>
      <c r="F220" s="71" t="s">
        <v>1273</v>
      </c>
      <c r="G220" s="70">
        <v>-1</v>
      </c>
      <c r="H220" s="25"/>
      <c r="I220" s="25"/>
    </row>
    <row r="221" spans="1:9" x14ac:dyDescent="0.25">
      <c r="A221" s="28"/>
      <c r="B221" s="35">
        <v>44774</v>
      </c>
      <c r="C221" s="36">
        <v>0.81773148148148145</v>
      </c>
      <c r="D221" s="50" t="s">
        <v>737</v>
      </c>
      <c r="E221" s="50" t="s">
        <v>708</v>
      </c>
      <c r="F221" s="38" t="s">
        <v>1264</v>
      </c>
      <c r="G221" s="37">
        <v>-137.5</v>
      </c>
      <c r="H221" s="25"/>
      <c r="I221" s="25"/>
    </row>
    <row r="222" spans="1:9" s="23" customFormat="1" x14ac:dyDescent="0.25">
      <c r="A222" s="28"/>
      <c r="B222" s="33"/>
      <c r="C222" s="33"/>
      <c r="D222" s="33"/>
      <c r="E222" s="33"/>
      <c r="F222" s="33"/>
      <c r="G222" s="34">
        <f>SUM(G220:G221)</f>
        <v>-138.5</v>
      </c>
      <c r="H222" s="31">
        <f>2*4.94</f>
        <v>9.8800000000000008</v>
      </c>
      <c r="I222" s="34">
        <f>G222+H222</f>
        <v>-128.62</v>
      </c>
    </row>
    <row r="223" spans="1:9" x14ac:dyDescent="0.25">
      <c r="A223" s="25"/>
      <c r="B223" s="26"/>
      <c r="C223" s="27"/>
      <c r="D223" s="49"/>
      <c r="E223" s="49"/>
      <c r="F223" s="25"/>
      <c r="G223" s="25"/>
      <c r="H223" s="25">
        <f>SUM(H3:H222)</f>
        <v>839.80000000000018</v>
      </c>
      <c r="I223" s="25">
        <f>SUM(I3:I222)</f>
        <v>-28968.700000000008</v>
      </c>
    </row>
    <row r="224" spans="1:9" ht="15.75" x14ac:dyDescent="0.25">
      <c r="A224" s="25"/>
      <c r="B224" s="56" t="s">
        <v>736</v>
      </c>
      <c r="C224" s="54"/>
      <c r="D224" s="54"/>
      <c r="E224" s="54"/>
      <c r="F224" s="55"/>
      <c r="G224" s="25"/>
      <c r="H224" s="57">
        <f>H223/1.16</f>
        <v>723.96551724137953</v>
      </c>
      <c r="I224" s="25"/>
    </row>
    <row r="226" spans="2:9" ht="15.75" x14ac:dyDescent="0.25">
      <c r="B226" s="58" t="s">
        <v>807</v>
      </c>
      <c r="C226" s="22"/>
      <c r="D226" s="22"/>
      <c r="E226" s="22"/>
      <c r="F226" s="22"/>
      <c r="H226" s="59">
        <f>H224*0.16</f>
        <v>115.83448275862072</v>
      </c>
    </row>
    <row r="227" spans="2:9" ht="15.75" thickBot="1" x14ac:dyDescent="0.3"/>
    <row r="228" spans="2:9" ht="21.75" thickBot="1" x14ac:dyDescent="0.4">
      <c r="B228" s="60" t="s">
        <v>808</v>
      </c>
      <c r="C228" s="61"/>
      <c r="D228" s="61"/>
      <c r="E228" s="61"/>
      <c r="F228" s="61"/>
      <c r="G228" s="62">
        <f>I223*-1</f>
        <v>28968.700000000008</v>
      </c>
      <c r="H228" s="63"/>
      <c r="I228" s="64"/>
    </row>
    <row r="229" spans="2:9" ht="15.75" thickBot="1" x14ac:dyDescent="0.3"/>
    <row r="230" spans="2:9" ht="21.75" thickBot="1" x14ac:dyDescent="0.4">
      <c r="B230" s="60" t="s">
        <v>809</v>
      </c>
      <c r="C230" s="61"/>
      <c r="D230" s="61"/>
      <c r="E230" s="61"/>
      <c r="F230" s="61"/>
      <c r="G230" s="62">
        <v>28966.720000000001</v>
      </c>
      <c r="H230" s="63"/>
      <c r="I230" s="64"/>
    </row>
  </sheetData>
  <sortState xmlns:xlrd2="http://schemas.microsoft.com/office/spreadsheetml/2017/richdata2" ref="A3:G221">
    <sortCondition ref="A4:A221"/>
    <sortCondition ref="B4:B221"/>
    <sortCondition ref="C4:C221"/>
  </sortState>
  <mergeCells count="79">
    <mergeCell ref="B226:F226"/>
    <mergeCell ref="B228:F228"/>
    <mergeCell ref="G228:I228"/>
    <mergeCell ref="B230:F230"/>
    <mergeCell ref="G230:I230"/>
    <mergeCell ref="A1:I1"/>
    <mergeCell ref="A186:A204"/>
    <mergeCell ref="A205:A207"/>
    <mergeCell ref="A208:A215"/>
    <mergeCell ref="A216:A218"/>
    <mergeCell ref="A219:A222"/>
    <mergeCell ref="B224:F224"/>
    <mergeCell ref="A107:A118"/>
    <mergeCell ref="A119:A137"/>
    <mergeCell ref="A138:A161"/>
    <mergeCell ref="A162:A172"/>
    <mergeCell ref="A173:A178"/>
    <mergeCell ref="A179:A185"/>
    <mergeCell ref="A47:A50"/>
    <mergeCell ref="A51:A59"/>
    <mergeCell ref="A60:A71"/>
    <mergeCell ref="A72:A87"/>
    <mergeCell ref="A88:A95"/>
    <mergeCell ref="A96:A106"/>
    <mergeCell ref="B76:F76"/>
    <mergeCell ref="B86:F86"/>
    <mergeCell ref="B99:F99"/>
    <mergeCell ref="B101:F101"/>
    <mergeCell ref="B183:F183"/>
    <mergeCell ref="A3:A10"/>
    <mergeCell ref="A11:A17"/>
    <mergeCell ref="A18:A21"/>
    <mergeCell ref="A22:A42"/>
    <mergeCell ref="A43:A46"/>
    <mergeCell ref="B185:F185"/>
    <mergeCell ref="B204:F204"/>
    <mergeCell ref="B207:F207"/>
    <mergeCell ref="B215:F215"/>
    <mergeCell ref="B218:F218"/>
    <mergeCell ref="B222:F222"/>
    <mergeCell ref="B95:F95"/>
    <mergeCell ref="B106:F106"/>
    <mergeCell ref="B118:F118"/>
    <mergeCell ref="B137:F137"/>
    <mergeCell ref="B161:F161"/>
    <mergeCell ref="B172:F172"/>
    <mergeCell ref="C186:F186"/>
    <mergeCell ref="C205:F205"/>
    <mergeCell ref="C208:F208"/>
    <mergeCell ref="C216:F216"/>
    <mergeCell ref="C219:F219"/>
    <mergeCell ref="B10:F10"/>
    <mergeCell ref="B17:F17"/>
    <mergeCell ref="B21:F21"/>
    <mergeCell ref="B42:F42"/>
    <mergeCell ref="B46:F46"/>
    <mergeCell ref="C107:F107"/>
    <mergeCell ref="C119:F119"/>
    <mergeCell ref="C138:F138"/>
    <mergeCell ref="C162:F162"/>
    <mergeCell ref="C173:F173"/>
    <mergeCell ref="C179:F179"/>
    <mergeCell ref="B178:F178"/>
    <mergeCell ref="C47:F47"/>
    <mergeCell ref="C51:F51"/>
    <mergeCell ref="C60:F60"/>
    <mergeCell ref="C72:F72"/>
    <mergeCell ref="C88:F88"/>
    <mergeCell ref="C96:F96"/>
    <mergeCell ref="B50:F50"/>
    <mergeCell ref="B59:F59"/>
    <mergeCell ref="B71:F71"/>
    <mergeCell ref="B87:F87"/>
    <mergeCell ref="C3:F3"/>
    <mergeCell ref="C11:F11"/>
    <mergeCell ref="C18:F18"/>
    <mergeCell ref="C22:F22"/>
    <mergeCell ref="C43:F43"/>
    <mergeCell ref="B28:F28"/>
  </mergeCells>
  <printOptions horizontalCentered="1"/>
  <pageMargins left="0.43307086614173229" right="0.43307086614173229" top="0.51181102362204722" bottom="0.51181102362204722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Sucursales</vt:lpstr>
      <vt:lpstr>Inicio</vt:lpstr>
      <vt:lpstr>08 AGOSTO_Dif_Cobros</vt:lpstr>
      <vt:lpstr>08 AGOSTO_Dif_Conceptos</vt:lpstr>
      <vt:lpstr>no empatados_11.08.2022</vt:lpstr>
      <vt:lpstr>empatados_11.08.2022</vt:lpstr>
      <vt:lpstr>11.08.2022</vt:lpstr>
      <vt:lpstr>COMISIONES_11.08.2022</vt:lpstr>
      <vt:lpstr>SERVICIOS_11.08.2022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Oscar Hernandez</cp:lastModifiedBy>
  <cp:lastPrinted>2022-06-03T12:38:23Z</cp:lastPrinted>
  <dcterms:created xsi:type="dcterms:W3CDTF">2022-04-23T15:31:25Z</dcterms:created>
  <dcterms:modified xsi:type="dcterms:W3CDTF">2022-08-12T18:36:38Z</dcterms:modified>
</cp:coreProperties>
</file>
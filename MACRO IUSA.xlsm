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af6013373d3e2ef/MACROS/MACROS COMISIONES/"/>
    </mc:Choice>
  </mc:AlternateContent>
  <xr:revisionPtr revIDLastSave="155" documentId="13_ncr:1_{A67EB91E-65C6-44B3-8660-3F968D67541A}" xr6:coauthVersionLast="47" xr6:coauthVersionMax="47" xr10:uidLastSave="{14924542-CA6B-4B0E-A79B-5F5DC69D3C11}"/>
  <bookViews>
    <workbookView xWindow="-120" yWindow="-120" windowWidth="29040" windowHeight="15840" firstSheet="2" activeTab="3" xr2:uid="{5CEDCE1B-36F5-41A9-BD0C-66064EFC68FD}"/>
    <workbookView xWindow="-120" yWindow="-120" windowWidth="29040" windowHeight="15840" firstSheet="1" activeTab="1" xr2:uid="{6B47A867-4ADB-482F-8B95-5F6C69EE0BBA}"/>
  </bookViews>
  <sheets>
    <sheet name="Sucursales" sheetId="14" state="hidden" r:id="rId1"/>
    <sheet name="Inicio" sheetId="1" r:id="rId2"/>
    <sheet name="08 AGOSTO_Dif_Cobros" sheetId="509" r:id="rId3"/>
    <sheet name="08 AGOSTO_Dif_Conceptos" sheetId="508" r:id="rId4"/>
    <sheet name="03.06.2022" sheetId="282" state="hidden" r:id="rId5"/>
    <sheet name="02.06.2022" sheetId="280" state="hidden" r:id="rId6"/>
    <sheet name="01.06.2022" sheetId="278" state="hidden" r:id="rId7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Q62" i="282" l="1"/>
  <c r="R62" i="282" s="1"/>
  <c r="N61" i="282"/>
  <c r="N59" i="282"/>
  <c r="N56" i="282"/>
  <c r="N54" i="282"/>
  <c r="N51" i="282"/>
  <c r="N49" i="282"/>
  <c r="N47" i="282"/>
  <c r="N43" i="282"/>
  <c r="N40" i="282"/>
  <c r="N37" i="282"/>
  <c r="N34" i="282"/>
  <c r="N32" i="282"/>
  <c r="N27" i="282"/>
  <c r="N23" i="282"/>
  <c r="N21" i="282"/>
  <c r="N19" i="282"/>
  <c r="N10" i="282"/>
  <c r="N8" i="282"/>
  <c r="Q45" i="280"/>
  <c r="R45" i="280" s="1"/>
  <c r="N44" i="280"/>
  <c r="N41" i="280"/>
  <c r="N39" i="280"/>
  <c r="N36" i="280"/>
  <c r="N32" i="280"/>
  <c r="N28" i="280"/>
  <c r="N26" i="280"/>
  <c r="N24" i="280"/>
  <c r="N22" i="280"/>
  <c r="N20" i="280"/>
  <c r="N18" i="280"/>
  <c r="N15" i="280"/>
  <c r="N13" i="280"/>
  <c r="N8" i="280"/>
  <c r="N5" i="280"/>
  <c r="Q247" i="278"/>
  <c r="R247" i="278" s="1"/>
  <c r="N246" i="278"/>
  <c r="N241" i="278"/>
  <c r="N239" i="278"/>
  <c r="N234" i="278"/>
  <c r="N221" i="278"/>
  <c r="N210" i="278"/>
  <c r="N202" i="278"/>
  <c r="N199" i="278"/>
  <c r="N197" i="278"/>
  <c r="N167" i="278"/>
  <c r="N150" i="278"/>
  <c r="N120" i="278"/>
  <c r="N104" i="278"/>
  <c r="N96" i="278"/>
  <c r="N76" i="278"/>
  <c r="N59" i="278"/>
  <c r="N50" i="278"/>
  <c r="N42" i="278"/>
  <c r="N32" i="278"/>
  <c r="N27" i="278"/>
  <c r="N15" i="278"/>
  <c r="N9" i="278"/>
  <c r="D1" i="1"/>
  <c r="N247" i="278" l="1"/>
  <c r="S247" i="278" s="1"/>
  <c r="N45" i="280"/>
  <c r="S45" i="280" s="1"/>
  <c r="N62" i="282"/>
  <c r="S62" i="28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DD42FE2-E6BD-4E75-B1AC-4C74ED94BA6C}" name="Transacciones_Comercializadora Picaros de la Mixteca" type="6" refreshedVersion="0" background="1">
    <textPr prompt="0" sourceFile="D:\SOPORTE\Descargas\Transacciones_Comercializadora Picaros de la Mixteca.csv">
      <textFields>
        <textField/>
      </textFields>
    </textPr>
  </connection>
</connections>
</file>

<file path=xl/sharedStrings.xml><?xml version="1.0" encoding="utf-8"?>
<sst xmlns="http://schemas.openxmlformats.org/spreadsheetml/2006/main" count="3087" uniqueCount="705">
  <si>
    <t>Comisión</t>
  </si>
  <si>
    <t>Fecha por conciliar:</t>
  </si>
  <si>
    <t>Usuario:</t>
  </si>
  <si>
    <t>Picaros</t>
  </si>
  <si>
    <t>Contraseña:</t>
  </si>
  <si>
    <t>PMIu$a21</t>
  </si>
  <si>
    <t>Dia Inicio:</t>
  </si>
  <si>
    <t>Mes:</t>
  </si>
  <si>
    <t>Año:</t>
  </si>
  <si>
    <t>Dia Fin:</t>
  </si>
  <si>
    <t>Ruta:</t>
  </si>
  <si>
    <t>Archivo MNGR:</t>
  </si>
  <si>
    <t>Archivo IUSA:</t>
  </si>
  <si>
    <t>Transacciones_Comercializadora Picaros de la Mixteca.xls</t>
  </si>
  <si>
    <t>Ubicación Descargas:</t>
  </si>
  <si>
    <t>Hoja IUSA:</t>
  </si>
  <si>
    <t xml:space="preserve">Transacciones_Comercializadora </t>
  </si>
  <si>
    <t>Datos a buscar:</t>
  </si>
  <si>
    <t>Sucursal</t>
  </si>
  <si>
    <t>Fecha</t>
  </si>
  <si>
    <t>RPU</t>
  </si>
  <si>
    <t>Comision_PVenta_Monto</t>
  </si>
  <si>
    <t>Comision_PVenta_Iva</t>
  </si>
  <si>
    <t>Fin Datos a buscar:</t>
  </si>
  <si>
    <t>Ingreso</t>
  </si>
  <si>
    <t>Ubicación IUSA:</t>
  </si>
  <si>
    <t>Venta</t>
  </si>
  <si>
    <t>SUPER PLUS 14</t>
  </si>
  <si>
    <t>SUPER PLUS 16</t>
  </si>
  <si>
    <t>SUPER PLUS 05</t>
  </si>
  <si>
    <t>SUPER PLUS 04</t>
  </si>
  <si>
    <t>SUPER PLUS 06</t>
  </si>
  <si>
    <t>SUPER PLUS 09</t>
  </si>
  <si>
    <t>SUPER PLUS 08</t>
  </si>
  <si>
    <t>SUPER PLUS 22</t>
  </si>
  <si>
    <t>SUPER PLUS 10</t>
  </si>
  <si>
    <t>SUPER PLUS 12</t>
  </si>
  <si>
    <t>SUPER PLUS 03</t>
  </si>
  <si>
    <t>SUPER PLUS 01</t>
  </si>
  <si>
    <t>SUPER PLUS 11</t>
  </si>
  <si>
    <t>SUPER PLUS 02</t>
  </si>
  <si>
    <t>SUPER PLUS 36</t>
  </si>
  <si>
    <t>SUPER PLUS 13</t>
  </si>
  <si>
    <t>SUPER PLUS 40</t>
  </si>
  <si>
    <t>SUPER PLUS 07</t>
  </si>
  <si>
    <t>SUPER PLUS 15</t>
  </si>
  <si>
    <t>SUPER PLUS 17</t>
  </si>
  <si>
    <t>SUPER PLUS 18</t>
  </si>
  <si>
    <t>SUPER PLUS 19</t>
  </si>
  <si>
    <t>SUPER PLUS 20</t>
  </si>
  <si>
    <t>SUPER PLUS 21</t>
  </si>
  <si>
    <t>SUPER PLUS 23</t>
  </si>
  <si>
    <t>SUPER PLUS 24</t>
  </si>
  <si>
    <t>SUPER PLUS 25</t>
  </si>
  <si>
    <t>SUPER PLUS 26</t>
  </si>
  <si>
    <t>SUPER PLUS 27</t>
  </si>
  <si>
    <t>SUPER PLUS 28</t>
  </si>
  <si>
    <t>SUPER PLUS 29</t>
  </si>
  <si>
    <t>SUPER PLUS 30</t>
  </si>
  <si>
    <t>SUPER PLUS 31</t>
  </si>
  <si>
    <t>SUPER PLUS 32</t>
  </si>
  <si>
    <t>SUPER PLUS 33</t>
  </si>
  <si>
    <t>SUPER PLUS 34</t>
  </si>
  <si>
    <t>SUPER PLUS 35</t>
  </si>
  <si>
    <t>SUPER PLUS 37</t>
  </si>
  <si>
    <t>SUPER PLUS 38</t>
  </si>
  <si>
    <t>SUPER PLUS 39</t>
  </si>
  <si>
    <t>Proyecto</t>
  </si>
  <si>
    <t>Id_Cadena_Comercial</t>
  </si>
  <si>
    <t>Cadena_Comercial</t>
  </si>
  <si>
    <t>Id_Franquicia</t>
  </si>
  <si>
    <t>Franquicia</t>
  </si>
  <si>
    <t>Id_Sucursal</t>
  </si>
  <si>
    <t>Identificador_PV</t>
  </si>
  <si>
    <t>Folio</t>
  </si>
  <si>
    <t>Tipo</t>
  </si>
  <si>
    <t>Tipo_Alt</t>
  </si>
  <si>
    <t>Comision_Cobrada_Monto</t>
  </si>
  <si>
    <t>Comision_Cobrada_Iva</t>
  </si>
  <si>
    <t>IdDiv</t>
  </si>
  <si>
    <t>Division</t>
  </si>
  <si>
    <t>CUO</t>
  </si>
  <si>
    <t>Multipagos</t>
  </si>
  <si>
    <t>Energia CFE</t>
  </si>
  <si>
    <t>COMERCIALIZADORA PICAROS DE LA MIXTECA SA DE CV</t>
  </si>
  <si>
    <t>PICAROS DE LA MIXTECA - OAXACA</t>
  </si>
  <si>
    <t>31/05/2022 05:56:30 a. m.</t>
  </si>
  <si>
    <t>PAGO 0422</t>
  </si>
  <si>
    <t>PAGO</t>
  </si>
  <si>
    <t>SURESTE</t>
  </si>
  <si>
    <t>31/05/2022 06:16:57 a. m.</t>
  </si>
  <si>
    <t>31/05/2022 06:51:00 a. m.</t>
  </si>
  <si>
    <t>31/05/2022 06:51:50 a. m.</t>
  </si>
  <si>
    <t>31/05/2022 06:56:33 a. m.</t>
  </si>
  <si>
    <t>31/05/2022 07:08:18 a. m.</t>
  </si>
  <si>
    <t>31/05/2022 07:12:09 a. m.</t>
  </si>
  <si>
    <t>31/05/2022 07:14:39 a. m.</t>
  </si>
  <si>
    <t>31/05/2022 07:16:48 a. m.</t>
  </si>
  <si>
    <t>31/05/2022 07:17:49 a. m.</t>
  </si>
  <si>
    <t>31/05/2022 07:20:26 a. m.</t>
  </si>
  <si>
    <t>31/05/2022 07:20:42 a. m.</t>
  </si>
  <si>
    <t>31/05/2022 07:22:00 a. m.</t>
  </si>
  <si>
    <t>31/05/2022 07:24:54 a. m.</t>
  </si>
  <si>
    <t>31/05/2022 07:25:51 a. m.</t>
  </si>
  <si>
    <t>31/05/2022 07:36:47 a. m.</t>
  </si>
  <si>
    <t>31/05/2022 07:39:24 a. m.</t>
  </si>
  <si>
    <t>31/05/2022 07:40:42 a. m.</t>
  </si>
  <si>
    <t>31/05/2022 07:41:50 a. m.</t>
  </si>
  <si>
    <t>31/05/2022 07:41:57 a. m.</t>
  </si>
  <si>
    <t>31/05/2022 07:42:50 a. m.</t>
  </si>
  <si>
    <t>31/05/2022 07:45:58 a. m.</t>
  </si>
  <si>
    <t>31/05/2022 07:47:11 a. m.</t>
  </si>
  <si>
    <t>31/05/2022 07:49:32 a. m.</t>
  </si>
  <si>
    <t>31/05/2022 07:51:12 a. m.</t>
  </si>
  <si>
    <t>31/05/2022 07:52:07 a. m.</t>
  </si>
  <si>
    <t>31/05/2022 07:53:38 a. m.</t>
  </si>
  <si>
    <t>31/05/2022 07:54:02 a. m.</t>
  </si>
  <si>
    <t>31/05/2022 07:54:40 a. m.</t>
  </si>
  <si>
    <t>31/05/2022 07:55:00 a. m.</t>
  </si>
  <si>
    <t>31/05/2022 07:59:04 a. m.</t>
  </si>
  <si>
    <t>31/05/2022 07:59:25 a. m.</t>
  </si>
  <si>
    <t>31/05/2022 08:02:18 a. m.</t>
  </si>
  <si>
    <t>31/05/2022 08:02:46 a. m.</t>
  </si>
  <si>
    <t>31/05/2022 08:03:51 a. m.</t>
  </si>
  <si>
    <t>31/05/2022 08:04:17 a. m.</t>
  </si>
  <si>
    <t>31/05/2022 08:04:28 a. m.</t>
  </si>
  <si>
    <t>31/05/2022 08:05:22 a. m.</t>
  </si>
  <si>
    <t>31/05/2022 08:06:01 a. m.</t>
  </si>
  <si>
    <t>31/05/2022 08:06:12 a. m.</t>
  </si>
  <si>
    <t>31/05/2022 08:06:27 a. m.</t>
  </si>
  <si>
    <t>31/05/2022 08:10:28 a. m.</t>
  </si>
  <si>
    <t>31/05/2022 08:11:33 a. m.</t>
  </si>
  <si>
    <t>31/05/2022 08:13:09 a. m.</t>
  </si>
  <si>
    <t>31/05/2022 08:15:22 a. m.</t>
  </si>
  <si>
    <t>31/05/2022 08:16:17 a. m.</t>
  </si>
  <si>
    <t>31/05/2022 08:18:06 a. m.</t>
  </si>
  <si>
    <t>31/05/2022 08:19:17 a. m.</t>
  </si>
  <si>
    <t>31/05/2022 08:21:27 a. m.</t>
  </si>
  <si>
    <t>31/05/2022 08:22:04 a. m.</t>
  </si>
  <si>
    <t>31/05/2022 08:23:02 a. m.</t>
  </si>
  <si>
    <t>31/05/2022 08:24:31 a. m.</t>
  </si>
  <si>
    <t>31/05/2022 08:25:37 a. m.</t>
  </si>
  <si>
    <t>31/05/2022 08:28:23 a. m.</t>
  </si>
  <si>
    <t>31/05/2022 08:30:18 a. m.</t>
  </si>
  <si>
    <t>31/05/2022 08:31:45 a. m.</t>
  </si>
  <si>
    <t>31/05/2022 08:32:14 a. m.</t>
  </si>
  <si>
    <t>31/05/2022 08:32:34 a. m.</t>
  </si>
  <si>
    <t>31/05/2022 08:33:17 a. m.</t>
  </si>
  <si>
    <t>31/05/2022 08:33:22 a. m.</t>
  </si>
  <si>
    <t>31/05/2022 08:34:40 a. m.</t>
  </si>
  <si>
    <t>31/05/2022 08:34:54 a. m.</t>
  </si>
  <si>
    <t>31/05/2022 08:36:04 a. m.</t>
  </si>
  <si>
    <t>31/05/2022 08:37:31 a. m.</t>
  </si>
  <si>
    <t>31/05/2022 08:40:10 a. m.</t>
  </si>
  <si>
    <t>31/05/2022 08:41:20 a. m.</t>
  </si>
  <si>
    <t>31/05/2022 08:43:44 a. m.</t>
  </si>
  <si>
    <t>31/05/2022 08:44:15 a. m.</t>
  </si>
  <si>
    <t>31/05/2022 08:45:10 a. m.</t>
  </si>
  <si>
    <t>31/05/2022 08:45:15 a. m.</t>
  </si>
  <si>
    <t>31/05/2022 08:45:52 a. m.</t>
  </si>
  <si>
    <t>31/05/2022 08:47:46 a. m.</t>
  </si>
  <si>
    <t>31/05/2022 08:51:48 a. m.</t>
  </si>
  <si>
    <t>31/05/2022 08:53:14 a. m.</t>
  </si>
  <si>
    <t>31/05/2022 08:54:30 a. m.</t>
  </si>
  <si>
    <t>31/05/2022 08:56:28 a. m.</t>
  </si>
  <si>
    <t>31/05/2022 09:00:19 a. m.</t>
  </si>
  <si>
    <t>31/05/2022 09:04:07 a. m.</t>
  </si>
  <si>
    <t>31/05/2022 09:04:30 a. m.</t>
  </si>
  <si>
    <t>31/05/2022 09:04:35 a. m.</t>
  </si>
  <si>
    <t>31/05/2022 09:05:19 a. m.</t>
  </si>
  <si>
    <t>31/05/2022 09:08:42 a. m.</t>
  </si>
  <si>
    <t>31/05/2022 09:10:21 a. m.</t>
  </si>
  <si>
    <t>31/05/2022 09:10:34 a. m.</t>
  </si>
  <si>
    <t>31/05/2022 09:12:15 a. m.</t>
  </si>
  <si>
    <t>31/05/2022 09:12:41 a. m.</t>
  </si>
  <si>
    <t>31/05/2022 09:12:49 a. m.</t>
  </si>
  <si>
    <t>31/05/2022 09:14:02 a. m.</t>
  </si>
  <si>
    <t>31/05/2022 09:14:50 a. m.</t>
  </si>
  <si>
    <t>31/05/2022 09:21:12 a. m.</t>
  </si>
  <si>
    <t>31/05/2022 09:27:21 a. m.</t>
  </si>
  <si>
    <t>31/05/2022 09:27:42 a. m.</t>
  </si>
  <si>
    <t>31/05/2022 09:28:24 a. m.</t>
  </si>
  <si>
    <t>31/05/2022 09:30:22 a. m.</t>
  </si>
  <si>
    <t>31/05/2022 09:32:03 a. m.</t>
  </si>
  <si>
    <t>31/05/2022 09:32:44 a. m.</t>
  </si>
  <si>
    <t>31/05/2022 09:34:48 a. m.</t>
  </si>
  <si>
    <t>31/05/2022 09:34:54 a. m.</t>
  </si>
  <si>
    <t>31/05/2022 09:36:51 a. m.</t>
  </si>
  <si>
    <t>31/05/2022 09:37:06 a. m.</t>
  </si>
  <si>
    <t>31/05/2022 09:37:11 a. m.</t>
  </si>
  <si>
    <t>31/05/2022 09:38:48 a. m.</t>
  </si>
  <si>
    <t>31/05/2022 09:40:10 a. m.</t>
  </si>
  <si>
    <t>31/05/2022 09:41:07 a. m.</t>
  </si>
  <si>
    <t>31/05/2022 09:44:59 a. m.</t>
  </si>
  <si>
    <t>31/05/2022 09:45:07 a. m.</t>
  </si>
  <si>
    <t>31/05/2022 09:45:37 a. m.</t>
  </si>
  <si>
    <t>31/05/2022 09:47:24 a. m.</t>
  </si>
  <si>
    <t>31/05/2022 09:48:10 a. m.</t>
  </si>
  <si>
    <t>31/05/2022 09:50:14 a. m.</t>
  </si>
  <si>
    <t>31/05/2022 09:51:02 a. m.</t>
  </si>
  <si>
    <t>31/05/2022 09:54:02 a. m.</t>
  </si>
  <si>
    <t>31/05/2022 09:54:22 a. m.</t>
  </si>
  <si>
    <t>31/05/2022 09:58:55 a. m.</t>
  </si>
  <si>
    <t>31/05/2022 10:03:50 a. m.</t>
  </si>
  <si>
    <t>31/05/2022 10:04:45 a. m.</t>
  </si>
  <si>
    <t>31/05/2022 10:06:11 a. m.</t>
  </si>
  <si>
    <t>31/05/2022 10:09:40 a. m.</t>
  </si>
  <si>
    <t>31/05/2022 10:11:15 a. m.</t>
  </si>
  <si>
    <t>31/05/2022 10:12:08 a. m.</t>
  </si>
  <si>
    <t>31/05/2022 10:24:56 a. m.</t>
  </si>
  <si>
    <t>31/05/2022 10:26:22 a. m.</t>
  </si>
  <si>
    <t>31/05/2022 10:29:11 a. m.</t>
  </si>
  <si>
    <t>31/05/2022 10:34:23 a. m.</t>
  </si>
  <si>
    <t>31/05/2022 10:38:22 a. m.</t>
  </si>
  <si>
    <t>31/05/2022 10:39:31 a. m.</t>
  </si>
  <si>
    <t>31/05/2022 10:40:49 a. m.</t>
  </si>
  <si>
    <t>31/05/2022 10:41:46 a. m.</t>
  </si>
  <si>
    <t>31/05/2022 10:42:17 a. m.</t>
  </si>
  <si>
    <t>31/05/2022 10:43:57 a. m.</t>
  </si>
  <si>
    <t>31/05/2022 10:46:23 a. m.</t>
  </si>
  <si>
    <t>31/05/2022 10:57:17 a. m.</t>
  </si>
  <si>
    <t>31/05/2022 11:05:10 a. m.</t>
  </si>
  <si>
    <t>31/05/2022 11:16:42 a. m.</t>
  </si>
  <si>
    <t>31/05/2022 11:22:18 a. m.</t>
  </si>
  <si>
    <t>31/05/2022 11:25:02 a. m.</t>
  </si>
  <si>
    <t>31/05/2022 11:30:58 a. m.</t>
  </si>
  <si>
    <t>31/05/2022 11:38:58 a. m.</t>
  </si>
  <si>
    <t>31/05/2022 11:54:54 a. m.</t>
  </si>
  <si>
    <t>31/05/2022 12:02:36 p. m.</t>
  </si>
  <si>
    <t>31/05/2022 12:11:00 p. m.</t>
  </si>
  <si>
    <t>31/05/2022 12:11:14 p. m.</t>
  </si>
  <si>
    <t>31/05/2022 12:14:12 p. m.</t>
  </si>
  <si>
    <t>31/05/2022 12:17:51 p. m.</t>
  </si>
  <si>
    <t>31/05/2022 12:21:32 p. m.</t>
  </si>
  <si>
    <t>31/05/2022 12:31:58 p. m.</t>
  </si>
  <si>
    <t>31/05/2022 12:34:32 p. m.</t>
  </si>
  <si>
    <t>31/05/2022 12:36:01 p. m.</t>
  </si>
  <si>
    <t>31/05/2022 12:37:15 p. m.</t>
  </si>
  <si>
    <t>31/05/2022 12:37:47 p. m.</t>
  </si>
  <si>
    <t>31/05/2022 12:41:26 p. m.</t>
  </si>
  <si>
    <t>31/05/2022 01:08:37 p. m.</t>
  </si>
  <si>
    <t>31/05/2022 01:11:10 p. m.</t>
  </si>
  <si>
    <t>31/05/2022 01:12:35 p. m.</t>
  </si>
  <si>
    <t>31/05/2022 01:31:46 p. m.</t>
  </si>
  <si>
    <t>31/05/2022 01:37:54 p. m.</t>
  </si>
  <si>
    <t>31/05/2022 01:42:47 p. m.</t>
  </si>
  <si>
    <t>31/05/2022 01:50:18 p. m.</t>
  </si>
  <si>
    <t>31/05/2022 01:52:19 p. m.</t>
  </si>
  <si>
    <t>31/05/2022 02:08:35 p. m.</t>
  </si>
  <si>
    <t>31/05/2022 02:10:45 p. m.</t>
  </si>
  <si>
    <t>31/05/2022 02:12:44 p. m.</t>
  </si>
  <si>
    <t>31/05/2022 02:26:55 p. m.</t>
  </si>
  <si>
    <t>31/05/2022 02:27:00 p. m.</t>
  </si>
  <si>
    <t>31/05/2022 02:28:51 p. m.</t>
  </si>
  <si>
    <t>31/05/2022 02:30:20 p. m.</t>
  </si>
  <si>
    <t>31/05/2022 02:30:47 p. m.</t>
  </si>
  <si>
    <t>31/05/2022 02:37:18 p. m.</t>
  </si>
  <si>
    <t>31/05/2022 02:48:07 p. m.</t>
  </si>
  <si>
    <t>31/05/2022 02:50:52 p. m.</t>
  </si>
  <si>
    <t>31/05/2022 02:52:28 p. m.</t>
  </si>
  <si>
    <t>31/05/2022 02:56:11 p. m.</t>
  </si>
  <si>
    <t>31/05/2022 03:03:28 p. m.</t>
  </si>
  <si>
    <t>31/05/2022 03:09:43 p. m.</t>
  </si>
  <si>
    <t>31/05/2022 03:11:44 p. m.</t>
  </si>
  <si>
    <t>31/05/2022 03:22:03 p. m.</t>
  </si>
  <si>
    <t>31/05/2022 03:27:56 p. m.</t>
  </si>
  <si>
    <t>31/05/2022 03:50:58 p. m.</t>
  </si>
  <si>
    <t>31/05/2022 03:53:12 p. m.</t>
  </si>
  <si>
    <t>31/05/2022 04:25:05 p. m.</t>
  </si>
  <si>
    <t>31/05/2022 04:37:44 p. m.</t>
  </si>
  <si>
    <t>31/05/2022 04:44:59 p. m.</t>
  </si>
  <si>
    <t>31/05/2022 04:45:52 p. m.</t>
  </si>
  <si>
    <t>31/05/2022 05:08:02 p. m.</t>
  </si>
  <si>
    <t>31/05/2022 05:09:25 p. m.</t>
  </si>
  <si>
    <t>31/05/2022 05:10:13 p. m.</t>
  </si>
  <si>
    <t>31/05/2022 05:16:58 p. m.</t>
  </si>
  <si>
    <t>31/05/2022 05:19:49 p. m.</t>
  </si>
  <si>
    <t>31/05/2022 05:23:53 p. m.</t>
  </si>
  <si>
    <t>31/05/2022 05:48:29 p. m.</t>
  </si>
  <si>
    <t>31/05/2022 05:59:49 p. m.</t>
  </si>
  <si>
    <t>31/05/2022 06:15:03 p. m.</t>
  </si>
  <si>
    <t>31/05/2022 06:15:24 p. m.</t>
  </si>
  <si>
    <t>31/05/2022 06:31:06 p. m.</t>
  </si>
  <si>
    <t>31/05/2022 06:32:01 p. m.</t>
  </si>
  <si>
    <t>31/05/2022 06:51:51 p. m.</t>
  </si>
  <si>
    <t>31/05/2022 06:53:04 p. m.</t>
  </si>
  <si>
    <t>31/05/2022 06:54:23 p. m.</t>
  </si>
  <si>
    <t>31/05/2022 06:57:09 p. m.</t>
  </si>
  <si>
    <t>31/05/2022 07:10:17 p. m.</t>
  </si>
  <si>
    <t>31/05/2022 07:13:42 p. m.</t>
  </si>
  <si>
    <t>31/05/2022 07:17:05 p. m.</t>
  </si>
  <si>
    <t>31/05/2022 07:27:32 p. m.</t>
  </si>
  <si>
    <t>31/05/2022 07:28:29 p. m.</t>
  </si>
  <si>
    <t>31/05/2022 07:28:52 p. m.</t>
  </si>
  <si>
    <t>31/05/2022 07:29:45 p. m.</t>
  </si>
  <si>
    <t>31/05/2022 07:33:48 p. m.</t>
  </si>
  <si>
    <t>31/05/2022 07:35:13 p. m.</t>
  </si>
  <si>
    <t>31/05/2022 07:37:46 p. m.</t>
  </si>
  <si>
    <t>31/05/2022 08:22:43 p. m.</t>
  </si>
  <si>
    <t>31/05/2022 08:27:00 p. m.</t>
  </si>
  <si>
    <t>31/05/2022 08:30:48 p. m.</t>
  </si>
  <si>
    <t>31/05/2022 08:35:45 p. m.</t>
  </si>
  <si>
    <t>31/05/2022 08:39:31 p. m.</t>
  </si>
  <si>
    <t>31/05/2022 08:48:40 p. m.</t>
  </si>
  <si>
    <t>31/05/2022 09:02:14 p. m.</t>
  </si>
  <si>
    <t>31/05/2022 09:26:19 p. m.</t>
  </si>
  <si>
    <t>31/05/2022 09:30:16 p. m.</t>
  </si>
  <si>
    <t>31/05/2022 09:30:47 p. m.</t>
  </si>
  <si>
    <t>31/05/2022 10:25:30 p. m.</t>
  </si>
  <si>
    <t>31/05/2022 11:16:07 p. m.</t>
  </si>
  <si>
    <t>E697910500920</t>
  </si>
  <si>
    <t>E697150895171</t>
  </si>
  <si>
    <t>E697020530996</t>
  </si>
  <si>
    <t>E697860800340</t>
  </si>
  <si>
    <t>E697781200094</t>
  </si>
  <si>
    <t>E697050113010</t>
  </si>
  <si>
    <t>E697141184840</t>
  </si>
  <si>
    <t>E697111092436</t>
  </si>
  <si>
    <t>E697140971040</t>
  </si>
  <si>
    <t>E697130880691</t>
  </si>
  <si>
    <t>E697870600012</t>
  </si>
  <si>
    <t>E697710100251</t>
  </si>
  <si>
    <t>E697150693609</t>
  </si>
  <si>
    <t>E697890700102</t>
  </si>
  <si>
    <t>E697750600019</t>
  </si>
  <si>
    <t>E697720900018</t>
  </si>
  <si>
    <t>E697761100361</t>
  </si>
  <si>
    <t>E697101193790</t>
  </si>
  <si>
    <t>E697180811835</t>
  </si>
  <si>
    <t>E697140970086</t>
  </si>
  <si>
    <t>E697021253546</t>
  </si>
  <si>
    <t>E697150494002</t>
  </si>
  <si>
    <t>E697951220583</t>
  </si>
  <si>
    <t>E697980631843</t>
  </si>
  <si>
    <t>E697140386881</t>
  </si>
  <si>
    <t>E697150900477</t>
  </si>
  <si>
    <t>E697880400747</t>
  </si>
  <si>
    <t>E697060220248</t>
  </si>
  <si>
    <t>E697060523313</t>
  </si>
  <si>
    <t>E697080695056</t>
  </si>
  <si>
    <t>E697100795079</t>
  </si>
  <si>
    <t>E697090998014</t>
  </si>
  <si>
    <t>E697940400776</t>
  </si>
  <si>
    <t>E697150990221</t>
  </si>
  <si>
    <t>E697980734839</t>
  </si>
  <si>
    <t>E697050253491</t>
  </si>
  <si>
    <t>E697821000263</t>
  </si>
  <si>
    <t>E697120194454</t>
  </si>
  <si>
    <t>E697100893950</t>
  </si>
  <si>
    <t>E697800300356</t>
  </si>
  <si>
    <t>E697041150344</t>
  </si>
  <si>
    <t>E697770104930</t>
  </si>
  <si>
    <t>E697000832139</t>
  </si>
  <si>
    <t>E697180812734</t>
  </si>
  <si>
    <t>E697110293454</t>
  </si>
  <si>
    <t>E697070251702</t>
  </si>
  <si>
    <t>E697031034281</t>
  </si>
  <si>
    <t>E697100791472</t>
  </si>
  <si>
    <t>E697910400887</t>
  </si>
  <si>
    <t>E697940100071</t>
  </si>
  <si>
    <t>E697030435622</t>
  </si>
  <si>
    <t>E697960820054</t>
  </si>
  <si>
    <t>E697021051188</t>
  </si>
  <si>
    <t>E697000831558</t>
  </si>
  <si>
    <t>E697120591810</t>
  </si>
  <si>
    <t>E697061134795</t>
  </si>
  <si>
    <t>E697940551251</t>
  </si>
  <si>
    <t>E697011251693</t>
  </si>
  <si>
    <t>E697010152292</t>
  </si>
  <si>
    <t>E697991133055</t>
  </si>
  <si>
    <t>E697080236931</t>
  </si>
  <si>
    <t>E697140472761</t>
  </si>
  <si>
    <t>E697131285371</t>
  </si>
  <si>
    <t>E697080693371</t>
  </si>
  <si>
    <t>E697971003775</t>
  </si>
  <si>
    <t>E697820300425</t>
  </si>
  <si>
    <t>E697030230231</t>
  </si>
  <si>
    <t>E697980331751</t>
  </si>
  <si>
    <t>E697780500167</t>
  </si>
  <si>
    <t>E697120190726</t>
  </si>
  <si>
    <t>E697851100521</t>
  </si>
  <si>
    <t>E697060332763</t>
  </si>
  <si>
    <t>E697141083105</t>
  </si>
  <si>
    <t>E697060221902</t>
  </si>
  <si>
    <t>E697141081676</t>
  </si>
  <si>
    <t>E697130682538</t>
  </si>
  <si>
    <t>E697140680339</t>
  </si>
  <si>
    <t>E697910700112</t>
  </si>
  <si>
    <t>E697030930712</t>
  </si>
  <si>
    <t>E697010533911</t>
  </si>
  <si>
    <t>E697030531168</t>
  </si>
  <si>
    <t>E697150396604</t>
  </si>
  <si>
    <t>E697140973115</t>
  </si>
  <si>
    <t>E697870600071</t>
  </si>
  <si>
    <t>E705150980627</t>
  </si>
  <si>
    <t>E697130884351</t>
  </si>
  <si>
    <t>E697151193545</t>
  </si>
  <si>
    <t>E697130880780</t>
  </si>
  <si>
    <t>E697111192279</t>
  </si>
  <si>
    <t>E697930902641</t>
  </si>
  <si>
    <t>E697121093279</t>
  </si>
  <si>
    <t>E697190712941</t>
  </si>
  <si>
    <t>E697970605925</t>
  </si>
  <si>
    <t>E697110597348</t>
  </si>
  <si>
    <t>E697080591706</t>
  </si>
  <si>
    <t>E697150493316</t>
  </si>
  <si>
    <t>E697100191327</t>
  </si>
  <si>
    <t>E697120993616</t>
  </si>
  <si>
    <t>E697140971180</t>
  </si>
  <si>
    <t>E697820300387</t>
  </si>
  <si>
    <t>E697070743672</t>
  </si>
  <si>
    <t>E697060120561</t>
  </si>
  <si>
    <t>E697180511700</t>
  </si>
  <si>
    <t>E697011155805</t>
  </si>
  <si>
    <t>E697940881413</t>
  </si>
  <si>
    <t>E697000930157</t>
  </si>
  <si>
    <t>E697030932812</t>
  </si>
  <si>
    <t>E697860400813</t>
  </si>
  <si>
    <t>E697090995961</t>
  </si>
  <si>
    <t>E697001032128</t>
  </si>
  <si>
    <t>E697040654071</t>
  </si>
  <si>
    <t>E697020833174</t>
  </si>
  <si>
    <t>E697120793625</t>
  </si>
  <si>
    <t>E697100490316</t>
  </si>
  <si>
    <t>E697120798911</t>
  </si>
  <si>
    <t>E697961122342</t>
  </si>
  <si>
    <t>E697010351848</t>
  </si>
  <si>
    <t>E697091298814</t>
  </si>
  <si>
    <t>E697150891567</t>
  </si>
  <si>
    <t>E697000831094</t>
  </si>
  <si>
    <t>E697000332012</t>
  </si>
  <si>
    <t>E697150702268</t>
  </si>
  <si>
    <t>E697101294537</t>
  </si>
  <si>
    <t>E697080592346</t>
  </si>
  <si>
    <t>E697031031886</t>
  </si>
  <si>
    <t>E697101291082</t>
  </si>
  <si>
    <t>E697021151123</t>
  </si>
  <si>
    <t>E697141282191</t>
  </si>
  <si>
    <t>E697060932248</t>
  </si>
  <si>
    <t>E697150895970</t>
  </si>
  <si>
    <t>E697050711189</t>
  </si>
  <si>
    <t>E697180811134</t>
  </si>
  <si>
    <t>E697140384772</t>
  </si>
  <si>
    <t>E697141280563</t>
  </si>
  <si>
    <t>E697141185307</t>
  </si>
  <si>
    <t>E697140973174</t>
  </si>
  <si>
    <t>E697950120364</t>
  </si>
  <si>
    <t>E697150951501</t>
  </si>
  <si>
    <t>E697141082290</t>
  </si>
  <si>
    <t>E697101294308</t>
  </si>
  <si>
    <t>E697020630532</t>
  </si>
  <si>
    <t>E697091296749</t>
  </si>
  <si>
    <t>E697041153416</t>
  </si>
  <si>
    <t>E697131185074</t>
  </si>
  <si>
    <t>E697140585719</t>
  </si>
  <si>
    <t>E697141082320</t>
  </si>
  <si>
    <t>E697140585158</t>
  </si>
  <si>
    <t>E697131281324</t>
  </si>
  <si>
    <t>E697060737631</t>
  </si>
  <si>
    <t>E697090198735</t>
  </si>
  <si>
    <t>E697131183187</t>
  </si>
  <si>
    <t>E697140883124</t>
  </si>
  <si>
    <t>E697140682650</t>
  </si>
  <si>
    <t>E697860700744</t>
  </si>
  <si>
    <t>E697740200021</t>
  </si>
  <si>
    <t>E697870400978</t>
  </si>
  <si>
    <t>E697150593647</t>
  </si>
  <si>
    <t>E697140781615</t>
  </si>
  <si>
    <t>E697130984232</t>
  </si>
  <si>
    <t>E697110398264</t>
  </si>
  <si>
    <t>E697081093513</t>
  </si>
  <si>
    <t>E697031034028</t>
  </si>
  <si>
    <t>E697150293732</t>
  </si>
  <si>
    <t>E697060930954</t>
  </si>
  <si>
    <t>E697110993791</t>
  </si>
  <si>
    <t>E697150592331</t>
  </si>
  <si>
    <t>E697060332623</t>
  </si>
  <si>
    <t>E697080890266</t>
  </si>
  <si>
    <t>E697060123731</t>
  </si>
  <si>
    <t>E697140775194</t>
  </si>
  <si>
    <t>E697111291285</t>
  </si>
  <si>
    <t>E697060737640</t>
  </si>
  <si>
    <t>E697860400325</t>
  </si>
  <si>
    <t>E697130981489</t>
  </si>
  <si>
    <t>E697130981501</t>
  </si>
  <si>
    <t>E697100591864</t>
  </si>
  <si>
    <t>E699110793204</t>
  </si>
  <si>
    <t>E699090573865</t>
  </si>
  <si>
    <t>E699050911601</t>
  </si>
  <si>
    <t>E697011251758</t>
  </si>
  <si>
    <t>E697971203651</t>
  </si>
  <si>
    <t>E697020335387</t>
  </si>
  <si>
    <t>E697950821711</t>
  </si>
  <si>
    <t>E697141183835</t>
  </si>
  <si>
    <t>E697100797853</t>
  </si>
  <si>
    <t>E697060225428</t>
  </si>
  <si>
    <t>E697081091065</t>
  </si>
  <si>
    <t>E697081091901</t>
  </si>
  <si>
    <t>E697931003641</t>
  </si>
  <si>
    <t>E697881100291</t>
  </si>
  <si>
    <t>E697140681033</t>
  </si>
  <si>
    <t>E697020135922</t>
  </si>
  <si>
    <t>E697001034198</t>
  </si>
  <si>
    <t>E697891100524</t>
  </si>
  <si>
    <t>E697800900248</t>
  </si>
  <si>
    <t>E697861100198</t>
  </si>
  <si>
    <t>E697011150641</t>
  </si>
  <si>
    <t>E697051113552</t>
  </si>
  <si>
    <t>E697150701041</t>
  </si>
  <si>
    <t>E697081190861</t>
  </si>
  <si>
    <t>E697980931596</t>
  </si>
  <si>
    <t>E697120292316</t>
  </si>
  <si>
    <t>E697020735938</t>
  </si>
  <si>
    <t>E697050910891</t>
  </si>
  <si>
    <t>E697981231776</t>
  </si>
  <si>
    <t>E697150894752</t>
  </si>
  <si>
    <t>E697860700191</t>
  </si>
  <si>
    <t>E697040950592</t>
  </si>
  <si>
    <t>E697110399503</t>
  </si>
  <si>
    <t>E697841000219</t>
  </si>
  <si>
    <t>E697130882065</t>
  </si>
  <si>
    <t>E705050110579</t>
  </si>
  <si>
    <t>E697081291552</t>
  </si>
  <si>
    <t>E697120704231</t>
  </si>
  <si>
    <t>E697040551353</t>
  </si>
  <si>
    <t>E697871000141</t>
  </si>
  <si>
    <t>E697080794941</t>
  </si>
  <si>
    <t>E697150891460</t>
  </si>
  <si>
    <t>E697060930253</t>
  </si>
  <si>
    <t>E697130480901</t>
  </si>
  <si>
    <t>E697900501162</t>
  </si>
  <si>
    <t>Total SUPER PLUS 01</t>
  </si>
  <si>
    <t>Total SUPER PLUS 02</t>
  </si>
  <si>
    <t>Total SUPER PLUS 03</t>
  </si>
  <si>
    <t>Total SUPER PLUS 04</t>
  </si>
  <si>
    <t>Total SUPER PLUS 05</t>
  </si>
  <si>
    <t>Total SUPER PLUS 06</t>
  </si>
  <si>
    <t>Total SUPER PLUS 07</t>
  </si>
  <si>
    <t>Total SUPER PLUS 08</t>
  </si>
  <si>
    <t>Total SUPER PLUS 09</t>
  </si>
  <si>
    <t>Total SUPER PLUS 10</t>
  </si>
  <si>
    <t>Total SUPER PLUS 11</t>
  </si>
  <si>
    <t>Total SUPER PLUS 12</t>
  </si>
  <si>
    <t>Total SUPER PLUS 13</t>
  </si>
  <si>
    <t>Total SUPER PLUS 14</t>
  </si>
  <si>
    <t>Total SUPER PLUS 19</t>
  </si>
  <si>
    <t>Total SUPER PLUS 21</t>
  </si>
  <si>
    <t>Total SUPER PLUS 23</t>
  </si>
  <si>
    <t>Total SUPER PLUS 26</t>
  </si>
  <si>
    <t>Total SUPER PLUS 27</t>
  </si>
  <si>
    <t>Total SUPER PLUS 32</t>
  </si>
  <si>
    <t>Total SUPER PLUS 39</t>
  </si>
  <si>
    <t>Total SUPER PLUS 40</t>
  </si>
  <si>
    <t>Total general</t>
  </si>
  <si>
    <t>01/06/2022 08:43:17 a. m.</t>
  </si>
  <si>
    <t>01/06/2022 09:27:45 a. m.</t>
  </si>
  <si>
    <t>PAGO 0522</t>
  </si>
  <si>
    <t>01/06/2022 09:40:33 a. m.</t>
  </si>
  <si>
    <t>01/06/2022 09:58:24 a. m.</t>
  </si>
  <si>
    <t>01/06/2022 10:02:02 a. m.</t>
  </si>
  <si>
    <t>01/06/2022 10:35:29 a. m.</t>
  </si>
  <si>
    <t>01/06/2022 10:54:27 a. m.</t>
  </si>
  <si>
    <t>01/06/2022 11:19:36 a. m.</t>
  </si>
  <si>
    <t>01/06/2022 11:45:20 a. m.</t>
  </si>
  <si>
    <t>01/06/2022 11:57:28 a. m.</t>
  </si>
  <si>
    <t>01/06/2022 12:14:56 p. m.</t>
  </si>
  <si>
    <t>01/06/2022 12:28:22 p. m.</t>
  </si>
  <si>
    <t>01/06/2022 01:02:38 p. m.</t>
  </si>
  <si>
    <t>01/06/2022 01:15:49 p. m.</t>
  </si>
  <si>
    <t>01/06/2022 01:49:41 p. m.</t>
  </si>
  <si>
    <t>01/06/2022 02:15:57 p. m.</t>
  </si>
  <si>
    <t>01/06/2022 02:17:18 p. m.</t>
  </si>
  <si>
    <t>01/06/2022 02:20:27 p. m.</t>
  </si>
  <si>
    <t>01/06/2022 03:03:12 p. m.</t>
  </si>
  <si>
    <t>01/06/2022 03:55:19 p. m.</t>
  </si>
  <si>
    <t>01/06/2022 04:59:29 p. m.</t>
  </si>
  <si>
    <t>01/06/2022 05:43:00 p. m.</t>
  </si>
  <si>
    <t>01/06/2022 05:45:47 p. m.</t>
  </si>
  <si>
    <t>01/06/2022 06:18:12 p. m.</t>
  </si>
  <si>
    <t>01/06/2022 07:16:21 p. m.</t>
  </si>
  <si>
    <t>01/06/2022 08:22:20 p. m.</t>
  </si>
  <si>
    <t>E697770700061</t>
  </si>
  <si>
    <t>E697950620260</t>
  </si>
  <si>
    <t>E697180812017</t>
  </si>
  <si>
    <t>E697110595515</t>
  </si>
  <si>
    <t>E697991231821</t>
  </si>
  <si>
    <t>E697770100144</t>
  </si>
  <si>
    <t>E697120891139</t>
  </si>
  <si>
    <t>E697040653083</t>
  </si>
  <si>
    <t>E697130382241</t>
  </si>
  <si>
    <t>E697130788964</t>
  </si>
  <si>
    <t>E697040353110</t>
  </si>
  <si>
    <t>E697011254137</t>
  </si>
  <si>
    <t>E697100795176</t>
  </si>
  <si>
    <t>E697890500847</t>
  </si>
  <si>
    <t>E697141083865</t>
  </si>
  <si>
    <t>E697150490473</t>
  </si>
  <si>
    <t>E697141081897</t>
  </si>
  <si>
    <t>E697071051065</t>
  </si>
  <si>
    <t>E697080454555</t>
  </si>
  <si>
    <t>E697120292022</t>
  </si>
  <si>
    <t>E697131092581</t>
  </si>
  <si>
    <t>E697150491933</t>
  </si>
  <si>
    <t>E697030833733</t>
  </si>
  <si>
    <t>E697141284755</t>
  </si>
  <si>
    <t>E697180912101</t>
  </si>
  <si>
    <t>E697070553105</t>
  </si>
  <si>
    <t>02/06/2022 07:18:07 a. m.</t>
  </si>
  <si>
    <t>02/06/2022 07:52:09 a. m.</t>
  </si>
  <si>
    <t>02/06/2022 08:02:14 a. m.</t>
  </si>
  <si>
    <t>02/06/2022 08:08:41 a. m.</t>
  </si>
  <si>
    <t>02/06/2022 08:10:03 a. m.</t>
  </si>
  <si>
    <t>02/06/2022 09:12:27 a. m.</t>
  </si>
  <si>
    <t>02/06/2022 10:29:02 a. m.</t>
  </si>
  <si>
    <t>02/06/2022 11:49:08 a. m.</t>
  </si>
  <si>
    <t>02/06/2022 11:51:39 a. m.</t>
  </si>
  <si>
    <t>02/06/2022 12:03:51 p. m.</t>
  </si>
  <si>
    <t>02/06/2022 12:13:02 p. m.</t>
  </si>
  <si>
    <t>02/06/2022 01:19:17 p. m.</t>
  </si>
  <si>
    <t>02/06/2022 01:32:37 p. m.</t>
  </si>
  <si>
    <t>02/06/2022 01:43:41 p. m.</t>
  </si>
  <si>
    <t>02/06/2022 01:57:18 p. m.</t>
  </si>
  <si>
    <t>02/06/2022 02:02:04 p. m.</t>
  </si>
  <si>
    <t>02/06/2022 02:04:07 p. m.</t>
  </si>
  <si>
    <t>02/06/2022 02:23:11 p. m.</t>
  </si>
  <si>
    <t>02/06/2022 02:56:46 p. m.</t>
  </si>
  <si>
    <t>02/06/2022 03:28:40 p. m.</t>
  </si>
  <si>
    <t>02/06/2022 03:40:35 p. m.</t>
  </si>
  <si>
    <t>02/06/2022 03:46:50 p. m.</t>
  </si>
  <si>
    <t>02/06/2022 03:48:11 p. m.</t>
  </si>
  <si>
    <t>02/06/2022 03:58:36 p. m.</t>
  </si>
  <si>
    <t>02/06/2022 04:10:25 p. m.</t>
  </si>
  <si>
    <t>02/06/2022 04:17:32 p. m.</t>
  </si>
  <si>
    <t>02/06/2022 05:29:11 p. m.</t>
  </si>
  <si>
    <t>02/06/2022 05:56:40 p. m.</t>
  </si>
  <si>
    <t>02/06/2022 05:59:26 p. m.</t>
  </si>
  <si>
    <t>02/06/2022 06:28:30 p. m.</t>
  </si>
  <si>
    <t>02/06/2022 06:30:51 p. m.</t>
  </si>
  <si>
    <t>02/06/2022 07:37:31 p. m.</t>
  </si>
  <si>
    <t>02/06/2022 07:37:59 p. m.</t>
  </si>
  <si>
    <t>02/06/2022 07:38:54 p. m.</t>
  </si>
  <si>
    <t>02/06/2022 07:40:22 p. m.</t>
  </si>
  <si>
    <t>02/06/2022 07:57:11 p. m.</t>
  </si>
  <si>
    <t>02/06/2022 08:37:17 p. m.</t>
  </si>
  <si>
    <t>02/06/2022 08:43:42 p. m.</t>
  </si>
  <si>
    <t>02/06/2022 09:44:32 p. m.</t>
  </si>
  <si>
    <t>02/06/2022 09:46:00 p. m.</t>
  </si>
  <si>
    <t>E697960121105</t>
  </si>
  <si>
    <t>E697951220567</t>
  </si>
  <si>
    <t>E697901000167</t>
  </si>
  <si>
    <t>E697021154319</t>
  </si>
  <si>
    <t>E697050511074</t>
  </si>
  <si>
    <t>E697000104982</t>
  </si>
  <si>
    <t>E697090996313</t>
  </si>
  <si>
    <t>E697180610465</t>
  </si>
  <si>
    <t>E697931103301</t>
  </si>
  <si>
    <t>E697050112757</t>
  </si>
  <si>
    <t>E697001231848</t>
  </si>
  <si>
    <t>E697081092509</t>
  </si>
  <si>
    <t>E697970305891</t>
  </si>
  <si>
    <t>E697920504940</t>
  </si>
  <si>
    <t>E697981230079</t>
  </si>
  <si>
    <t>E697061134884</t>
  </si>
  <si>
    <t>E697150290598</t>
  </si>
  <si>
    <t>E697000930360</t>
  </si>
  <si>
    <t>E697950521121</t>
  </si>
  <si>
    <t>E697100590621</t>
  </si>
  <si>
    <t>E697841200501</t>
  </si>
  <si>
    <t>E697130381023</t>
  </si>
  <si>
    <t>E697050251013</t>
  </si>
  <si>
    <t>E697090995376</t>
  </si>
  <si>
    <t>E697130481401</t>
  </si>
  <si>
    <t>E697861200150</t>
  </si>
  <si>
    <t>E697120390938</t>
  </si>
  <si>
    <t>E697740500024</t>
  </si>
  <si>
    <t>E697021050025</t>
  </si>
  <si>
    <t>E697771200177</t>
  </si>
  <si>
    <t>E697840700276</t>
  </si>
  <si>
    <t>E697001032586</t>
  </si>
  <si>
    <t>E696850800311</t>
  </si>
  <si>
    <t>E697741200067</t>
  </si>
  <si>
    <t>E697140584925</t>
  </si>
  <si>
    <t>E697070953316</t>
  </si>
  <si>
    <t>E697130881735</t>
  </si>
  <si>
    <t>E697150396752</t>
  </si>
  <si>
    <t>E697040653636</t>
  </si>
  <si>
    <t>E699000101111</t>
  </si>
  <si>
    <t>Total SUPER PLUS 16</t>
  </si>
  <si>
    <t>Total SUPER PLUS 36</t>
  </si>
  <si>
    <t>D:\SOPORTE\Descargas</t>
  </si>
  <si>
    <t>D:\SOPORTE\Descargas\COMISION_IUSA</t>
  </si>
  <si>
    <t>IMPORTE</t>
  </si>
  <si>
    <t>Archivo MNGR_COM:</t>
  </si>
  <si>
    <t>CAJA</t>
  </si>
  <si>
    <t>FECHA</t>
  </si>
  <si>
    <t>HORA</t>
  </si>
  <si>
    <t>VENDEDOR</t>
  </si>
  <si>
    <t>COMENTARIO</t>
  </si>
  <si>
    <t>CONCEPT</t>
  </si>
  <si>
    <t>OBSERVACION</t>
  </si>
  <si>
    <t>ESTATUS</t>
  </si>
  <si>
    <t>FECHA PAGO</t>
  </si>
  <si>
    <t>08 AGOSTO</t>
  </si>
  <si>
    <t>SERVICIOS_10.08.2022</t>
  </si>
  <si>
    <t>COMISIONES_10.08.2022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</si>
</sst>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</fills>
  <borders count="4">
    <border>
      <left/>
      <right/>
      <top/>
      <bottom/>
      <diagonal/>
    </border>
    <border>
      <left style="medium">
        <color rgb="FF0070C0"/>
      </left>
      <right/>
      <top/>
      <bottom style="medium">
        <color rgb="FF0070C0"/>
      </bottom>
      <diagonal/>
    </border>
    <border>
      <left/>
      <right style="medium">
        <color rgb="FF0070C0"/>
      </right>
      <top/>
      <bottom style="medium">
        <color rgb="FF0070C0"/>
      </bottom>
      <diagonal/>
    </border>
    <border>
      <left/>
      <right/>
      <top/>
      <bottom style="medium">
        <color rgb="FF0070C0"/>
      </bottom>
      <diagonal/>
    </border>
  </borders>
  <cellStyleXfs count="1">
    <xf numFmtId="0" fontId="0" fillId="0" borderId="0"/>
  </cellStyleXfs>
  <cellXfs count="20">
    <xf numFmtId="0" fontId="0" fillId="0" borderId="0" xfId="0"/>
    <xf numFmtId="1" fontId="0" fillId="2" borderId="2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2" borderId="2" xfId="0" applyFill="1" applyBorder="1" applyAlignment="1">
      <alignment horizontal="left"/>
    </xf>
    <xf numFmtId="0" fontId="1" fillId="0" borderId="3" xfId="0" applyFont="1" applyBorder="1" applyAlignment="1">
      <alignment horizontal="left"/>
    </xf>
    <xf numFmtId="14" fontId="0" fillId="2" borderId="2" xfId="0" applyNumberFormat="1" applyFill="1" applyBorder="1" applyAlignment="1">
      <alignment horizontal="left"/>
    </xf>
    <xf numFmtId="0" fontId="0" fillId="0" borderId="0" xfId="0" applyAlignment="1">
      <alignment horizontal="left"/>
    </xf>
    <xf numFmtId="0" fontId="0" fillId="3" borderId="0" xfId="0" applyFill="1"/>
    <xf numFmtId="0" fontId="0" fillId="4" borderId="0" xfId="0" applyFill="1"/>
    <xf numFmtId="0" fontId="1" fillId="0" borderId="0" xfId="0" applyFont="1"/>
    <xf numFmtId="0" fontId="1" fillId="4" borderId="0" xfId="0" applyFont="1" applyFill="1"/>
    <xf numFmtId="0" fontId="1" fillId="3" borderId="0" xfId="0" applyFont="1" applyFill="1"/>
    <xf numFmtId="2" fontId="0" fillId="0" borderId="0" xfId="0" applyNumberFormat="1"/>
    <xf numFmtId="0" fontId="0" fillId="5" borderId="0" xfId="0" applyFill="1"/>
    <xf numFmtId="0" fontId="1" fillId="5" borderId="0" xfId="0" applyFont="1" applyFill="1"/>
    <xf numFmtId="0" fontId="3" fillId="0" borderId="0" xfId="0" applyFont="1"/>
    <xf numFmtId="0" fontId="0" fillId="0" borderId="0" xfId="0" applyFont="1"/>
    <xf numFmtId="14" fontId="0" fillId="0" borderId="0" xfId="0" applyNumberFormat="1"/>
    <xf numFmtId="0" fontId="0" fillId="0" borderId="0" xfId="0" quotePrefix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</xdr:rowOff>
        </xdr:from>
        <xdr:to>
          <xdr:col>4</xdr:col>
          <xdr:colOff>285750</xdr:colOff>
          <xdr:row>11</xdr:row>
          <xdr:rowOff>76200</xdr:rowOff>
        </xdr:to>
        <xdr:sp macro="" textlink="">
          <xdr:nvSpPr>
            <xdr:cNvPr id="2049" name="BTNInicio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C7A7A-4E62-463D-B3C7-BBBD7FC26974}">
  <sheetPr codeName="Hoja14"/>
  <dimension ref="A1:B40"/>
  <sheetViews>
    <sheetView workbookViewId="0"/>
    <sheetView workbookViewId="1"/>
  </sheetViews>
  <sheetFormatPr baseColWidth="10" defaultRowHeight="15" x14ac:dyDescent="0.25"/>
  <cols>
    <col min="1" max="1" width="13.7109375" bestFit="1" customWidth="1"/>
  </cols>
  <sheetData>
    <row r="1" spans="1:2" x14ac:dyDescent="0.25">
      <c r="A1" t="s">
        <v>38</v>
      </c>
      <c r="B1">
        <v>11</v>
      </c>
    </row>
    <row r="2" spans="1:2" x14ac:dyDescent="0.25">
      <c r="A2" t="s">
        <v>40</v>
      </c>
      <c r="B2">
        <v>21</v>
      </c>
    </row>
    <row r="3" spans="1:2" x14ac:dyDescent="0.25">
      <c r="A3" t="s">
        <v>37</v>
      </c>
      <c r="B3">
        <v>31</v>
      </c>
    </row>
    <row r="4" spans="1:2" x14ac:dyDescent="0.25">
      <c r="A4" t="s">
        <v>30</v>
      </c>
      <c r="B4">
        <v>41</v>
      </c>
    </row>
    <row r="5" spans="1:2" x14ac:dyDescent="0.25">
      <c r="A5" t="s">
        <v>29</v>
      </c>
      <c r="B5">
        <v>51</v>
      </c>
    </row>
    <row r="6" spans="1:2" x14ac:dyDescent="0.25">
      <c r="A6" t="s">
        <v>31</v>
      </c>
      <c r="B6">
        <v>61</v>
      </c>
    </row>
    <row r="7" spans="1:2" x14ac:dyDescent="0.25">
      <c r="A7" t="s">
        <v>44</v>
      </c>
      <c r="B7">
        <v>71</v>
      </c>
    </row>
    <row r="8" spans="1:2" x14ac:dyDescent="0.25">
      <c r="A8" t="s">
        <v>33</v>
      </c>
      <c r="B8">
        <v>81</v>
      </c>
    </row>
    <row r="9" spans="1:2" x14ac:dyDescent="0.25">
      <c r="A9" t="s">
        <v>32</v>
      </c>
      <c r="B9">
        <v>91</v>
      </c>
    </row>
    <row r="10" spans="1:2" x14ac:dyDescent="0.25">
      <c r="A10" t="s">
        <v>35</v>
      </c>
      <c r="B10">
        <v>101</v>
      </c>
    </row>
    <row r="11" spans="1:2" x14ac:dyDescent="0.25">
      <c r="A11" t="s">
        <v>39</v>
      </c>
      <c r="B11">
        <v>111</v>
      </c>
    </row>
    <row r="12" spans="1:2" x14ac:dyDescent="0.25">
      <c r="A12" t="s">
        <v>36</v>
      </c>
      <c r="B12">
        <v>121</v>
      </c>
    </row>
    <row r="13" spans="1:2" x14ac:dyDescent="0.25">
      <c r="A13" t="s">
        <v>42</v>
      </c>
      <c r="B13">
        <v>131</v>
      </c>
    </row>
    <row r="14" spans="1:2" x14ac:dyDescent="0.25">
      <c r="A14" t="s">
        <v>27</v>
      </c>
      <c r="B14">
        <v>141</v>
      </c>
    </row>
    <row r="15" spans="1:2" x14ac:dyDescent="0.25">
      <c r="A15" t="s">
        <v>45</v>
      </c>
      <c r="B15">
        <v>151</v>
      </c>
    </row>
    <row r="16" spans="1:2" x14ac:dyDescent="0.25">
      <c r="A16" t="s">
        <v>28</v>
      </c>
      <c r="B16">
        <v>161</v>
      </c>
    </row>
    <row r="17" spans="1:2" x14ac:dyDescent="0.25">
      <c r="A17" t="s">
        <v>46</v>
      </c>
      <c r="B17">
        <v>171</v>
      </c>
    </row>
    <row r="18" spans="1:2" x14ac:dyDescent="0.25">
      <c r="A18" t="s">
        <v>47</v>
      </c>
      <c r="B18">
        <v>181</v>
      </c>
    </row>
    <row r="19" spans="1:2" x14ac:dyDescent="0.25">
      <c r="A19" t="s">
        <v>48</v>
      </c>
      <c r="B19">
        <v>191</v>
      </c>
    </row>
    <row r="20" spans="1:2" x14ac:dyDescent="0.25">
      <c r="A20" t="s">
        <v>49</v>
      </c>
      <c r="B20">
        <v>201</v>
      </c>
    </row>
    <row r="21" spans="1:2" x14ac:dyDescent="0.25">
      <c r="A21" t="s">
        <v>50</v>
      </c>
      <c r="B21">
        <v>211</v>
      </c>
    </row>
    <row r="22" spans="1:2" x14ac:dyDescent="0.25">
      <c r="A22" t="s">
        <v>34</v>
      </c>
      <c r="B22">
        <v>271</v>
      </c>
    </row>
    <row r="23" spans="1:2" x14ac:dyDescent="0.25">
      <c r="A23" t="s">
        <v>51</v>
      </c>
      <c r="B23">
        <v>231</v>
      </c>
    </row>
    <row r="24" spans="1:2" x14ac:dyDescent="0.25">
      <c r="A24" t="s">
        <v>52</v>
      </c>
      <c r="B24">
        <v>241</v>
      </c>
    </row>
    <row r="25" spans="1:2" x14ac:dyDescent="0.25">
      <c r="A25" t="s">
        <v>53</v>
      </c>
      <c r="B25">
        <v>251</v>
      </c>
    </row>
    <row r="26" spans="1:2" x14ac:dyDescent="0.25">
      <c r="A26" t="s">
        <v>54</v>
      </c>
      <c r="B26">
        <v>261</v>
      </c>
    </row>
    <row r="27" spans="1:2" x14ac:dyDescent="0.25">
      <c r="A27" t="s">
        <v>55</v>
      </c>
      <c r="B27">
        <v>271</v>
      </c>
    </row>
    <row r="28" spans="1:2" x14ac:dyDescent="0.25">
      <c r="A28" t="s">
        <v>56</v>
      </c>
      <c r="B28">
        <v>281</v>
      </c>
    </row>
    <row r="29" spans="1:2" x14ac:dyDescent="0.25">
      <c r="A29" t="s">
        <v>57</v>
      </c>
      <c r="B29">
        <v>291</v>
      </c>
    </row>
    <row r="30" spans="1:2" x14ac:dyDescent="0.25">
      <c r="A30" t="s">
        <v>58</v>
      </c>
      <c r="B30">
        <v>301</v>
      </c>
    </row>
    <row r="31" spans="1:2" x14ac:dyDescent="0.25">
      <c r="A31" t="s">
        <v>59</v>
      </c>
      <c r="B31">
        <v>311</v>
      </c>
    </row>
    <row r="32" spans="1:2" x14ac:dyDescent="0.25">
      <c r="A32" t="s">
        <v>60</v>
      </c>
      <c r="B32">
        <v>321</v>
      </c>
    </row>
    <row r="33" spans="1:2" x14ac:dyDescent="0.25">
      <c r="A33" t="s">
        <v>61</v>
      </c>
      <c r="B33">
        <v>331</v>
      </c>
    </row>
    <row r="34" spans="1:2" x14ac:dyDescent="0.25">
      <c r="A34" t="s">
        <v>62</v>
      </c>
      <c r="B34">
        <v>341</v>
      </c>
    </row>
    <row r="35" spans="1:2" x14ac:dyDescent="0.25">
      <c r="A35" t="s">
        <v>63</v>
      </c>
      <c r="B35">
        <v>351</v>
      </c>
    </row>
    <row r="36" spans="1:2" x14ac:dyDescent="0.25">
      <c r="A36" t="s">
        <v>41</v>
      </c>
      <c r="B36">
        <v>361</v>
      </c>
    </row>
    <row r="37" spans="1:2" x14ac:dyDescent="0.25">
      <c r="A37" t="s">
        <v>64</v>
      </c>
      <c r="B37">
        <v>371</v>
      </c>
    </row>
    <row r="38" spans="1:2" x14ac:dyDescent="0.25">
      <c r="A38" t="s">
        <v>65</v>
      </c>
      <c r="B38">
        <v>381</v>
      </c>
    </row>
    <row r="39" spans="1:2" x14ac:dyDescent="0.25">
      <c r="A39" t="s">
        <v>66</v>
      </c>
      <c r="B39">
        <v>391</v>
      </c>
    </row>
    <row r="40" spans="1:2" x14ac:dyDescent="0.25">
      <c r="A40" t="s">
        <v>43</v>
      </c>
      <c r="B40">
        <v>401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E655E-1F31-49BD-9557-60DA9B2980ED}">
  <sheetPr codeName="Hoja1"/>
  <dimension ref="A1:O28"/>
  <sheetViews>
    <sheetView workbookViewId="0">
      <selection activeCell="B5" sqref="B5"/>
    </sheetView>
    <sheetView tabSelected="1" workbookViewId="1">
      <selection activeCell="L5" sqref="L5"/>
    </sheetView>
  </sheetViews>
  <sheetFormatPr baseColWidth="10" defaultRowHeight="15" x14ac:dyDescent="0.25"/>
  <cols>
    <col min="1" max="1" width="17.42578125" bestFit="1" customWidth="1"/>
    <col min="2" max="2" width="23.85546875" bestFit="1" customWidth="1"/>
    <col min="3" max="3" width="19.5703125" bestFit="1" customWidth="1"/>
    <col min="4" max="4" width="20.42578125" bestFit="1" customWidth="1"/>
    <col min="5" max="5" width="13" bestFit="1" customWidth="1"/>
    <col min="6" max="6" width="52.5703125" bestFit="1" customWidth="1"/>
  </cols>
  <sheetData>
    <row r="1" spans="1:6" ht="15.75" thickBot="1" x14ac:dyDescent="0.3">
      <c r="A1" s="2" t="s">
        <v>0</v>
      </c>
      <c r="B1" s="3">
        <v>4.9400000000000004</v>
      </c>
      <c r="C1" s="4" t="s">
        <v>1</v>
      </c>
      <c r="D1" s="5">
        <f ca="1">TODAY()</f>
        <v>44783</v>
      </c>
      <c r="E1" s="6"/>
      <c r="F1" s="6"/>
    </row>
    <row r="2" spans="1:6" ht="15.75" thickBot="1" x14ac:dyDescent="0.3">
      <c r="A2" s="2" t="s">
        <v>2</v>
      </c>
      <c r="B2" s="3" t="s">
        <v>3</v>
      </c>
      <c r="C2" s="4" t="s">
        <v>4</v>
      </c>
      <c r="D2" s="5" t="s">
        <v>5</v>
      </c>
      <c r="E2" s="6"/>
      <c r="F2" s="6"/>
    </row>
    <row r="3" spans="1:6" ht="15.75" thickBot="1" x14ac:dyDescent="0.3">
      <c r="A3" s="2" t="s">
        <v>6</v>
      </c>
      <c r="B3" s="3">
        <v>2</v>
      </c>
      <c r="C3" s="4" t="s">
        <v>7</v>
      </c>
      <c r="D3" s="1">
        <v>8</v>
      </c>
      <c r="E3" s="2" t="s">
        <v>8</v>
      </c>
      <c r="F3" s="3">
        <v>2022</v>
      </c>
    </row>
    <row r="4" spans="1:6" ht="15.75" thickBot="1" x14ac:dyDescent="0.3">
      <c r="A4" s="2" t="s">
        <v>9</v>
      </c>
      <c r="B4" s="3">
        <v>2</v>
      </c>
      <c r="C4" s="4" t="s">
        <v>7</v>
      </c>
      <c r="D4" s="1">
        <v>8</v>
      </c>
      <c r="E4" s="2" t="s">
        <v>8</v>
      </c>
      <c r="F4" s="3">
        <v>2022</v>
      </c>
    </row>
    <row r="5" spans="1:6" ht="15.75" thickBot="1" x14ac:dyDescent="0.3">
      <c r="A5" s="2" t="s">
        <v>10</v>
      </c>
      <c r="B5" s="3" t="s">
        <v>702</v>
      </c>
      <c r="C5" s="4" t="s">
        <v>11</v>
      </c>
      <c r="D5" s="1" t="s">
        <v>703</v>
      </c>
      <c r="E5" s="4" t="s">
        <v>12</v>
      </c>
      <c r="F5" s="1" t="s">
        <v>13</v>
      </c>
    </row>
    <row r="6" spans="1:6" ht="15.75" thickBot="1" x14ac:dyDescent="0.3">
      <c r="A6" s="2"/>
      <c r="B6" s="3" t="s">
        <v>26</v>
      </c>
      <c r="C6" s="4" t="s">
        <v>14</v>
      </c>
      <c r="D6" s="1" t="s">
        <v>689</v>
      </c>
      <c r="E6" s="4" t="s">
        <v>15</v>
      </c>
      <c r="F6" s="1" t="s">
        <v>16</v>
      </c>
    </row>
    <row r="7" spans="1:6" ht="15.75" thickBot="1" x14ac:dyDescent="0.3">
      <c r="A7" s="2" t="s">
        <v>17</v>
      </c>
      <c r="B7" s="3" t="s">
        <v>18</v>
      </c>
      <c r="C7" s="4" t="s">
        <v>25</v>
      </c>
      <c r="D7" s="1" t="s">
        <v>690</v>
      </c>
      <c r="E7" s="2"/>
      <c r="F7" s="3"/>
    </row>
    <row r="8" spans="1:6" ht="15.75" thickBot="1" x14ac:dyDescent="0.3">
      <c r="A8" s="2"/>
      <c r="B8" s="3" t="s">
        <v>19</v>
      </c>
      <c r="C8" s="4" t="s">
        <v>692</v>
      </c>
      <c r="D8" s="1" t="s">
        <v>704</v>
      </c>
      <c r="E8" s="2"/>
      <c r="F8" s="3"/>
    </row>
    <row r="9" spans="1:6" ht="15.75" thickBot="1" x14ac:dyDescent="0.3">
      <c r="A9" s="2"/>
      <c r="B9" s="3" t="s">
        <v>20</v>
      </c>
    </row>
    <row r="10" spans="1:6" ht="15.75" thickBot="1" x14ac:dyDescent="0.3">
      <c r="A10" s="2"/>
      <c r="B10" s="3" t="s">
        <v>21</v>
      </c>
    </row>
    <row r="11" spans="1:6" ht="15.75" thickBot="1" x14ac:dyDescent="0.3">
      <c r="A11" s="2"/>
      <c r="B11" s="3" t="s">
        <v>22</v>
      </c>
    </row>
    <row r="12" spans="1:6" ht="15.75" thickBot="1" x14ac:dyDescent="0.3">
      <c r="A12" s="2" t="s">
        <v>23</v>
      </c>
      <c r="B12" s="3" t="s">
        <v>24</v>
      </c>
    </row>
    <row r="13" spans="1:6" x14ac:dyDescent="0.25">
      <c r="E13" s="16"/>
    </row>
    <row r="14" spans="1:6" x14ac:dyDescent="0.25">
      <c r="D14" s="15"/>
    </row>
    <row r="16" spans="1:6" x14ac:dyDescent="0.25">
      <c r="D16" s="16"/>
    </row>
    <row r="17" spans="4:15" x14ac:dyDescent="0.25">
      <c r="D17" s="15"/>
    </row>
    <row r="18" spans="4:15" x14ac:dyDescent="0.25">
      <c r="H18" s="15"/>
    </row>
    <row r="26" spans="4:15" x14ac:dyDescent="0.25">
      <c r="D26" s="15"/>
      <c r="K26" s="15"/>
    </row>
    <row r="27" spans="4:15" x14ac:dyDescent="0.25">
      <c r="O27" s="15"/>
    </row>
    <row r="28" spans="4:15" x14ac:dyDescent="0.25">
      <c r="D28" s="15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BTNInicio">
          <controlPr defaultSize="0" autoLine="0" r:id="rId5">
            <anchor moveWithCells="1">
              <from>
                <xdr:col>3</xdr:col>
                <xdr:colOff>9525</xdr:colOff>
                <xdr:row>9</xdr:row>
                <xdr:rowOff>9525</xdr:rowOff>
              </from>
              <to>
                <xdr:col>4</xdr:col>
                <xdr:colOff>285750</xdr:colOff>
                <xdr:row>11</xdr:row>
                <xdr:rowOff>76200</xdr:rowOff>
              </to>
            </anchor>
          </controlPr>
        </control>
      </mc:Choice>
      <mc:Fallback>
        <control shapeId="2049" r:id="rId4" name="BTNInicio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72BBF-5B3A-4616-BEBB-5AE3A4906C9B}">
  <sheetPr codeName="Hoja2"/>
  <dimension ref="A1:J9"/>
  <sheetViews>
    <sheetView workbookViewId="0">
      <selection activeCell="N15" sqref="N15"/>
    </sheetView>
    <sheetView workbookViewId="1">
      <selection activeCell="A2" sqref="A2:N12"/>
    </sheetView>
  </sheetViews>
  <sheetFormatPr baseColWidth="10" defaultRowHeight="15" x14ac:dyDescent="0.25"/>
  <sheetData>
    <row r="1" spans="1:10" x14ac:dyDescent="0.25">
      <c r="A1" t="s">
        <v>693</v>
      </c>
      <c r="B1" t="s">
        <v>694</v>
      </c>
      <c r="C1" t="s">
        <v>695</v>
      </c>
      <c r="D1" t="s">
        <v>696</v>
      </c>
      <c r="E1" t="s">
        <v>697</v>
      </c>
      <c r="F1" t="s">
        <v>698</v>
      </c>
      <c r="G1" t="s">
        <v>691</v>
      </c>
      <c r="H1" t="s">
        <v>700</v>
      </c>
      <c r="I1" t="s">
        <v>699</v>
      </c>
      <c r="J1" t="s">
        <v>701</v>
      </c>
    </row>
    <row r="2" spans="1:10" x14ac:dyDescent="0.25">
      <c r="B2" s="17"/>
      <c r="F2" s="18"/>
      <c r="J2" s="17"/>
    </row>
    <row r="3" spans="1:10" x14ac:dyDescent="0.25">
      <c r="B3" s="17"/>
      <c r="F3" s="18"/>
      <c r="J3" s="17"/>
    </row>
    <row r="4" spans="1:10" x14ac:dyDescent="0.25">
      <c r="B4" s="17"/>
      <c r="F4" s="18"/>
      <c r="J4" s="17"/>
    </row>
    <row r="5" spans="1:10" x14ac:dyDescent="0.25">
      <c r="B5" s="17"/>
      <c r="F5" s="18"/>
      <c r="J5" s="17"/>
    </row>
    <row r="6" spans="1:10" x14ac:dyDescent="0.25">
      <c r="B6" s="19"/>
      <c r="F6" s="18"/>
      <c r="J6" s="19"/>
    </row>
    <row r="7" spans="1:10" x14ac:dyDescent="0.25">
      <c r="B7" s="19"/>
      <c r="F7" s="18"/>
      <c r="J7" s="19"/>
    </row>
    <row r="8" spans="1:10" x14ac:dyDescent="0.25">
      <c r="B8" s="19"/>
      <c r="F8" s="18"/>
      <c r="J8" s="19"/>
    </row>
    <row r="9" spans="1:10" x14ac:dyDescent="0.25">
      <c r="B9" s="19"/>
      <c r="F9" s="18"/>
      <c r="J9" s="1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F0587-776E-42D4-8EE9-43B71C95D1B8}">
  <sheetPr codeName="Hoja3"/>
  <dimension ref="A1:I27"/>
  <sheetViews>
    <sheetView tabSelected="1" workbookViewId="0">
      <selection activeCell="N15" sqref="N15"/>
    </sheetView>
    <sheetView workbookViewId="1">
      <selection activeCell="J27" sqref="A2:J27"/>
    </sheetView>
  </sheetViews>
  <sheetFormatPr baseColWidth="10" defaultRowHeight="15" x14ac:dyDescent="0.25"/>
  <sheetData>
    <row r="1" spans="1:9" x14ac:dyDescent="0.25">
      <c r="A1" t="s">
        <v>693</v>
      </c>
      <c r="B1" t="s">
        <v>694</v>
      </c>
      <c r="C1" t="s">
        <v>695</v>
      </c>
      <c r="D1" t="s">
        <v>696</v>
      </c>
      <c r="E1" t="s">
        <v>697</v>
      </c>
      <c r="F1" t="s">
        <v>698</v>
      </c>
      <c r="G1" t="s">
        <v>691</v>
      </c>
      <c r="I1" t="s">
        <v>699</v>
      </c>
    </row>
    <row r="2" spans="1:9" x14ac:dyDescent="0.25">
      <c r="B2" s="17"/>
      <c r="F2" s="18"/>
    </row>
    <row r="3" spans="1:9" x14ac:dyDescent="0.25">
      <c r="B3" s="17"/>
      <c r="F3" s="18"/>
    </row>
    <row r="4" spans="1:9" x14ac:dyDescent="0.25">
      <c r="B4" s="17"/>
      <c r="F4" s="18"/>
    </row>
    <row r="5" spans="1:9" x14ac:dyDescent="0.25">
      <c r="B5" s="17"/>
      <c r="F5" s="18"/>
    </row>
    <row r="6" spans="1:9" x14ac:dyDescent="0.25">
      <c r="B6" s="17"/>
      <c r="F6" s="18"/>
    </row>
    <row r="7" spans="1:9" x14ac:dyDescent="0.25">
      <c r="B7" s="17"/>
      <c r="F7" s="18"/>
    </row>
    <row r="8" spans="1:9" x14ac:dyDescent="0.25">
      <c r="B8" s="17"/>
      <c r="F8" s="18"/>
    </row>
    <row r="9" spans="1:9" x14ac:dyDescent="0.25">
      <c r="B9" s="17"/>
      <c r="F9" s="18"/>
    </row>
    <row r="10" spans="1:9" x14ac:dyDescent="0.25">
      <c r="B10" s="17"/>
      <c r="F10" s="18"/>
    </row>
    <row r="11" spans="1:9" x14ac:dyDescent="0.25">
      <c r="B11" s="17"/>
      <c r="F11" s="18"/>
    </row>
    <row r="12" spans="1:9" x14ac:dyDescent="0.25">
      <c r="B12" s="17"/>
      <c r="F12" s="18"/>
    </row>
    <row r="13" spans="1:9" x14ac:dyDescent="0.25">
      <c r="B13" s="17"/>
      <c r="F13" s="18"/>
    </row>
    <row r="14" spans="1:9" x14ac:dyDescent="0.25">
      <c r="B14" s="17"/>
      <c r="F14" s="18"/>
    </row>
    <row r="15" spans="1:9" x14ac:dyDescent="0.25">
      <c r="B15" s="17"/>
      <c r="F15" s="18"/>
    </row>
    <row r="16" spans="1:9" x14ac:dyDescent="0.25">
      <c r="B16" s="17"/>
      <c r="F16" s="18"/>
    </row>
    <row r="17" spans="2:6" x14ac:dyDescent="0.25">
      <c r="B17" s="17"/>
      <c r="F17" s="18"/>
    </row>
    <row r="18" spans="2:6" x14ac:dyDescent="0.25">
      <c r="B18" s="17"/>
      <c r="F18" s="18"/>
    </row>
    <row r="19" spans="2:6" x14ac:dyDescent="0.25">
      <c r="B19" s="17"/>
      <c r="F19" s="18"/>
    </row>
    <row r="20" spans="2:6" x14ac:dyDescent="0.25">
      <c r="B20" s="17"/>
      <c r="F20" s="18"/>
    </row>
    <row r="21" spans="2:6" x14ac:dyDescent="0.25">
      <c r="B21" s="17"/>
      <c r="F21" s="18"/>
    </row>
    <row r="22" spans="2:6" x14ac:dyDescent="0.25">
      <c r="B22" s="17"/>
      <c r="F22" s="18"/>
    </row>
    <row r="23" spans="2:6" x14ac:dyDescent="0.25">
      <c r="B23" s="17"/>
      <c r="F23" s="18"/>
    </row>
    <row r="24" spans="2:6" x14ac:dyDescent="0.25">
      <c r="B24" s="17"/>
      <c r="F24" s="18"/>
    </row>
    <row r="25" spans="2:6" x14ac:dyDescent="0.25">
      <c r="B25" s="17"/>
      <c r="F25" s="18"/>
    </row>
    <row r="26" spans="2:6" x14ac:dyDescent="0.25">
      <c r="B26" s="19"/>
      <c r="F26" s="18"/>
    </row>
    <row r="27" spans="2:6" x14ac:dyDescent="0.25">
      <c r="B27" s="19"/>
      <c r="F27" s="1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6317A-6D56-42A5-93FB-E52888D30C9D}">
  <sheetPr codeName="Hoja5"/>
  <dimension ref="A3:V62"/>
  <sheetViews>
    <sheetView topLeftCell="H1" workbookViewId="0"/>
    <sheetView topLeftCell="H1" workbookViewId="1"/>
  </sheetViews>
  <sheetFormatPr baseColWidth="10" defaultRowHeight="15" outlineLevelRow="2" x14ac:dyDescent="0.25"/>
  <cols>
    <col min="1" max="1" width="10.85546875" hidden="1" customWidth="1"/>
    <col min="2" max="2" width="11.140625" hidden="1" customWidth="1"/>
    <col min="3" max="3" width="20.28515625" hidden="1" customWidth="1"/>
    <col min="4" max="4" width="50.28515625" hidden="1" customWidth="1"/>
    <col min="5" max="5" width="12.85546875" hidden="1" customWidth="1"/>
    <col min="6" max="6" width="32" hidden="1" customWidth="1"/>
    <col min="7" max="7" width="11" hidden="1" customWidth="1"/>
    <col min="8" max="8" width="13.7109375" bestFit="1" customWidth="1"/>
    <col min="9" max="9" width="15.85546875" hidden="1" customWidth="1"/>
    <col min="10" max="10" width="9" hidden="1" customWidth="1"/>
    <col min="11" max="11" width="23.42578125" bestFit="1" customWidth="1"/>
    <col min="12" max="12" width="10.5703125" hidden="1" customWidth="1"/>
    <col min="13" max="13" width="8.42578125" hidden="1" customWidth="1"/>
    <col min="14" max="14" width="7.5703125" bestFit="1" customWidth="1"/>
    <col min="15" max="15" width="24.7109375" hidden="1" customWidth="1"/>
    <col min="16" max="16" width="21.42578125" hidden="1" customWidth="1"/>
    <col min="17" max="17" width="23.85546875" bestFit="1" customWidth="1"/>
    <col min="18" max="18" width="20.42578125" bestFit="1" customWidth="1"/>
    <col min="19" max="19" width="12" bestFit="1" customWidth="1"/>
    <col min="20" max="20" width="5.5703125" bestFit="1" customWidth="1"/>
    <col min="21" max="21" width="8.42578125" bestFit="1" customWidth="1"/>
    <col min="22" max="22" width="4.85546875" bestFit="1" customWidth="1"/>
  </cols>
  <sheetData>
    <row r="3" spans="1:22" x14ac:dyDescent="0.25">
      <c r="A3" t="s">
        <v>26</v>
      </c>
      <c r="B3" t="s">
        <v>67</v>
      </c>
      <c r="C3" t="s">
        <v>68</v>
      </c>
      <c r="D3" t="s">
        <v>69</v>
      </c>
      <c r="E3" t="s">
        <v>70</v>
      </c>
      <c r="F3" t="s">
        <v>71</v>
      </c>
      <c r="G3" t="s">
        <v>72</v>
      </c>
      <c r="H3" t="s">
        <v>18</v>
      </c>
      <c r="I3" t="s">
        <v>73</v>
      </c>
      <c r="J3" t="s">
        <v>74</v>
      </c>
      <c r="K3" t="s">
        <v>19</v>
      </c>
      <c r="L3" t="s">
        <v>75</v>
      </c>
      <c r="M3" t="s">
        <v>76</v>
      </c>
      <c r="N3" t="s">
        <v>24</v>
      </c>
      <c r="O3" t="s">
        <v>77</v>
      </c>
      <c r="P3" t="s">
        <v>78</v>
      </c>
      <c r="Q3" t="s">
        <v>21</v>
      </c>
      <c r="R3" t="s">
        <v>22</v>
      </c>
      <c r="S3" t="s">
        <v>20</v>
      </c>
      <c r="T3" t="s">
        <v>79</v>
      </c>
      <c r="U3" t="s">
        <v>80</v>
      </c>
      <c r="V3" t="s">
        <v>81</v>
      </c>
    </row>
    <row r="4" spans="1:22" outlineLevel="2" x14ac:dyDescent="0.25">
      <c r="A4" t="s">
        <v>82</v>
      </c>
      <c r="B4" t="s">
        <v>83</v>
      </c>
      <c r="C4">
        <v>30</v>
      </c>
      <c r="D4" t="s">
        <v>84</v>
      </c>
      <c r="E4">
        <v>184</v>
      </c>
      <c r="F4" t="s">
        <v>85</v>
      </c>
      <c r="G4">
        <v>8651</v>
      </c>
      <c r="H4" t="s">
        <v>38</v>
      </c>
      <c r="I4">
        <v>1000008651</v>
      </c>
      <c r="J4">
        <v>28833292</v>
      </c>
      <c r="K4" t="s">
        <v>627</v>
      </c>
      <c r="L4" t="s">
        <v>87</v>
      </c>
      <c r="M4" t="s">
        <v>88</v>
      </c>
      <c r="N4">
        <v>263.5</v>
      </c>
      <c r="O4">
        <v>14.22</v>
      </c>
      <c r="P4">
        <v>2.2799999999999998</v>
      </c>
      <c r="Q4">
        <v>4.2561999999999998</v>
      </c>
      <c r="R4">
        <v>0.68100000000000005</v>
      </c>
      <c r="S4" t="s">
        <v>647</v>
      </c>
      <c r="T4">
        <v>6</v>
      </c>
      <c r="U4" t="s">
        <v>89</v>
      </c>
    </row>
    <row r="5" spans="1:22" outlineLevel="2" x14ac:dyDescent="0.25">
      <c r="A5" t="s">
        <v>82</v>
      </c>
      <c r="B5" t="s">
        <v>83</v>
      </c>
      <c r="C5">
        <v>30</v>
      </c>
      <c r="D5" t="s">
        <v>84</v>
      </c>
      <c r="E5">
        <v>184</v>
      </c>
      <c r="F5" t="s">
        <v>85</v>
      </c>
      <c r="G5">
        <v>8651</v>
      </c>
      <c r="H5" t="s">
        <v>38</v>
      </c>
      <c r="I5">
        <v>1000008651</v>
      </c>
      <c r="J5">
        <v>28834946</v>
      </c>
      <c r="K5" t="s">
        <v>640</v>
      </c>
      <c r="L5" t="s">
        <v>87</v>
      </c>
      <c r="M5" t="s">
        <v>88</v>
      </c>
      <c r="N5">
        <v>44.5</v>
      </c>
      <c r="O5">
        <v>14.22</v>
      </c>
      <c r="P5">
        <v>2.2799999999999998</v>
      </c>
      <c r="Q5">
        <v>4.2561999999999998</v>
      </c>
      <c r="R5">
        <v>0.68100000000000005</v>
      </c>
      <c r="S5" t="s">
        <v>648</v>
      </c>
      <c r="T5">
        <v>6</v>
      </c>
      <c r="U5" t="s">
        <v>89</v>
      </c>
    </row>
    <row r="6" spans="1:22" outlineLevel="2" x14ac:dyDescent="0.25">
      <c r="A6" t="s">
        <v>82</v>
      </c>
      <c r="B6" t="s">
        <v>83</v>
      </c>
      <c r="C6">
        <v>30</v>
      </c>
      <c r="D6" t="s">
        <v>84</v>
      </c>
      <c r="E6">
        <v>184</v>
      </c>
      <c r="F6" t="s">
        <v>85</v>
      </c>
      <c r="G6">
        <v>8651</v>
      </c>
      <c r="H6" t="s">
        <v>38</v>
      </c>
      <c r="I6">
        <v>1000008651</v>
      </c>
      <c r="J6">
        <v>28834961</v>
      </c>
      <c r="K6" t="s">
        <v>641</v>
      </c>
      <c r="L6" t="s">
        <v>87</v>
      </c>
      <c r="M6" t="s">
        <v>88</v>
      </c>
      <c r="N6">
        <v>170.5</v>
      </c>
      <c r="O6">
        <v>14.22</v>
      </c>
      <c r="P6">
        <v>2.2799999999999998</v>
      </c>
      <c r="Q6">
        <v>4.2561999999999998</v>
      </c>
      <c r="R6">
        <v>0.68100000000000005</v>
      </c>
      <c r="S6" t="s">
        <v>649</v>
      </c>
      <c r="T6">
        <v>6</v>
      </c>
      <c r="U6" t="s">
        <v>89</v>
      </c>
    </row>
    <row r="7" spans="1:22" outlineLevel="2" x14ac:dyDescent="0.25">
      <c r="A7" t="s">
        <v>82</v>
      </c>
      <c r="B7" t="s">
        <v>83</v>
      </c>
      <c r="C7">
        <v>30</v>
      </c>
      <c r="D7" t="s">
        <v>84</v>
      </c>
      <c r="E7">
        <v>184</v>
      </c>
      <c r="F7" t="s">
        <v>85</v>
      </c>
      <c r="G7">
        <v>8651</v>
      </c>
      <c r="H7" t="s">
        <v>38</v>
      </c>
      <c r="I7">
        <v>1000008651</v>
      </c>
      <c r="J7">
        <v>28835797</v>
      </c>
      <c r="K7" t="s">
        <v>646</v>
      </c>
      <c r="L7" t="s">
        <v>87</v>
      </c>
      <c r="M7" t="s">
        <v>88</v>
      </c>
      <c r="N7">
        <v>44.5</v>
      </c>
      <c r="O7">
        <v>14.22</v>
      </c>
      <c r="P7">
        <v>2.2799999999999998</v>
      </c>
      <c r="Q7">
        <v>4.2561999999999998</v>
      </c>
      <c r="R7">
        <v>0.68100000000000005</v>
      </c>
      <c r="S7" t="s">
        <v>650</v>
      </c>
      <c r="T7">
        <v>6</v>
      </c>
      <c r="U7" t="s">
        <v>89</v>
      </c>
    </row>
    <row r="8" spans="1:22" outlineLevel="1" x14ac:dyDescent="0.25">
      <c r="H8" s="9" t="s">
        <v>531</v>
      </c>
      <c r="N8">
        <f>SUBTOTAL(9,N4:N7)</f>
        <v>523</v>
      </c>
    </row>
    <row r="9" spans="1:22" outlineLevel="2" x14ac:dyDescent="0.25">
      <c r="A9" t="s">
        <v>82</v>
      </c>
      <c r="B9" t="s">
        <v>83</v>
      </c>
      <c r="C9">
        <v>30</v>
      </c>
      <c r="D9" t="s">
        <v>84</v>
      </c>
      <c r="E9">
        <v>184</v>
      </c>
      <c r="F9" t="s">
        <v>85</v>
      </c>
      <c r="G9">
        <v>8653</v>
      </c>
      <c r="H9" t="s">
        <v>37</v>
      </c>
      <c r="I9">
        <v>1000008653</v>
      </c>
      <c r="J9">
        <v>28833232</v>
      </c>
      <c r="K9" t="s">
        <v>626</v>
      </c>
      <c r="L9" t="s">
        <v>87</v>
      </c>
      <c r="M9" t="s">
        <v>88</v>
      </c>
      <c r="N9">
        <v>190.5</v>
      </c>
      <c r="O9">
        <v>14.22</v>
      </c>
      <c r="P9">
        <v>2.2799999999999998</v>
      </c>
      <c r="Q9">
        <v>4.2561999999999998</v>
      </c>
      <c r="R9">
        <v>0.68100000000000005</v>
      </c>
      <c r="S9" t="s">
        <v>651</v>
      </c>
      <c r="T9">
        <v>6</v>
      </c>
      <c r="U9" t="s">
        <v>89</v>
      </c>
    </row>
    <row r="10" spans="1:22" outlineLevel="1" x14ac:dyDescent="0.25">
      <c r="H10" s="9" t="s">
        <v>533</v>
      </c>
      <c r="N10">
        <f>SUBTOTAL(9,N9:N9)</f>
        <v>190.5</v>
      </c>
    </row>
    <row r="11" spans="1:22" outlineLevel="2" x14ac:dyDescent="0.25">
      <c r="A11" t="s">
        <v>82</v>
      </c>
      <c r="B11" t="s">
        <v>83</v>
      </c>
      <c r="C11">
        <v>30</v>
      </c>
      <c r="D11" t="s">
        <v>84</v>
      </c>
      <c r="E11">
        <v>184</v>
      </c>
      <c r="F11" t="s">
        <v>85</v>
      </c>
      <c r="G11">
        <v>8654</v>
      </c>
      <c r="H11" t="s">
        <v>30</v>
      </c>
      <c r="I11">
        <v>1000008654</v>
      </c>
      <c r="J11">
        <v>28830043</v>
      </c>
      <c r="K11" t="s">
        <v>610</v>
      </c>
      <c r="L11" t="s">
        <v>87</v>
      </c>
      <c r="M11" t="s">
        <v>88</v>
      </c>
      <c r="N11">
        <v>320.5</v>
      </c>
      <c r="O11">
        <v>14.22</v>
      </c>
      <c r="P11">
        <v>2.2799999999999998</v>
      </c>
      <c r="Q11">
        <v>4.2561999999999998</v>
      </c>
      <c r="R11">
        <v>0.68100000000000005</v>
      </c>
      <c r="S11" t="s">
        <v>652</v>
      </c>
      <c r="T11">
        <v>6</v>
      </c>
      <c r="U11" t="s">
        <v>89</v>
      </c>
    </row>
    <row r="12" spans="1:22" outlineLevel="2" x14ac:dyDescent="0.25">
      <c r="A12" t="s">
        <v>82</v>
      </c>
      <c r="B12" t="s">
        <v>83</v>
      </c>
      <c r="C12">
        <v>30</v>
      </c>
      <c r="D12" t="s">
        <v>84</v>
      </c>
      <c r="E12">
        <v>184</v>
      </c>
      <c r="F12" t="s">
        <v>85</v>
      </c>
      <c r="G12">
        <v>8654</v>
      </c>
      <c r="H12" t="s">
        <v>30</v>
      </c>
      <c r="I12">
        <v>1000008654</v>
      </c>
      <c r="J12">
        <v>28830049</v>
      </c>
      <c r="K12" t="s">
        <v>611</v>
      </c>
      <c r="L12" t="s">
        <v>87</v>
      </c>
      <c r="M12" t="s">
        <v>88</v>
      </c>
      <c r="N12">
        <v>112.5</v>
      </c>
      <c r="O12">
        <v>14.22</v>
      </c>
      <c r="P12">
        <v>2.2799999999999998</v>
      </c>
      <c r="Q12">
        <v>4.2561999999999998</v>
      </c>
      <c r="R12">
        <v>0.68100000000000005</v>
      </c>
      <c r="S12" t="s">
        <v>653</v>
      </c>
      <c r="T12">
        <v>6</v>
      </c>
      <c r="U12" t="s">
        <v>89</v>
      </c>
    </row>
    <row r="13" spans="1:22" outlineLevel="2" x14ac:dyDescent="0.25">
      <c r="A13" t="s">
        <v>82</v>
      </c>
      <c r="B13" t="s">
        <v>83</v>
      </c>
      <c r="C13">
        <v>30</v>
      </c>
      <c r="D13" t="s">
        <v>84</v>
      </c>
      <c r="E13">
        <v>184</v>
      </c>
      <c r="F13" t="s">
        <v>85</v>
      </c>
      <c r="G13">
        <v>8654</v>
      </c>
      <c r="H13" t="s">
        <v>30</v>
      </c>
      <c r="I13">
        <v>1000008654</v>
      </c>
      <c r="J13">
        <v>28830957</v>
      </c>
      <c r="K13" t="s">
        <v>613</v>
      </c>
      <c r="L13" t="s">
        <v>87</v>
      </c>
      <c r="M13" t="s">
        <v>88</v>
      </c>
      <c r="N13">
        <v>89.5</v>
      </c>
      <c r="O13">
        <v>14.22</v>
      </c>
      <c r="P13">
        <v>2.2799999999999998</v>
      </c>
      <c r="Q13">
        <v>4.2561999999999998</v>
      </c>
      <c r="R13">
        <v>0.68100000000000005</v>
      </c>
      <c r="S13" t="s">
        <v>654</v>
      </c>
      <c r="T13">
        <v>6</v>
      </c>
      <c r="U13" t="s">
        <v>89</v>
      </c>
    </row>
    <row r="14" spans="1:22" outlineLevel="2" x14ac:dyDescent="0.25">
      <c r="A14" t="s">
        <v>82</v>
      </c>
      <c r="B14" t="s">
        <v>83</v>
      </c>
      <c r="C14">
        <v>30</v>
      </c>
      <c r="D14" t="s">
        <v>84</v>
      </c>
      <c r="E14">
        <v>184</v>
      </c>
      <c r="F14" t="s">
        <v>85</v>
      </c>
      <c r="G14">
        <v>8654</v>
      </c>
      <c r="H14" t="s">
        <v>30</v>
      </c>
      <c r="I14">
        <v>1000008654</v>
      </c>
      <c r="J14">
        <v>28831759</v>
      </c>
      <c r="K14" t="s">
        <v>616</v>
      </c>
      <c r="L14" t="s">
        <v>87</v>
      </c>
      <c r="M14" t="s">
        <v>88</v>
      </c>
      <c r="N14">
        <v>87.5</v>
      </c>
      <c r="O14">
        <v>14.22</v>
      </c>
      <c r="P14">
        <v>2.2799999999999998</v>
      </c>
      <c r="Q14">
        <v>4.2561999999999998</v>
      </c>
      <c r="R14">
        <v>0.68100000000000005</v>
      </c>
      <c r="S14" t="s">
        <v>655</v>
      </c>
      <c r="T14">
        <v>6</v>
      </c>
      <c r="U14" t="s">
        <v>89</v>
      </c>
    </row>
    <row r="15" spans="1:22" outlineLevel="2" x14ac:dyDescent="0.25">
      <c r="A15" t="s">
        <v>82</v>
      </c>
      <c r="B15" t="s">
        <v>83</v>
      </c>
      <c r="C15">
        <v>30</v>
      </c>
      <c r="D15" t="s">
        <v>84</v>
      </c>
      <c r="E15">
        <v>184</v>
      </c>
      <c r="F15" t="s">
        <v>85</v>
      </c>
      <c r="G15">
        <v>8654</v>
      </c>
      <c r="H15" t="s">
        <v>30</v>
      </c>
      <c r="I15">
        <v>1000008654</v>
      </c>
      <c r="J15">
        <v>28832366</v>
      </c>
      <c r="K15" t="s">
        <v>618</v>
      </c>
      <c r="L15" t="s">
        <v>87</v>
      </c>
      <c r="M15" t="s">
        <v>88</v>
      </c>
      <c r="N15">
        <v>84.5</v>
      </c>
      <c r="O15">
        <v>14.22</v>
      </c>
      <c r="P15">
        <v>2.2799999999999998</v>
      </c>
      <c r="Q15">
        <v>4.2561999999999998</v>
      </c>
      <c r="R15">
        <v>0.68100000000000005</v>
      </c>
      <c r="S15" t="s">
        <v>656</v>
      </c>
      <c r="T15">
        <v>6</v>
      </c>
      <c r="U15" t="s">
        <v>89</v>
      </c>
    </row>
    <row r="16" spans="1:22" outlineLevel="2" x14ac:dyDescent="0.25">
      <c r="A16" t="s">
        <v>82</v>
      </c>
      <c r="B16" t="s">
        <v>83</v>
      </c>
      <c r="C16">
        <v>30</v>
      </c>
      <c r="D16" t="s">
        <v>84</v>
      </c>
      <c r="E16">
        <v>184</v>
      </c>
      <c r="F16" t="s">
        <v>85</v>
      </c>
      <c r="G16">
        <v>8654</v>
      </c>
      <c r="H16" t="s">
        <v>30</v>
      </c>
      <c r="I16">
        <v>1000008654</v>
      </c>
      <c r="J16">
        <v>28834072</v>
      </c>
      <c r="K16" t="s">
        <v>634</v>
      </c>
      <c r="L16" t="s">
        <v>87</v>
      </c>
      <c r="M16" t="s">
        <v>88</v>
      </c>
      <c r="N16">
        <v>3095.5</v>
      </c>
      <c r="O16">
        <v>14.22</v>
      </c>
      <c r="P16">
        <v>2.2799999999999998</v>
      </c>
      <c r="Q16">
        <v>4.2561999999999998</v>
      </c>
      <c r="R16">
        <v>0.68100000000000005</v>
      </c>
      <c r="S16" t="s">
        <v>657</v>
      </c>
      <c r="T16">
        <v>6</v>
      </c>
      <c r="U16" t="s">
        <v>89</v>
      </c>
    </row>
    <row r="17" spans="1:21" outlineLevel="2" x14ac:dyDescent="0.25">
      <c r="A17" t="s">
        <v>82</v>
      </c>
      <c r="B17" t="s">
        <v>83</v>
      </c>
      <c r="C17">
        <v>30</v>
      </c>
      <c r="D17" t="s">
        <v>84</v>
      </c>
      <c r="E17">
        <v>184</v>
      </c>
      <c r="F17" t="s">
        <v>85</v>
      </c>
      <c r="G17">
        <v>8654</v>
      </c>
      <c r="H17" t="s">
        <v>30</v>
      </c>
      <c r="I17">
        <v>1000008654</v>
      </c>
      <c r="J17">
        <v>28834089</v>
      </c>
      <c r="K17" t="s">
        <v>635</v>
      </c>
      <c r="L17" t="s">
        <v>556</v>
      </c>
      <c r="M17" t="s">
        <v>88</v>
      </c>
      <c r="N17">
        <v>111.5</v>
      </c>
      <c r="O17">
        <v>14.22</v>
      </c>
      <c r="P17">
        <v>2.2799999999999998</v>
      </c>
      <c r="Q17">
        <v>4.2561999999999998</v>
      </c>
      <c r="R17">
        <v>0.68100000000000005</v>
      </c>
      <c r="S17" t="s">
        <v>658</v>
      </c>
      <c r="T17">
        <v>6</v>
      </c>
      <c r="U17" t="s">
        <v>89</v>
      </c>
    </row>
    <row r="18" spans="1:21" outlineLevel="2" x14ac:dyDescent="0.25">
      <c r="A18" t="s">
        <v>82</v>
      </c>
      <c r="B18" t="s">
        <v>83</v>
      </c>
      <c r="C18">
        <v>30</v>
      </c>
      <c r="D18" t="s">
        <v>84</v>
      </c>
      <c r="E18">
        <v>184</v>
      </c>
      <c r="F18" t="s">
        <v>85</v>
      </c>
      <c r="G18">
        <v>8654</v>
      </c>
      <c r="H18" t="s">
        <v>30</v>
      </c>
      <c r="I18">
        <v>1000008654</v>
      </c>
      <c r="J18">
        <v>28834328</v>
      </c>
      <c r="K18" t="s">
        <v>636</v>
      </c>
      <c r="L18" t="s">
        <v>87</v>
      </c>
      <c r="M18" t="s">
        <v>88</v>
      </c>
      <c r="N18">
        <v>163.5</v>
      </c>
      <c r="O18">
        <v>14.22</v>
      </c>
      <c r="P18">
        <v>2.2799999999999998</v>
      </c>
      <c r="Q18">
        <v>4.2561999999999998</v>
      </c>
      <c r="R18">
        <v>0.68100000000000005</v>
      </c>
      <c r="S18" t="s">
        <v>659</v>
      </c>
      <c r="T18">
        <v>6</v>
      </c>
      <c r="U18" t="s">
        <v>89</v>
      </c>
    </row>
    <row r="19" spans="1:21" outlineLevel="1" x14ac:dyDescent="0.25">
      <c r="H19" s="9" t="s">
        <v>534</v>
      </c>
      <c r="N19">
        <f>SUBTOTAL(9,N11:N18)</f>
        <v>4065</v>
      </c>
    </row>
    <row r="20" spans="1:21" outlineLevel="2" x14ac:dyDescent="0.25">
      <c r="A20" t="s">
        <v>82</v>
      </c>
      <c r="B20" t="s">
        <v>83</v>
      </c>
      <c r="C20">
        <v>30</v>
      </c>
      <c r="D20" t="s">
        <v>84</v>
      </c>
      <c r="E20">
        <v>184</v>
      </c>
      <c r="F20" t="s">
        <v>85</v>
      </c>
      <c r="G20">
        <v>8655</v>
      </c>
      <c r="H20" t="s">
        <v>29</v>
      </c>
      <c r="I20">
        <v>1000008655</v>
      </c>
      <c r="J20">
        <v>28832836</v>
      </c>
      <c r="K20" t="s">
        <v>624</v>
      </c>
      <c r="L20" t="s">
        <v>87</v>
      </c>
      <c r="M20" t="s">
        <v>88</v>
      </c>
      <c r="N20">
        <v>127.5</v>
      </c>
      <c r="O20">
        <v>14.22</v>
      </c>
      <c r="P20">
        <v>2.2799999999999998</v>
      </c>
      <c r="Q20">
        <v>4.2561999999999998</v>
      </c>
      <c r="R20">
        <v>0.68100000000000005</v>
      </c>
      <c r="S20" t="s">
        <v>660</v>
      </c>
      <c r="T20">
        <v>6</v>
      </c>
      <c r="U20" t="s">
        <v>89</v>
      </c>
    </row>
    <row r="21" spans="1:21" outlineLevel="1" x14ac:dyDescent="0.25">
      <c r="H21" s="9" t="s">
        <v>535</v>
      </c>
      <c r="N21">
        <f>SUBTOTAL(9,N20:N20)</f>
        <v>127.5</v>
      </c>
    </row>
    <row r="22" spans="1:21" outlineLevel="2" x14ac:dyDescent="0.25">
      <c r="A22" t="s">
        <v>82</v>
      </c>
      <c r="B22" t="s">
        <v>83</v>
      </c>
      <c r="C22">
        <v>30</v>
      </c>
      <c r="D22" t="s">
        <v>84</v>
      </c>
      <c r="E22">
        <v>184</v>
      </c>
      <c r="F22" t="s">
        <v>85</v>
      </c>
      <c r="G22">
        <v>8657</v>
      </c>
      <c r="H22" t="s">
        <v>44</v>
      </c>
      <c r="I22">
        <v>1000008657</v>
      </c>
      <c r="J22">
        <v>28833885</v>
      </c>
      <c r="K22" t="s">
        <v>633</v>
      </c>
      <c r="L22" t="s">
        <v>87</v>
      </c>
      <c r="M22" t="s">
        <v>88</v>
      </c>
      <c r="N22">
        <v>154.5</v>
      </c>
      <c r="O22">
        <v>14.22</v>
      </c>
      <c r="P22">
        <v>2.2799999999999998</v>
      </c>
      <c r="Q22">
        <v>4.2561999999999998</v>
      </c>
      <c r="R22">
        <v>0.68100000000000005</v>
      </c>
      <c r="S22" t="s">
        <v>661</v>
      </c>
      <c r="T22">
        <v>6</v>
      </c>
      <c r="U22" t="s">
        <v>89</v>
      </c>
    </row>
    <row r="23" spans="1:21" outlineLevel="1" x14ac:dyDescent="0.25">
      <c r="H23" s="9" t="s">
        <v>537</v>
      </c>
      <c r="N23">
        <f>SUBTOTAL(9,N22:N22)</f>
        <v>154.5</v>
      </c>
    </row>
    <row r="24" spans="1:21" outlineLevel="2" x14ac:dyDescent="0.25">
      <c r="A24" t="s">
        <v>82</v>
      </c>
      <c r="B24" t="s">
        <v>83</v>
      </c>
      <c r="C24">
        <v>30</v>
      </c>
      <c r="D24" t="s">
        <v>84</v>
      </c>
      <c r="E24">
        <v>184</v>
      </c>
      <c r="F24" t="s">
        <v>85</v>
      </c>
      <c r="G24">
        <v>8658</v>
      </c>
      <c r="H24" t="s">
        <v>33</v>
      </c>
      <c r="I24">
        <v>1000008658</v>
      </c>
      <c r="J24">
        <v>28830021</v>
      </c>
      <c r="K24" t="s">
        <v>609</v>
      </c>
      <c r="L24" t="s">
        <v>87</v>
      </c>
      <c r="M24" t="s">
        <v>88</v>
      </c>
      <c r="N24">
        <v>228.5</v>
      </c>
      <c r="O24">
        <v>14.22</v>
      </c>
      <c r="P24">
        <v>2.2799999999999998</v>
      </c>
      <c r="Q24">
        <v>4.2561999999999998</v>
      </c>
      <c r="R24">
        <v>0.68100000000000005</v>
      </c>
      <c r="S24" t="s">
        <v>662</v>
      </c>
      <c r="T24">
        <v>6</v>
      </c>
      <c r="U24" t="s">
        <v>89</v>
      </c>
    </row>
    <row r="25" spans="1:21" outlineLevel="2" x14ac:dyDescent="0.25">
      <c r="A25" t="s">
        <v>82</v>
      </c>
      <c r="B25" t="s">
        <v>83</v>
      </c>
      <c r="C25">
        <v>30</v>
      </c>
      <c r="D25" t="s">
        <v>84</v>
      </c>
      <c r="E25">
        <v>184</v>
      </c>
      <c r="F25" t="s">
        <v>85</v>
      </c>
      <c r="G25">
        <v>8658</v>
      </c>
      <c r="H25" t="s">
        <v>33</v>
      </c>
      <c r="I25">
        <v>1000008658</v>
      </c>
      <c r="J25">
        <v>28833454</v>
      </c>
      <c r="K25" t="s">
        <v>631</v>
      </c>
      <c r="L25" t="s">
        <v>87</v>
      </c>
      <c r="M25" t="s">
        <v>88</v>
      </c>
      <c r="N25">
        <v>144.5</v>
      </c>
      <c r="O25">
        <v>14.22</v>
      </c>
      <c r="P25">
        <v>2.2799999999999998</v>
      </c>
      <c r="Q25">
        <v>4.2561999999999998</v>
      </c>
      <c r="R25">
        <v>0.68100000000000005</v>
      </c>
      <c r="S25" t="s">
        <v>663</v>
      </c>
      <c r="T25">
        <v>6</v>
      </c>
      <c r="U25" t="s">
        <v>89</v>
      </c>
    </row>
    <row r="26" spans="1:21" outlineLevel="2" x14ac:dyDescent="0.25">
      <c r="A26" t="s">
        <v>82</v>
      </c>
      <c r="B26" t="s">
        <v>83</v>
      </c>
      <c r="C26">
        <v>30</v>
      </c>
      <c r="D26" t="s">
        <v>84</v>
      </c>
      <c r="E26">
        <v>184</v>
      </c>
      <c r="F26" t="s">
        <v>85</v>
      </c>
      <c r="G26">
        <v>8658</v>
      </c>
      <c r="H26" t="s">
        <v>33</v>
      </c>
      <c r="I26">
        <v>1000008658</v>
      </c>
      <c r="J26">
        <v>28834344</v>
      </c>
      <c r="K26" t="s">
        <v>637</v>
      </c>
      <c r="L26" t="s">
        <v>87</v>
      </c>
      <c r="M26" t="s">
        <v>88</v>
      </c>
      <c r="N26">
        <v>158.5</v>
      </c>
      <c r="O26">
        <v>14.22</v>
      </c>
      <c r="P26">
        <v>2.2799999999999998</v>
      </c>
      <c r="Q26">
        <v>4.2561999999999998</v>
      </c>
      <c r="R26">
        <v>0.68100000000000005</v>
      </c>
      <c r="S26" t="s">
        <v>664</v>
      </c>
      <c r="T26">
        <v>6</v>
      </c>
      <c r="U26" t="s">
        <v>89</v>
      </c>
    </row>
    <row r="27" spans="1:21" outlineLevel="1" x14ac:dyDescent="0.25">
      <c r="H27" s="9" t="s">
        <v>538</v>
      </c>
      <c r="N27">
        <f>SUBTOTAL(9,N24:N26)</f>
        <v>531.5</v>
      </c>
    </row>
    <row r="28" spans="1:21" outlineLevel="2" x14ac:dyDescent="0.25">
      <c r="A28" t="s">
        <v>82</v>
      </c>
      <c r="B28" t="s">
        <v>83</v>
      </c>
      <c r="C28">
        <v>30</v>
      </c>
      <c r="D28" t="s">
        <v>84</v>
      </c>
      <c r="E28">
        <v>184</v>
      </c>
      <c r="F28" t="s">
        <v>85</v>
      </c>
      <c r="G28">
        <v>8659</v>
      </c>
      <c r="H28" t="s">
        <v>32</v>
      </c>
      <c r="I28">
        <v>1000008659</v>
      </c>
      <c r="J28">
        <v>28832661</v>
      </c>
      <c r="K28" t="s">
        <v>621</v>
      </c>
      <c r="L28" t="s">
        <v>87</v>
      </c>
      <c r="M28" t="s">
        <v>88</v>
      </c>
      <c r="N28">
        <v>364.5</v>
      </c>
      <c r="O28">
        <v>14.22</v>
      </c>
      <c r="P28">
        <v>2.2799999999999998</v>
      </c>
      <c r="Q28">
        <v>4.2561999999999998</v>
      </c>
      <c r="R28">
        <v>0.68100000000000005</v>
      </c>
      <c r="S28" t="s">
        <v>665</v>
      </c>
      <c r="T28">
        <v>6</v>
      </c>
      <c r="U28" t="s">
        <v>89</v>
      </c>
    </row>
    <row r="29" spans="1:21" outlineLevel="2" x14ac:dyDescent="0.25">
      <c r="A29" t="s">
        <v>82</v>
      </c>
      <c r="B29" t="s">
        <v>83</v>
      </c>
      <c r="C29">
        <v>30</v>
      </c>
      <c r="D29" t="s">
        <v>84</v>
      </c>
      <c r="E29">
        <v>184</v>
      </c>
      <c r="F29" t="s">
        <v>85</v>
      </c>
      <c r="G29">
        <v>8659</v>
      </c>
      <c r="H29" t="s">
        <v>32</v>
      </c>
      <c r="I29">
        <v>1000008659</v>
      </c>
      <c r="J29">
        <v>28832694</v>
      </c>
      <c r="K29" t="s">
        <v>622</v>
      </c>
      <c r="L29" t="s">
        <v>87</v>
      </c>
      <c r="M29" t="s">
        <v>88</v>
      </c>
      <c r="N29">
        <v>314.5</v>
      </c>
      <c r="O29">
        <v>14.22</v>
      </c>
      <c r="P29">
        <v>2.2799999999999998</v>
      </c>
      <c r="Q29">
        <v>4.2561999999999998</v>
      </c>
      <c r="R29">
        <v>0.68100000000000005</v>
      </c>
      <c r="S29" t="s">
        <v>666</v>
      </c>
      <c r="T29">
        <v>6</v>
      </c>
      <c r="U29" t="s">
        <v>89</v>
      </c>
    </row>
    <row r="30" spans="1:21" outlineLevel="2" x14ac:dyDescent="0.25">
      <c r="A30" t="s">
        <v>82</v>
      </c>
      <c r="B30" t="s">
        <v>83</v>
      </c>
      <c r="C30">
        <v>30</v>
      </c>
      <c r="D30" t="s">
        <v>84</v>
      </c>
      <c r="E30">
        <v>184</v>
      </c>
      <c r="F30" t="s">
        <v>85</v>
      </c>
      <c r="G30">
        <v>8659</v>
      </c>
      <c r="H30" t="s">
        <v>32</v>
      </c>
      <c r="I30">
        <v>1000008659</v>
      </c>
      <c r="J30">
        <v>28832707</v>
      </c>
      <c r="K30" t="s">
        <v>623</v>
      </c>
      <c r="L30" t="s">
        <v>87</v>
      </c>
      <c r="M30" t="s">
        <v>88</v>
      </c>
      <c r="N30">
        <v>121.5</v>
      </c>
      <c r="O30">
        <v>14.22</v>
      </c>
      <c r="P30">
        <v>2.2799999999999998</v>
      </c>
      <c r="Q30">
        <v>4.2561999999999998</v>
      </c>
      <c r="R30">
        <v>0.68100000000000005</v>
      </c>
      <c r="S30" t="s">
        <v>667</v>
      </c>
      <c r="T30">
        <v>6</v>
      </c>
      <c r="U30" t="s">
        <v>89</v>
      </c>
    </row>
    <row r="31" spans="1:21" outlineLevel="2" x14ac:dyDescent="0.25">
      <c r="A31" t="s">
        <v>82</v>
      </c>
      <c r="B31" t="s">
        <v>83</v>
      </c>
      <c r="C31">
        <v>30</v>
      </c>
      <c r="D31" t="s">
        <v>84</v>
      </c>
      <c r="E31">
        <v>184</v>
      </c>
      <c r="F31" t="s">
        <v>85</v>
      </c>
      <c r="G31">
        <v>8659</v>
      </c>
      <c r="H31" t="s">
        <v>32</v>
      </c>
      <c r="I31">
        <v>1000008659</v>
      </c>
      <c r="J31">
        <v>28834940</v>
      </c>
      <c r="K31" t="s">
        <v>639</v>
      </c>
      <c r="L31" t="s">
        <v>87</v>
      </c>
      <c r="M31" t="s">
        <v>88</v>
      </c>
      <c r="N31">
        <v>216.5</v>
      </c>
      <c r="O31">
        <v>14.22</v>
      </c>
      <c r="P31">
        <v>2.2799999999999998</v>
      </c>
      <c r="Q31">
        <v>4.2561999999999998</v>
      </c>
      <c r="R31">
        <v>0.68100000000000005</v>
      </c>
      <c r="S31" t="s">
        <v>668</v>
      </c>
      <c r="T31">
        <v>6</v>
      </c>
      <c r="U31" t="s">
        <v>89</v>
      </c>
    </row>
    <row r="32" spans="1:21" outlineLevel="1" x14ac:dyDescent="0.25">
      <c r="H32" s="9" t="s">
        <v>539</v>
      </c>
      <c r="N32">
        <f>SUBTOTAL(9,N28:N31)</f>
        <v>1017</v>
      </c>
    </row>
    <row r="33" spans="1:21" outlineLevel="2" x14ac:dyDescent="0.25">
      <c r="A33" t="s">
        <v>82</v>
      </c>
      <c r="B33" t="s">
        <v>83</v>
      </c>
      <c r="C33">
        <v>30</v>
      </c>
      <c r="D33" t="s">
        <v>84</v>
      </c>
      <c r="E33">
        <v>184</v>
      </c>
      <c r="F33" t="s">
        <v>85</v>
      </c>
      <c r="G33">
        <v>8660</v>
      </c>
      <c r="H33" t="s">
        <v>35</v>
      </c>
      <c r="I33">
        <v>1000008660</v>
      </c>
      <c r="J33">
        <v>28833048</v>
      </c>
      <c r="K33" t="s">
        <v>625</v>
      </c>
      <c r="L33" t="s">
        <v>556</v>
      </c>
      <c r="M33" t="s">
        <v>88</v>
      </c>
      <c r="N33">
        <v>264.5</v>
      </c>
      <c r="O33">
        <v>14.22</v>
      </c>
      <c r="P33">
        <v>2.2799999999999998</v>
      </c>
      <c r="Q33">
        <v>4.2561999999999998</v>
      </c>
      <c r="R33">
        <v>0.68100000000000005</v>
      </c>
      <c r="S33" t="s">
        <v>669</v>
      </c>
      <c r="T33">
        <v>6</v>
      </c>
      <c r="U33" t="s">
        <v>89</v>
      </c>
    </row>
    <row r="34" spans="1:21" outlineLevel="1" x14ac:dyDescent="0.25">
      <c r="H34" s="9" t="s">
        <v>540</v>
      </c>
      <c r="N34">
        <f>SUBTOTAL(9,N33:N33)</f>
        <v>264.5</v>
      </c>
    </row>
    <row r="35" spans="1:21" outlineLevel="2" x14ac:dyDescent="0.25">
      <c r="A35" t="s">
        <v>82</v>
      </c>
      <c r="B35" t="s">
        <v>83</v>
      </c>
      <c r="C35">
        <v>30</v>
      </c>
      <c r="D35" t="s">
        <v>84</v>
      </c>
      <c r="E35">
        <v>184</v>
      </c>
      <c r="F35" t="s">
        <v>85</v>
      </c>
      <c r="G35">
        <v>8661</v>
      </c>
      <c r="H35" t="s">
        <v>39</v>
      </c>
      <c r="I35">
        <v>1000008661</v>
      </c>
      <c r="J35">
        <v>28832481</v>
      </c>
      <c r="K35" t="s">
        <v>619</v>
      </c>
      <c r="L35" t="s">
        <v>87</v>
      </c>
      <c r="M35" t="s">
        <v>88</v>
      </c>
      <c r="N35">
        <v>399.5</v>
      </c>
      <c r="O35">
        <v>14.22</v>
      </c>
      <c r="P35">
        <v>2.2799999999999998</v>
      </c>
      <c r="Q35">
        <v>4.2561999999999998</v>
      </c>
      <c r="R35">
        <v>0.68100000000000005</v>
      </c>
      <c r="S35" t="s">
        <v>670</v>
      </c>
      <c r="T35">
        <v>6</v>
      </c>
      <c r="U35" t="s">
        <v>89</v>
      </c>
    </row>
    <row r="36" spans="1:21" outlineLevel="2" x14ac:dyDescent="0.25">
      <c r="A36" t="s">
        <v>82</v>
      </c>
      <c r="B36" t="s">
        <v>83</v>
      </c>
      <c r="C36">
        <v>30</v>
      </c>
      <c r="D36" t="s">
        <v>84</v>
      </c>
      <c r="E36">
        <v>184</v>
      </c>
      <c r="F36" t="s">
        <v>85</v>
      </c>
      <c r="G36">
        <v>8661</v>
      </c>
      <c r="H36" t="s">
        <v>39</v>
      </c>
      <c r="I36">
        <v>1000008661</v>
      </c>
      <c r="J36">
        <v>28835105</v>
      </c>
      <c r="K36" t="s">
        <v>642</v>
      </c>
      <c r="L36" t="s">
        <v>87</v>
      </c>
      <c r="M36" t="s">
        <v>88</v>
      </c>
      <c r="N36">
        <v>76.5</v>
      </c>
      <c r="O36">
        <v>14.22</v>
      </c>
      <c r="P36">
        <v>2.2799999999999998</v>
      </c>
      <c r="Q36">
        <v>4.2561999999999998</v>
      </c>
      <c r="R36">
        <v>0.68100000000000005</v>
      </c>
      <c r="S36" t="s">
        <v>671</v>
      </c>
      <c r="T36">
        <v>6</v>
      </c>
      <c r="U36" t="s">
        <v>89</v>
      </c>
    </row>
    <row r="37" spans="1:21" outlineLevel="1" x14ac:dyDescent="0.25">
      <c r="H37" s="9" t="s">
        <v>541</v>
      </c>
      <c r="N37">
        <f>SUBTOTAL(9,N35:N36)</f>
        <v>476</v>
      </c>
    </row>
    <row r="38" spans="1:21" outlineLevel="2" x14ac:dyDescent="0.25">
      <c r="A38" t="s">
        <v>82</v>
      </c>
      <c r="B38" t="s">
        <v>83</v>
      </c>
      <c r="C38">
        <v>30</v>
      </c>
      <c r="D38" t="s">
        <v>84</v>
      </c>
      <c r="E38">
        <v>184</v>
      </c>
      <c r="F38" t="s">
        <v>85</v>
      </c>
      <c r="G38">
        <v>8662</v>
      </c>
      <c r="H38" t="s">
        <v>36</v>
      </c>
      <c r="I38">
        <v>1000008662</v>
      </c>
      <c r="J38">
        <v>28833491</v>
      </c>
      <c r="K38" t="s">
        <v>632</v>
      </c>
      <c r="L38" t="s">
        <v>556</v>
      </c>
      <c r="M38" t="s">
        <v>88</v>
      </c>
      <c r="N38">
        <v>236.5</v>
      </c>
      <c r="O38">
        <v>14.22</v>
      </c>
      <c r="P38">
        <v>2.2799999999999998</v>
      </c>
      <c r="Q38">
        <v>4.2561999999999998</v>
      </c>
      <c r="R38">
        <v>0.68100000000000005</v>
      </c>
      <c r="S38" t="s">
        <v>672</v>
      </c>
      <c r="T38">
        <v>6</v>
      </c>
      <c r="U38" t="s">
        <v>89</v>
      </c>
    </row>
    <row r="39" spans="1:21" outlineLevel="2" x14ac:dyDescent="0.25">
      <c r="A39" t="s">
        <v>82</v>
      </c>
      <c r="B39" t="s">
        <v>83</v>
      </c>
      <c r="C39">
        <v>30</v>
      </c>
      <c r="D39" t="s">
        <v>84</v>
      </c>
      <c r="E39">
        <v>184</v>
      </c>
      <c r="F39" t="s">
        <v>85</v>
      </c>
      <c r="G39">
        <v>8662</v>
      </c>
      <c r="H39" t="s">
        <v>36</v>
      </c>
      <c r="I39">
        <v>1000008662</v>
      </c>
      <c r="J39">
        <v>28835791</v>
      </c>
      <c r="K39" t="s">
        <v>645</v>
      </c>
      <c r="L39" t="s">
        <v>87</v>
      </c>
      <c r="M39" t="s">
        <v>88</v>
      </c>
      <c r="N39">
        <v>96.5</v>
      </c>
      <c r="O39">
        <v>14.22</v>
      </c>
      <c r="P39">
        <v>2.2799999999999998</v>
      </c>
      <c r="Q39">
        <v>4.2561999999999998</v>
      </c>
      <c r="R39">
        <v>0.68100000000000005</v>
      </c>
      <c r="S39" t="s">
        <v>673</v>
      </c>
      <c r="T39">
        <v>6</v>
      </c>
      <c r="U39" t="s">
        <v>89</v>
      </c>
    </row>
    <row r="40" spans="1:21" outlineLevel="1" x14ac:dyDescent="0.25">
      <c r="H40" s="9" t="s">
        <v>542</v>
      </c>
      <c r="N40">
        <f>SUBTOTAL(9,N38:N39)</f>
        <v>333</v>
      </c>
    </row>
    <row r="41" spans="1:21" outlineLevel="2" x14ac:dyDescent="0.25">
      <c r="A41" t="s">
        <v>82</v>
      </c>
      <c r="B41" t="s">
        <v>83</v>
      </c>
      <c r="C41">
        <v>30</v>
      </c>
      <c r="D41" t="s">
        <v>84</v>
      </c>
      <c r="E41">
        <v>184</v>
      </c>
      <c r="F41" t="s">
        <v>85</v>
      </c>
      <c r="G41">
        <v>8663</v>
      </c>
      <c r="H41" t="s">
        <v>42</v>
      </c>
      <c r="I41">
        <v>1000008663</v>
      </c>
      <c r="J41">
        <v>28831660</v>
      </c>
      <c r="K41" t="s">
        <v>614</v>
      </c>
      <c r="L41" t="s">
        <v>87</v>
      </c>
      <c r="M41" t="s">
        <v>88</v>
      </c>
      <c r="N41">
        <v>174.5</v>
      </c>
      <c r="O41">
        <v>14.22</v>
      </c>
      <c r="P41">
        <v>2.2799999999999998</v>
      </c>
      <c r="Q41">
        <v>4.2561999999999998</v>
      </c>
      <c r="R41">
        <v>0.68100000000000005</v>
      </c>
      <c r="S41" t="s">
        <v>674</v>
      </c>
      <c r="T41">
        <v>6</v>
      </c>
      <c r="U41" t="s">
        <v>89</v>
      </c>
    </row>
    <row r="42" spans="1:21" outlineLevel="2" x14ac:dyDescent="0.25">
      <c r="A42" t="s">
        <v>82</v>
      </c>
      <c r="B42" t="s">
        <v>83</v>
      </c>
      <c r="C42">
        <v>30</v>
      </c>
      <c r="D42" t="s">
        <v>84</v>
      </c>
      <c r="E42">
        <v>184</v>
      </c>
      <c r="F42" t="s">
        <v>85</v>
      </c>
      <c r="G42">
        <v>8663</v>
      </c>
      <c r="H42" t="s">
        <v>42</v>
      </c>
      <c r="I42">
        <v>1000008663</v>
      </c>
      <c r="J42">
        <v>28831838</v>
      </c>
      <c r="K42" t="s">
        <v>617</v>
      </c>
      <c r="L42" t="s">
        <v>556</v>
      </c>
      <c r="M42" t="s">
        <v>88</v>
      </c>
      <c r="N42">
        <v>344.5</v>
      </c>
      <c r="O42">
        <v>14.22</v>
      </c>
      <c r="P42">
        <v>2.2799999999999998</v>
      </c>
      <c r="Q42">
        <v>4.2561999999999998</v>
      </c>
      <c r="R42">
        <v>0.68100000000000005</v>
      </c>
      <c r="S42" t="s">
        <v>675</v>
      </c>
      <c r="T42">
        <v>6</v>
      </c>
      <c r="U42" t="s">
        <v>89</v>
      </c>
    </row>
    <row r="43" spans="1:21" outlineLevel="1" x14ac:dyDescent="0.25">
      <c r="H43" s="9" t="s">
        <v>543</v>
      </c>
      <c r="N43">
        <f>SUBTOTAL(9,N41:N42)</f>
        <v>519</v>
      </c>
    </row>
    <row r="44" spans="1:21" outlineLevel="2" x14ac:dyDescent="0.25">
      <c r="A44" t="s">
        <v>82</v>
      </c>
      <c r="B44" t="s">
        <v>83</v>
      </c>
      <c r="C44">
        <v>30</v>
      </c>
      <c r="D44" t="s">
        <v>84</v>
      </c>
      <c r="E44">
        <v>184</v>
      </c>
      <c r="F44" t="s">
        <v>85</v>
      </c>
      <c r="G44">
        <v>8664</v>
      </c>
      <c r="H44" t="s">
        <v>27</v>
      </c>
      <c r="I44">
        <v>1000008664</v>
      </c>
      <c r="J44">
        <v>28831679</v>
      </c>
      <c r="K44" t="s">
        <v>615</v>
      </c>
      <c r="L44" t="s">
        <v>556</v>
      </c>
      <c r="M44" t="s">
        <v>88</v>
      </c>
      <c r="N44">
        <v>186.5</v>
      </c>
      <c r="O44">
        <v>14.22</v>
      </c>
      <c r="P44">
        <v>2.2799999999999998</v>
      </c>
      <c r="Q44">
        <v>4.2561999999999998</v>
      </c>
      <c r="R44">
        <v>0.68100000000000005</v>
      </c>
      <c r="S44" t="s">
        <v>676</v>
      </c>
      <c r="T44">
        <v>6</v>
      </c>
      <c r="U44" t="s">
        <v>89</v>
      </c>
    </row>
    <row r="45" spans="1:21" outlineLevel="2" x14ac:dyDescent="0.25">
      <c r="A45" t="s">
        <v>82</v>
      </c>
      <c r="B45" t="s">
        <v>83</v>
      </c>
      <c r="C45">
        <v>30</v>
      </c>
      <c r="D45" t="s">
        <v>84</v>
      </c>
      <c r="E45">
        <v>184</v>
      </c>
      <c r="F45" t="s">
        <v>85</v>
      </c>
      <c r="G45">
        <v>8664</v>
      </c>
      <c r="H45" t="s">
        <v>27</v>
      </c>
      <c r="I45">
        <v>1000008664</v>
      </c>
      <c r="J45">
        <v>28833327</v>
      </c>
      <c r="K45" t="s">
        <v>628</v>
      </c>
      <c r="L45" t="s">
        <v>556</v>
      </c>
      <c r="M45" t="s">
        <v>88</v>
      </c>
      <c r="N45">
        <v>351.5</v>
      </c>
      <c r="O45">
        <v>14.22</v>
      </c>
      <c r="P45">
        <v>2.2799999999999998</v>
      </c>
      <c r="Q45">
        <v>4.2561999999999998</v>
      </c>
      <c r="R45">
        <v>0.68100000000000005</v>
      </c>
      <c r="S45" t="s">
        <v>677</v>
      </c>
      <c r="T45">
        <v>6</v>
      </c>
      <c r="U45" t="s">
        <v>89</v>
      </c>
    </row>
    <row r="46" spans="1:21" outlineLevel="2" x14ac:dyDescent="0.25">
      <c r="A46" t="s">
        <v>82</v>
      </c>
      <c r="B46" t="s">
        <v>83</v>
      </c>
      <c r="C46">
        <v>30</v>
      </c>
      <c r="D46" t="s">
        <v>84</v>
      </c>
      <c r="E46">
        <v>184</v>
      </c>
      <c r="F46" t="s">
        <v>85</v>
      </c>
      <c r="G46">
        <v>8664</v>
      </c>
      <c r="H46" t="s">
        <v>27</v>
      </c>
      <c r="I46">
        <v>1000008664</v>
      </c>
      <c r="J46">
        <v>28833336</v>
      </c>
      <c r="K46" t="s">
        <v>629</v>
      </c>
      <c r="L46" t="s">
        <v>556</v>
      </c>
      <c r="M46" t="s">
        <v>88</v>
      </c>
      <c r="N46">
        <v>44.5</v>
      </c>
      <c r="O46">
        <v>14.22</v>
      </c>
      <c r="P46">
        <v>2.2799999999999998</v>
      </c>
      <c r="Q46">
        <v>4.2561999999999998</v>
      </c>
      <c r="R46">
        <v>0.68100000000000005</v>
      </c>
      <c r="S46" t="s">
        <v>678</v>
      </c>
      <c r="T46">
        <v>6</v>
      </c>
      <c r="U46" t="s">
        <v>89</v>
      </c>
    </row>
    <row r="47" spans="1:21" outlineLevel="1" x14ac:dyDescent="0.25">
      <c r="H47" s="9" t="s">
        <v>544</v>
      </c>
      <c r="N47">
        <f>SUBTOTAL(9,N44:N46)</f>
        <v>582.5</v>
      </c>
    </row>
    <row r="48" spans="1:21" outlineLevel="2" x14ac:dyDescent="0.25">
      <c r="A48" t="s">
        <v>82</v>
      </c>
      <c r="B48" t="s">
        <v>83</v>
      </c>
      <c r="C48">
        <v>30</v>
      </c>
      <c r="D48" t="s">
        <v>84</v>
      </c>
      <c r="E48">
        <v>184</v>
      </c>
      <c r="F48" t="s">
        <v>85</v>
      </c>
      <c r="G48">
        <v>8666</v>
      </c>
      <c r="H48" t="s">
        <v>28</v>
      </c>
      <c r="I48">
        <v>1000008666</v>
      </c>
      <c r="J48">
        <v>28833401</v>
      </c>
      <c r="K48" t="s">
        <v>630</v>
      </c>
      <c r="L48" t="s">
        <v>87</v>
      </c>
      <c r="M48" t="s">
        <v>88</v>
      </c>
      <c r="N48">
        <v>186.5</v>
      </c>
      <c r="O48">
        <v>14.22</v>
      </c>
      <c r="P48">
        <v>2.2799999999999998</v>
      </c>
      <c r="Q48">
        <v>4.2561999999999998</v>
      </c>
      <c r="R48">
        <v>0.68100000000000005</v>
      </c>
      <c r="S48" t="s">
        <v>679</v>
      </c>
      <c r="T48">
        <v>6</v>
      </c>
      <c r="U48" t="s">
        <v>89</v>
      </c>
    </row>
    <row r="49" spans="1:22" outlineLevel="1" x14ac:dyDescent="0.25">
      <c r="H49" s="9" t="s">
        <v>687</v>
      </c>
      <c r="N49">
        <f>SUBTOTAL(9,N48:N48)</f>
        <v>186.5</v>
      </c>
    </row>
    <row r="50" spans="1:22" outlineLevel="2" x14ac:dyDescent="0.25">
      <c r="A50" s="13" t="s">
        <v>82</v>
      </c>
      <c r="B50" s="13" t="s">
        <v>83</v>
      </c>
      <c r="C50" s="13">
        <v>30</v>
      </c>
      <c r="D50" s="13" t="s">
        <v>84</v>
      </c>
      <c r="E50" s="13">
        <v>184</v>
      </c>
      <c r="F50" s="13" t="s">
        <v>85</v>
      </c>
      <c r="G50" s="13">
        <v>8669</v>
      </c>
      <c r="H50" s="13" t="s">
        <v>48</v>
      </c>
      <c r="I50" s="13">
        <v>1000008669</v>
      </c>
      <c r="J50" s="13">
        <v>28835491</v>
      </c>
      <c r="K50" s="13" t="s">
        <v>644</v>
      </c>
      <c r="L50" s="13" t="s">
        <v>87</v>
      </c>
      <c r="M50" s="13" t="s">
        <v>88</v>
      </c>
      <c r="N50" s="13">
        <v>360.5</v>
      </c>
      <c r="O50" s="13">
        <v>14.22</v>
      </c>
      <c r="P50" s="13">
        <v>2.2799999999999998</v>
      </c>
      <c r="Q50" s="13">
        <v>4.2561999999999998</v>
      </c>
      <c r="R50" s="13">
        <v>0.68100000000000005</v>
      </c>
      <c r="S50" s="13" t="s">
        <v>686</v>
      </c>
      <c r="T50" s="13">
        <v>6</v>
      </c>
      <c r="U50" s="13" t="s">
        <v>89</v>
      </c>
      <c r="V50" s="13"/>
    </row>
    <row r="51" spans="1:22" outlineLevel="1" x14ac:dyDescent="0.25">
      <c r="A51" s="13"/>
      <c r="B51" s="13"/>
      <c r="C51" s="13"/>
      <c r="D51" s="13"/>
      <c r="E51" s="13"/>
      <c r="F51" s="13"/>
      <c r="G51" s="13"/>
      <c r="H51" s="14" t="s">
        <v>545</v>
      </c>
      <c r="I51" s="13"/>
      <c r="J51" s="13"/>
      <c r="K51" s="13"/>
      <c r="L51" s="13"/>
      <c r="M51" s="13"/>
      <c r="N51" s="13">
        <f>SUBTOTAL(9,N50:N50)</f>
        <v>360.5</v>
      </c>
      <c r="O51" s="13"/>
      <c r="P51" s="13"/>
      <c r="Q51" s="13"/>
      <c r="R51" s="13"/>
      <c r="S51" s="13"/>
      <c r="T51" s="13"/>
      <c r="U51" s="13"/>
      <c r="V51" s="13"/>
    </row>
    <row r="52" spans="1:22" outlineLevel="2" x14ac:dyDescent="0.25">
      <c r="A52" t="s">
        <v>82</v>
      </c>
      <c r="B52" t="s">
        <v>83</v>
      </c>
      <c r="C52">
        <v>30</v>
      </c>
      <c r="D52" t="s">
        <v>84</v>
      </c>
      <c r="E52">
        <v>184</v>
      </c>
      <c r="F52" t="s">
        <v>85</v>
      </c>
      <c r="G52">
        <v>8676</v>
      </c>
      <c r="H52" t="s">
        <v>54</v>
      </c>
      <c r="I52">
        <v>1000008676</v>
      </c>
      <c r="J52">
        <v>28834936</v>
      </c>
      <c r="K52" t="s">
        <v>638</v>
      </c>
      <c r="L52" t="s">
        <v>87</v>
      </c>
      <c r="M52" t="s">
        <v>88</v>
      </c>
      <c r="N52">
        <v>65.5</v>
      </c>
      <c r="O52">
        <v>14.22</v>
      </c>
      <c r="P52">
        <v>2.2799999999999998</v>
      </c>
      <c r="Q52">
        <v>4.2561999999999998</v>
      </c>
      <c r="R52">
        <v>0.68100000000000005</v>
      </c>
      <c r="S52" t="s">
        <v>680</v>
      </c>
      <c r="T52">
        <v>6</v>
      </c>
      <c r="U52" t="s">
        <v>89</v>
      </c>
    </row>
    <row r="53" spans="1:22" outlineLevel="2" x14ac:dyDescent="0.25">
      <c r="A53" t="s">
        <v>82</v>
      </c>
      <c r="B53" t="s">
        <v>83</v>
      </c>
      <c r="C53">
        <v>30</v>
      </c>
      <c r="D53" t="s">
        <v>84</v>
      </c>
      <c r="E53">
        <v>184</v>
      </c>
      <c r="F53" t="s">
        <v>85</v>
      </c>
      <c r="G53">
        <v>8676</v>
      </c>
      <c r="H53" t="s">
        <v>54</v>
      </c>
      <c r="I53">
        <v>1000008676</v>
      </c>
      <c r="J53">
        <v>28835440</v>
      </c>
      <c r="K53" t="s">
        <v>643</v>
      </c>
      <c r="L53" t="s">
        <v>87</v>
      </c>
      <c r="M53" t="s">
        <v>88</v>
      </c>
      <c r="N53">
        <v>81.5</v>
      </c>
      <c r="O53">
        <v>14.22</v>
      </c>
      <c r="P53">
        <v>2.2799999999999998</v>
      </c>
      <c r="Q53">
        <v>4.2561999999999998</v>
      </c>
      <c r="R53">
        <v>0.68100000000000005</v>
      </c>
      <c r="S53" t="s">
        <v>681</v>
      </c>
      <c r="T53">
        <v>6</v>
      </c>
      <c r="U53" t="s">
        <v>89</v>
      </c>
    </row>
    <row r="54" spans="1:22" outlineLevel="1" x14ac:dyDescent="0.25">
      <c r="H54" s="9" t="s">
        <v>548</v>
      </c>
      <c r="N54">
        <f>SUBTOTAL(9,N52:N53)</f>
        <v>147</v>
      </c>
    </row>
    <row r="55" spans="1:22" outlineLevel="2" x14ac:dyDescent="0.25">
      <c r="A55" t="s">
        <v>82</v>
      </c>
      <c r="B55" t="s">
        <v>83</v>
      </c>
      <c r="C55">
        <v>30</v>
      </c>
      <c r="D55" t="s">
        <v>84</v>
      </c>
      <c r="E55">
        <v>184</v>
      </c>
      <c r="F55" t="s">
        <v>85</v>
      </c>
      <c r="G55">
        <v>9566</v>
      </c>
      <c r="H55" t="s">
        <v>55</v>
      </c>
      <c r="I55">
        <v>1000009566</v>
      </c>
      <c r="J55">
        <v>28832562</v>
      </c>
      <c r="K55" t="s">
        <v>620</v>
      </c>
      <c r="L55" t="s">
        <v>87</v>
      </c>
      <c r="M55" t="s">
        <v>88</v>
      </c>
      <c r="N55">
        <v>244.5</v>
      </c>
      <c r="O55">
        <v>14.22</v>
      </c>
      <c r="P55">
        <v>2.2799999999999998</v>
      </c>
      <c r="Q55">
        <v>4.2561999999999998</v>
      </c>
      <c r="R55">
        <v>0.68100000000000005</v>
      </c>
      <c r="S55" t="s">
        <v>682</v>
      </c>
      <c r="T55">
        <v>6</v>
      </c>
      <c r="U55" t="s">
        <v>89</v>
      </c>
    </row>
    <row r="56" spans="1:22" outlineLevel="1" x14ac:dyDescent="0.25">
      <c r="H56" s="9" t="s">
        <v>549</v>
      </c>
      <c r="N56">
        <f>SUBTOTAL(9,N55:N55)</f>
        <v>244.5</v>
      </c>
    </row>
    <row r="57" spans="1:22" outlineLevel="2" x14ac:dyDescent="0.25">
      <c r="A57" t="s">
        <v>82</v>
      </c>
      <c r="B57" t="s">
        <v>83</v>
      </c>
      <c r="C57">
        <v>30</v>
      </c>
      <c r="D57" t="s">
        <v>84</v>
      </c>
      <c r="E57">
        <v>184</v>
      </c>
      <c r="F57" t="s">
        <v>85</v>
      </c>
      <c r="G57">
        <v>8679</v>
      </c>
      <c r="H57" t="s">
        <v>60</v>
      </c>
      <c r="I57">
        <v>1000008679</v>
      </c>
      <c r="J57">
        <v>28829945</v>
      </c>
      <c r="K57" t="s">
        <v>607</v>
      </c>
      <c r="L57" t="s">
        <v>87</v>
      </c>
      <c r="M57" t="s">
        <v>88</v>
      </c>
      <c r="N57">
        <v>44.5</v>
      </c>
      <c r="O57">
        <v>14.22</v>
      </c>
      <c r="P57">
        <v>2.2799999999999998</v>
      </c>
      <c r="Q57">
        <v>4.2561999999999998</v>
      </c>
      <c r="R57">
        <v>0.68100000000000005</v>
      </c>
      <c r="S57" t="s">
        <v>683</v>
      </c>
      <c r="T57">
        <v>6</v>
      </c>
      <c r="U57" t="s">
        <v>89</v>
      </c>
    </row>
    <row r="58" spans="1:22" outlineLevel="2" x14ac:dyDescent="0.25">
      <c r="A58" s="8" t="s">
        <v>82</v>
      </c>
      <c r="B58" s="8" t="s">
        <v>83</v>
      </c>
      <c r="C58" s="8">
        <v>30</v>
      </c>
      <c r="D58" s="8" t="s">
        <v>84</v>
      </c>
      <c r="E58" s="8">
        <v>184</v>
      </c>
      <c r="F58" s="8" t="s">
        <v>85</v>
      </c>
      <c r="G58" s="8">
        <v>8679</v>
      </c>
      <c r="H58" s="8" t="s">
        <v>60</v>
      </c>
      <c r="I58" s="8">
        <v>1000008679</v>
      </c>
      <c r="J58" s="8">
        <v>28829990</v>
      </c>
      <c r="K58" s="8" t="s">
        <v>608</v>
      </c>
      <c r="L58" s="8" t="s">
        <v>87</v>
      </c>
      <c r="M58" s="8" t="s">
        <v>88</v>
      </c>
      <c r="N58" s="8">
        <v>232.5</v>
      </c>
      <c r="O58" s="8">
        <v>14.22</v>
      </c>
      <c r="P58" s="8">
        <v>2.2799999999999998</v>
      </c>
      <c r="Q58" s="8">
        <v>4.2561999999999998</v>
      </c>
      <c r="R58" s="8">
        <v>0.68100000000000005</v>
      </c>
      <c r="S58" s="8" t="s">
        <v>685</v>
      </c>
      <c r="T58" s="8">
        <v>6</v>
      </c>
      <c r="U58" s="8" t="s">
        <v>89</v>
      </c>
      <c r="V58" s="8"/>
    </row>
    <row r="59" spans="1:22" outlineLevel="1" x14ac:dyDescent="0.25">
      <c r="A59" s="8"/>
      <c r="B59" s="8"/>
      <c r="C59" s="8"/>
      <c r="D59" s="8"/>
      <c r="E59" s="8"/>
      <c r="F59" s="8"/>
      <c r="G59" s="8"/>
      <c r="H59" s="10" t="s">
        <v>550</v>
      </c>
      <c r="I59" s="8"/>
      <c r="J59" s="8"/>
      <c r="K59" s="8"/>
      <c r="L59" s="8"/>
      <c r="M59" s="8"/>
      <c r="N59" s="8">
        <f>SUBTOTAL(9,N57:N58)</f>
        <v>277</v>
      </c>
      <c r="O59" s="8"/>
      <c r="P59" s="8"/>
      <c r="Q59" s="8"/>
      <c r="R59" s="8"/>
      <c r="S59" s="8"/>
      <c r="T59" s="8"/>
      <c r="U59" s="8"/>
      <c r="V59" s="8"/>
    </row>
    <row r="60" spans="1:22" outlineLevel="2" x14ac:dyDescent="0.25">
      <c r="A60" t="s">
        <v>82</v>
      </c>
      <c r="B60" t="s">
        <v>83</v>
      </c>
      <c r="C60">
        <v>30</v>
      </c>
      <c r="D60" t="s">
        <v>84</v>
      </c>
      <c r="E60">
        <v>184</v>
      </c>
      <c r="F60" t="s">
        <v>85</v>
      </c>
      <c r="G60">
        <v>8681</v>
      </c>
      <c r="H60" t="s">
        <v>41</v>
      </c>
      <c r="I60">
        <v>1000008681</v>
      </c>
      <c r="J60">
        <v>28830334</v>
      </c>
      <c r="K60" t="s">
        <v>612</v>
      </c>
      <c r="L60" t="s">
        <v>87</v>
      </c>
      <c r="M60" t="s">
        <v>88</v>
      </c>
      <c r="N60">
        <v>183.5</v>
      </c>
      <c r="O60">
        <v>14.22</v>
      </c>
      <c r="P60">
        <v>2.2799999999999998</v>
      </c>
      <c r="Q60">
        <v>4.2561999999999998</v>
      </c>
      <c r="R60">
        <v>0.68100000000000005</v>
      </c>
      <c r="S60" t="s">
        <v>684</v>
      </c>
      <c r="T60">
        <v>6</v>
      </c>
      <c r="U60" t="s">
        <v>89</v>
      </c>
    </row>
    <row r="61" spans="1:22" outlineLevel="1" x14ac:dyDescent="0.25">
      <c r="H61" s="9" t="s">
        <v>688</v>
      </c>
      <c r="N61">
        <f>SUBTOTAL(9,N60:N60)</f>
        <v>183.5</v>
      </c>
    </row>
    <row r="62" spans="1:22" x14ac:dyDescent="0.25">
      <c r="H62" s="9" t="s">
        <v>553</v>
      </c>
      <c r="N62">
        <f>SUBTOTAL(9,N4:N60)</f>
        <v>10183</v>
      </c>
      <c r="Q62">
        <f>COUNT(O3:O61)</f>
        <v>40</v>
      </c>
      <c r="R62">
        <f>Q62*4.94</f>
        <v>197.60000000000002</v>
      </c>
      <c r="S62" s="12">
        <f>N62-R62</f>
        <v>9985.4</v>
      </c>
    </row>
  </sheetData>
  <sortState xmlns:xlrd2="http://schemas.microsoft.com/office/spreadsheetml/2017/richdata2" ref="A4:V60">
    <sortCondition ref="H4:H60"/>
    <sortCondition ref="K4:K60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2087A-D053-4A66-8D43-E2342408AD16}">
  <sheetPr codeName="Hoja7"/>
  <dimension ref="A3:V45"/>
  <sheetViews>
    <sheetView topLeftCell="H1" workbookViewId="0"/>
    <sheetView topLeftCell="H1" workbookViewId="1"/>
  </sheetViews>
  <sheetFormatPr baseColWidth="10" defaultRowHeight="15" outlineLevelRow="2" x14ac:dyDescent="0.25"/>
  <cols>
    <col min="1" max="1" width="10.85546875" hidden="1" customWidth="1"/>
    <col min="2" max="2" width="11.140625" hidden="1" customWidth="1"/>
    <col min="3" max="3" width="20.28515625" hidden="1" customWidth="1"/>
    <col min="4" max="4" width="50.28515625" hidden="1" customWidth="1"/>
    <col min="5" max="5" width="12.85546875" hidden="1" customWidth="1"/>
    <col min="6" max="6" width="32" hidden="1" customWidth="1"/>
    <col min="7" max="7" width="11" hidden="1" customWidth="1"/>
    <col min="8" max="8" width="13.7109375" bestFit="1" customWidth="1"/>
    <col min="9" max="9" width="15.85546875" hidden="1" customWidth="1"/>
    <col min="10" max="10" width="9" hidden="1" customWidth="1"/>
    <col min="11" max="11" width="23.42578125" bestFit="1" customWidth="1"/>
    <col min="12" max="12" width="10.5703125" hidden="1" customWidth="1"/>
    <col min="13" max="13" width="8.42578125" hidden="1" customWidth="1"/>
    <col min="14" max="14" width="7.5703125" bestFit="1" customWidth="1"/>
    <col min="15" max="15" width="24.7109375" hidden="1" customWidth="1"/>
    <col min="16" max="16" width="21.42578125" hidden="1" customWidth="1"/>
    <col min="17" max="17" width="23.85546875" bestFit="1" customWidth="1"/>
    <col min="18" max="18" width="20.42578125" bestFit="1" customWidth="1"/>
    <col min="19" max="19" width="12" bestFit="1" customWidth="1"/>
    <col min="20" max="20" width="5.5703125" bestFit="1" customWidth="1"/>
    <col min="21" max="21" width="8.42578125" bestFit="1" customWidth="1"/>
    <col min="22" max="22" width="4.85546875" bestFit="1" customWidth="1"/>
  </cols>
  <sheetData>
    <row r="3" spans="1:22" x14ac:dyDescent="0.25">
      <c r="A3" t="s">
        <v>26</v>
      </c>
      <c r="B3" t="s">
        <v>67</v>
      </c>
      <c r="C3" t="s">
        <v>68</v>
      </c>
      <c r="D3" t="s">
        <v>69</v>
      </c>
      <c r="E3" t="s">
        <v>70</v>
      </c>
      <c r="F3" t="s">
        <v>71</v>
      </c>
      <c r="G3" t="s">
        <v>72</v>
      </c>
      <c r="H3" t="s">
        <v>18</v>
      </c>
      <c r="I3" t="s">
        <v>73</v>
      </c>
      <c r="J3" t="s">
        <v>74</v>
      </c>
      <c r="K3" t="s">
        <v>19</v>
      </c>
      <c r="L3" t="s">
        <v>75</v>
      </c>
      <c r="M3" t="s">
        <v>76</v>
      </c>
      <c r="N3" t="s">
        <v>24</v>
      </c>
      <c r="O3" t="s">
        <v>77</v>
      </c>
      <c r="P3" t="s">
        <v>78</v>
      </c>
      <c r="Q3" t="s">
        <v>21</v>
      </c>
      <c r="R3" t="s">
        <v>22</v>
      </c>
      <c r="S3" t="s">
        <v>20</v>
      </c>
      <c r="T3" t="s">
        <v>79</v>
      </c>
      <c r="U3" t="s">
        <v>80</v>
      </c>
      <c r="V3" t="s">
        <v>81</v>
      </c>
    </row>
    <row r="4" spans="1:22" outlineLevel="2" x14ac:dyDescent="0.25">
      <c r="A4" t="s">
        <v>82</v>
      </c>
      <c r="B4" t="s">
        <v>83</v>
      </c>
      <c r="C4">
        <v>30</v>
      </c>
      <c r="D4" t="s">
        <v>84</v>
      </c>
      <c r="E4">
        <v>184</v>
      </c>
      <c r="F4" t="s">
        <v>85</v>
      </c>
      <c r="G4">
        <v>8651</v>
      </c>
      <c r="H4" t="s">
        <v>38</v>
      </c>
      <c r="I4">
        <v>1000008651</v>
      </c>
      <c r="J4">
        <v>28829367</v>
      </c>
      <c r="K4" t="s">
        <v>580</v>
      </c>
      <c r="L4" t="s">
        <v>87</v>
      </c>
      <c r="M4" t="s">
        <v>88</v>
      </c>
      <c r="N4">
        <v>16.5</v>
      </c>
      <c r="O4">
        <v>14.22</v>
      </c>
      <c r="P4">
        <v>2.2799999999999998</v>
      </c>
      <c r="Q4">
        <v>4.2561999999999998</v>
      </c>
      <c r="R4">
        <v>0.68100000000000005</v>
      </c>
      <c r="S4" t="s">
        <v>581</v>
      </c>
      <c r="T4">
        <v>6</v>
      </c>
      <c r="U4" t="s">
        <v>89</v>
      </c>
    </row>
    <row r="5" spans="1:22" outlineLevel="1" x14ac:dyDescent="0.25">
      <c r="H5" s="9" t="s">
        <v>531</v>
      </c>
      <c r="N5">
        <f>SUBTOTAL(9,N4:N4)</f>
        <v>16.5</v>
      </c>
    </row>
    <row r="6" spans="1:22" outlineLevel="2" x14ac:dyDescent="0.25">
      <c r="A6" t="s">
        <v>82</v>
      </c>
      <c r="B6" t="s">
        <v>83</v>
      </c>
      <c r="C6">
        <v>30</v>
      </c>
      <c r="D6" t="s">
        <v>84</v>
      </c>
      <c r="E6">
        <v>184</v>
      </c>
      <c r="F6" t="s">
        <v>85</v>
      </c>
      <c r="G6">
        <v>8652</v>
      </c>
      <c r="H6" t="s">
        <v>40</v>
      </c>
      <c r="I6">
        <v>1000008652</v>
      </c>
      <c r="J6">
        <v>28825994</v>
      </c>
      <c r="K6" t="s">
        <v>563</v>
      </c>
      <c r="L6" t="s">
        <v>556</v>
      </c>
      <c r="M6" t="s">
        <v>88</v>
      </c>
      <c r="N6">
        <v>371.5</v>
      </c>
      <c r="O6">
        <v>14.22</v>
      </c>
      <c r="P6">
        <v>2.2799999999999998</v>
      </c>
      <c r="Q6">
        <v>4.2561999999999998</v>
      </c>
      <c r="R6">
        <v>0.68100000000000005</v>
      </c>
      <c r="S6" t="s">
        <v>582</v>
      </c>
      <c r="T6">
        <v>6</v>
      </c>
      <c r="U6" t="s">
        <v>89</v>
      </c>
    </row>
    <row r="7" spans="1:22" outlineLevel="2" x14ac:dyDescent="0.25">
      <c r="A7" t="s">
        <v>82</v>
      </c>
      <c r="B7" t="s">
        <v>83</v>
      </c>
      <c r="C7">
        <v>30</v>
      </c>
      <c r="D7" t="s">
        <v>84</v>
      </c>
      <c r="E7">
        <v>184</v>
      </c>
      <c r="F7" t="s">
        <v>85</v>
      </c>
      <c r="G7">
        <v>8652</v>
      </c>
      <c r="H7" t="s">
        <v>40</v>
      </c>
      <c r="I7">
        <v>1000008652</v>
      </c>
      <c r="J7">
        <v>28827044</v>
      </c>
      <c r="K7" t="s">
        <v>572</v>
      </c>
      <c r="L7" t="s">
        <v>556</v>
      </c>
      <c r="M7" t="s">
        <v>88</v>
      </c>
      <c r="N7">
        <v>139.5</v>
      </c>
      <c r="O7">
        <v>14.22</v>
      </c>
      <c r="P7">
        <v>2.2799999999999998</v>
      </c>
      <c r="Q7">
        <v>4.2561999999999998</v>
      </c>
      <c r="R7">
        <v>0.68100000000000005</v>
      </c>
      <c r="S7" t="s">
        <v>583</v>
      </c>
      <c r="T7">
        <v>6</v>
      </c>
      <c r="U7" t="s">
        <v>89</v>
      </c>
    </row>
    <row r="8" spans="1:22" outlineLevel="1" x14ac:dyDescent="0.25">
      <c r="H8" s="9" t="s">
        <v>532</v>
      </c>
      <c r="N8">
        <f>SUBTOTAL(9,N6:N7)</f>
        <v>511</v>
      </c>
    </row>
    <row r="9" spans="1:22" outlineLevel="2" x14ac:dyDescent="0.25">
      <c r="A9" t="s">
        <v>82</v>
      </c>
      <c r="B9" t="s">
        <v>83</v>
      </c>
      <c r="C9">
        <v>30</v>
      </c>
      <c r="D9" t="s">
        <v>84</v>
      </c>
      <c r="E9">
        <v>184</v>
      </c>
      <c r="F9" t="s">
        <v>85</v>
      </c>
      <c r="G9">
        <v>8654</v>
      </c>
      <c r="H9" t="s">
        <v>30</v>
      </c>
      <c r="I9">
        <v>1000008654</v>
      </c>
      <c r="J9">
        <v>28826209</v>
      </c>
      <c r="K9" t="s">
        <v>565</v>
      </c>
      <c r="L9" t="s">
        <v>556</v>
      </c>
      <c r="M9" t="s">
        <v>88</v>
      </c>
      <c r="N9">
        <v>138.5</v>
      </c>
      <c r="O9">
        <v>14.22</v>
      </c>
      <c r="P9">
        <v>2.2799999999999998</v>
      </c>
      <c r="Q9">
        <v>4.2561999999999998</v>
      </c>
      <c r="R9">
        <v>0.68100000000000005</v>
      </c>
      <c r="S9" t="s">
        <v>584</v>
      </c>
      <c r="T9">
        <v>6</v>
      </c>
      <c r="U9" t="s">
        <v>89</v>
      </c>
    </row>
    <row r="10" spans="1:22" outlineLevel="2" x14ac:dyDescent="0.25">
      <c r="A10" t="s">
        <v>82</v>
      </c>
      <c r="B10" t="s">
        <v>83</v>
      </c>
      <c r="C10">
        <v>30</v>
      </c>
      <c r="D10" t="s">
        <v>84</v>
      </c>
      <c r="E10">
        <v>184</v>
      </c>
      <c r="F10" t="s">
        <v>85</v>
      </c>
      <c r="G10">
        <v>8654</v>
      </c>
      <c r="H10" t="s">
        <v>30</v>
      </c>
      <c r="I10">
        <v>1000008654</v>
      </c>
      <c r="J10">
        <v>28826582</v>
      </c>
      <c r="K10" t="s">
        <v>567</v>
      </c>
      <c r="L10" t="s">
        <v>87</v>
      </c>
      <c r="M10" t="s">
        <v>88</v>
      </c>
      <c r="N10">
        <v>84.5</v>
      </c>
      <c r="O10">
        <v>14.22</v>
      </c>
      <c r="P10">
        <v>2.2799999999999998</v>
      </c>
      <c r="Q10">
        <v>4.2561999999999998</v>
      </c>
      <c r="R10">
        <v>0.68100000000000005</v>
      </c>
      <c r="S10" t="s">
        <v>585</v>
      </c>
      <c r="T10">
        <v>6</v>
      </c>
      <c r="U10" t="s">
        <v>89</v>
      </c>
    </row>
    <row r="11" spans="1:22" outlineLevel="2" x14ac:dyDescent="0.25">
      <c r="A11" t="s">
        <v>82</v>
      </c>
      <c r="B11" t="s">
        <v>83</v>
      </c>
      <c r="C11">
        <v>30</v>
      </c>
      <c r="D11" t="s">
        <v>84</v>
      </c>
      <c r="E11">
        <v>184</v>
      </c>
      <c r="F11" t="s">
        <v>85</v>
      </c>
      <c r="G11">
        <v>8654</v>
      </c>
      <c r="H11" t="s">
        <v>30</v>
      </c>
      <c r="I11">
        <v>1000008654</v>
      </c>
      <c r="J11">
        <v>28826649</v>
      </c>
      <c r="K11" t="s">
        <v>568</v>
      </c>
      <c r="L11" t="s">
        <v>87</v>
      </c>
      <c r="M11" t="s">
        <v>88</v>
      </c>
      <c r="N11">
        <v>774.5</v>
      </c>
      <c r="O11">
        <v>14.22</v>
      </c>
      <c r="P11">
        <v>2.2799999999999998</v>
      </c>
      <c r="Q11">
        <v>4.2561999999999998</v>
      </c>
      <c r="R11">
        <v>0.68100000000000005</v>
      </c>
      <c r="S11" t="s">
        <v>586</v>
      </c>
      <c r="T11">
        <v>6</v>
      </c>
      <c r="U11" t="s">
        <v>89</v>
      </c>
    </row>
    <row r="12" spans="1:22" outlineLevel="2" x14ac:dyDescent="0.25">
      <c r="A12" t="s">
        <v>82</v>
      </c>
      <c r="B12" t="s">
        <v>83</v>
      </c>
      <c r="C12">
        <v>30</v>
      </c>
      <c r="D12" t="s">
        <v>84</v>
      </c>
      <c r="E12">
        <v>184</v>
      </c>
      <c r="F12" t="s">
        <v>85</v>
      </c>
      <c r="G12">
        <v>8654</v>
      </c>
      <c r="H12" t="s">
        <v>30</v>
      </c>
      <c r="I12">
        <v>1000008654</v>
      </c>
      <c r="J12">
        <v>28827933</v>
      </c>
      <c r="K12" t="s">
        <v>575</v>
      </c>
      <c r="L12" t="s">
        <v>87</v>
      </c>
      <c r="M12" t="s">
        <v>88</v>
      </c>
      <c r="N12">
        <v>131.5</v>
      </c>
      <c r="O12">
        <v>14.22</v>
      </c>
      <c r="P12">
        <v>2.2799999999999998</v>
      </c>
      <c r="Q12">
        <v>4.2561999999999998</v>
      </c>
      <c r="R12">
        <v>0.68100000000000005</v>
      </c>
      <c r="S12" t="s">
        <v>587</v>
      </c>
      <c r="T12">
        <v>6</v>
      </c>
      <c r="U12" t="s">
        <v>89</v>
      </c>
    </row>
    <row r="13" spans="1:22" outlineLevel="1" x14ac:dyDescent="0.25">
      <c r="H13" s="9" t="s">
        <v>534</v>
      </c>
      <c r="N13">
        <f>SUBTOTAL(9,N9:N12)</f>
        <v>1129</v>
      </c>
    </row>
    <row r="14" spans="1:22" outlineLevel="2" x14ac:dyDescent="0.25">
      <c r="A14" t="s">
        <v>82</v>
      </c>
      <c r="B14" t="s">
        <v>83</v>
      </c>
      <c r="C14">
        <v>30</v>
      </c>
      <c r="D14" t="s">
        <v>84</v>
      </c>
      <c r="E14">
        <v>184</v>
      </c>
      <c r="F14" t="s">
        <v>85</v>
      </c>
      <c r="G14">
        <v>8655</v>
      </c>
      <c r="H14" t="s">
        <v>29</v>
      </c>
      <c r="I14">
        <v>1000008655</v>
      </c>
      <c r="J14">
        <v>28828835</v>
      </c>
      <c r="K14" t="s">
        <v>579</v>
      </c>
      <c r="L14" t="s">
        <v>87</v>
      </c>
      <c r="M14" t="s">
        <v>88</v>
      </c>
      <c r="N14">
        <v>228.5</v>
      </c>
      <c r="O14">
        <v>14.22</v>
      </c>
      <c r="P14">
        <v>2.2799999999999998</v>
      </c>
      <c r="Q14">
        <v>4.2561999999999998</v>
      </c>
      <c r="R14">
        <v>0.68100000000000005</v>
      </c>
      <c r="S14" t="s">
        <v>588</v>
      </c>
      <c r="T14">
        <v>6</v>
      </c>
      <c r="U14" t="s">
        <v>89</v>
      </c>
    </row>
    <row r="15" spans="1:22" outlineLevel="1" x14ac:dyDescent="0.25">
      <c r="H15" s="9" t="s">
        <v>535</v>
      </c>
      <c r="N15">
        <f>SUBTOTAL(9,N14:N14)</f>
        <v>228.5</v>
      </c>
    </row>
    <row r="16" spans="1:22" outlineLevel="2" x14ac:dyDescent="0.25">
      <c r="A16" t="s">
        <v>82</v>
      </c>
      <c r="B16" t="s">
        <v>83</v>
      </c>
      <c r="C16">
        <v>30</v>
      </c>
      <c r="D16" t="s">
        <v>84</v>
      </c>
      <c r="E16">
        <v>184</v>
      </c>
      <c r="F16" t="s">
        <v>85</v>
      </c>
      <c r="G16">
        <v>8656</v>
      </c>
      <c r="H16" t="s">
        <v>31</v>
      </c>
      <c r="I16">
        <v>1000008656</v>
      </c>
      <c r="J16">
        <v>28825023</v>
      </c>
      <c r="K16" t="s">
        <v>557</v>
      </c>
      <c r="L16" t="s">
        <v>87</v>
      </c>
      <c r="M16" t="s">
        <v>88</v>
      </c>
      <c r="N16">
        <v>194.5</v>
      </c>
      <c r="O16">
        <v>14.22</v>
      </c>
      <c r="P16">
        <v>2.2799999999999998</v>
      </c>
      <c r="Q16">
        <v>4.2561999999999998</v>
      </c>
      <c r="R16">
        <v>0.68100000000000005</v>
      </c>
      <c r="S16" t="s">
        <v>589</v>
      </c>
      <c r="T16">
        <v>6</v>
      </c>
      <c r="U16" t="s">
        <v>89</v>
      </c>
    </row>
    <row r="17" spans="1:21" outlineLevel="2" x14ac:dyDescent="0.25">
      <c r="A17" t="s">
        <v>82</v>
      </c>
      <c r="B17" t="s">
        <v>83</v>
      </c>
      <c r="C17">
        <v>30</v>
      </c>
      <c r="D17" t="s">
        <v>84</v>
      </c>
      <c r="E17">
        <v>184</v>
      </c>
      <c r="F17" t="s">
        <v>85</v>
      </c>
      <c r="G17">
        <v>8656</v>
      </c>
      <c r="H17" t="s">
        <v>31</v>
      </c>
      <c r="I17">
        <v>1000008656</v>
      </c>
      <c r="J17">
        <v>28825438</v>
      </c>
      <c r="K17" t="s">
        <v>560</v>
      </c>
      <c r="L17" t="s">
        <v>87</v>
      </c>
      <c r="M17" t="s">
        <v>88</v>
      </c>
      <c r="N17">
        <v>221.5</v>
      </c>
      <c r="O17">
        <v>14.22</v>
      </c>
      <c r="P17">
        <v>2.2799999999999998</v>
      </c>
      <c r="Q17">
        <v>4.2561999999999998</v>
      </c>
      <c r="R17">
        <v>0.68100000000000005</v>
      </c>
      <c r="S17" t="s">
        <v>590</v>
      </c>
      <c r="T17">
        <v>6</v>
      </c>
      <c r="U17" t="s">
        <v>89</v>
      </c>
    </row>
    <row r="18" spans="1:21" outlineLevel="1" x14ac:dyDescent="0.25">
      <c r="H18" s="9" t="s">
        <v>536</v>
      </c>
      <c r="N18">
        <f>SUBTOTAL(9,N16:N17)</f>
        <v>416</v>
      </c>
    </row>
    <row r="19" spans="1:21" outlineLevel="2" x14ac:dyDescent="0.25">
      <c r="A19" t="s">
        <v>82</v>
      </c>
      <c r="B19" t="s">
        <v>83</v>
      </c>
      <c r="C19">
        <v>30</v>
      </c>
      <c r="D19" t="s">
        <v>84</v>
      </c>
      <c r="E19">
        <v>184</v>
      </c>
      <c r="F19" t="s">
        <v>85</v>
      </c>
      <c r="G19">
        <v>8657</v>
      </c>
      <c r="H19" t="s">
        <v>44</v>
      </c>
      <c r="I19">
        <v>1000008657</v>
      </c>
      <c r="J19">
        <v>28826305</v>
      </c>
      <c r="K19" t="s">
        <v>566</v>
      </c>
      <c r="L19" t="s">
        <v>87</v>
      </c>
      <c r="M19" t="s">
        <v>88</v>
      </c>
      <c r="N19">
        <v>757.5</v>
      </c>
      <c r="O19">
        <v>14.22</v>
      </c>
      <c r="P19">
        <v>2.2799999999999998</v>
      </c>
      <c r="Q19">
        <v>4.2561999999999998</v>
      </c>
      <c r="R19">
        <v>0.68100000000000005</v>
      </c>
      <c r="S19" t="s">
        <v>591</v>
      </c>
      <c r="T19">
        <v>6</v>
      </c>
      <c r="U19" t="s">
        <v>89</v>
      </c>
    </row>
    <row r="20" spans="1:21" outlineLevel="1" x14ac:dyDescent="0.25">
      <c r="H20" s="9" t="s">
        <v>537</v>
      </c>
      <c r="N20">
        <f>SUBTOTAL(9,N19:N19)</f>
        <v>757.5</v>
      </c>
    </row>
    <row r="21" spans="1:21" outlineLevel="2" x14ac:dyDescent="0.25">
      <c r="A21" t="s">
        <v>82</v>
      </c>
      <c r="B21" t="s">
        <v>83</v>
      </c>
      <c r="C21">
        <v>30</v>
      </c>
      <c r="D21" t="s">
        <v>84</v>
      </c>
      <c r="E21">
        <v>184</v>
      </c>
      <c r="F21" t="s">
        <v>85</v>
      </c>
      <c r="G21">
        <v>8658</v>
      </c>
      <c r="H21" t="s">
        <v>33</v>
      </c>
      <c r="I21">
        <v>1000008658</v>
      </c>
      <c r="J21">
        <v>28828197</v>
      </c>
      <c r="K21" t="s">
        <v>577</v>
      </c>
      <c r="L21" t="s">
        <v>87</v>
      </c>
      <c r="M21" t="s">
        <v>88</v>
      </c>
      <c r="N21">
        <v>119.5</v>
      </c>
      <c r="O21">
        <v>14.22</v>
      </c>
      <c r="P21">
        <v>2.2799999999999998</v>
      </c>
      <c r="Q21">
        <v>4.2561999999999998</v>
      </c>
      <c r="R21">
        <v>0.68100000000000005</v>
      </c>
      <c r="S21" t="s">
        <v>592</v>
      </c>
      <c r="T21">
        <v>6</v>
      </c>
      <c r="U21" t="s">
        <v>89</v>
      </c>
    </row>
    <row r="22" spans="1:21" outlineLevel="1" x14ac:dyDescent="0.25">
      <c r="H22" s="9" t="s">
        <v>538</v>
      </c>
      <c r="N22">
        <f>SUBTOTAL(9,N21:N21)</f>
        <v>119.5</v>
      </c>
    </row>
    <row r="23" spans="1:21" outlineLevel="2" x14ac:dyDescent="0.25">
      <c r="A23" t="s">
        <v>82</v>
      </c>
      <c r="B23" t="s">
        <v>83</v>
      </c>
      <c r="C23">
        <v>30</v>
      </c>
      <c r="D23" t="s">
        <v>84</v>
      </c>
      <c r="E23">
        <v>184</v>
      </c>
      <c r="F23" t="s">
        <v>85</v>
      </c>
      <c r="G23">
        <v>8659</v>
      </c>
      <c r="H23" t="s">
        <v>32</v>
      </c>
      <c r="I23">
        <v>1000008659</v>
      </c>
      <c r="J23">
        <v>28824676</v>
      </c>
      <c r="K23" t="s">
        <v>554</v>
      </c>
      <c r="L23" t="s">
        <v>87</v>
      </c>
      <c r="M23" t="s">
        <v>88</v>
      </c>
      <c r="N23">
        <v>44.5</v>
      </c>
      <c r="O23">
        <v>14.22</v>
      </c>
      <c r="P23">
        <v>2.2799999999999998</v>
      </c>
      <c r="Q23">
        <v>4.2561999999999998</v>
      </c>
      <c r="R23">
        <v>0.68100000000000005</v>
      </c>
      <c r="S23" t="s">
        <v>593</v>
      </c>
      <c r="T23">
        <v>6</v>
      </c>
      <c r="U23" t="s">
        <v>89</v>
      </c>
    </row>
    <row r="24" spans="1:21" outlineLevel="1" x14ac:dyDescent="0.25">
      <c r="H24" s="9" t="s">
        <v>539</v>
      </c>
      <c r="N24">
        <f>SUBTOTAL(9,N23:N23)</f>
        <v>44.5</v>
      </c>
    </row>
    <row r="25" spans="1:21" outlineLevel="2" x14ac:dyDescent="0.25">
      <c r="A25" t="s">
        <v>82</v>
      </c>
      <c r="B25" t="s">
        <v>83</v>
      </c>
      <c r="C25">
        <v>30</v>
      </c>
      <c r="D25" t="s">
        <v>84</v>
      </c>
      <c r="E25">
        <v>184</v>
      </c>
      <c r="F25" t="s">
        <v>85</v>
      </c>
      <c r="G25">
        <v>8660</v>
      </c>
      <c r="H25" t="s">
        <v>35</v>
      </c>
      <c r="I25">
        <v>1000008660</v>
      </c>
      <c r="J25">
        <v>28824933</v>
      </c>
      <c r="K25" t="s">
        <v>555</v>
      </c>
      <c r="L25" t="s">
        <v>556</v>
      </c>
      <c r="M25" t="s">
        <v>88</v>
      </c>
      <c r="N25">
        <v>121.5</v>
      </c>
      <c r="O25">
        <v>14.22</v>
      </c>
      <c r="P25">
        <v>2.2799999999999998</v>
      </c>
      <c r="Q25">
        <v>4.2561999999999998</v>
      </c>
      <c r="R25">
        <v>0.68100000000000005</v>
      </c>
      <c r="S25" t="s">
        <v>594</v>
      </c>
      <c r="T25">
        <v>6</v>
      </c>
      <c r="U25" t="s">
        <v>89</v>
      </c>
    </row>
    <row r="26" spans="1:21" outlineLevel="1" x14ac:dyDescent="0.25">
      <c r="H26" s="9" t="s">
        <v>540</v>
      </c>
      <c r="N26">
        <f>SUBTOTAL(9,N25:N25)</f>
        <v>121.5</v>
      </c>
    </row>
    <row r="27" spans="1:21" outlineLevel="2" x14ac:dyDescent="0.25">
      <c r="A27" t="s">
        <v>82</v>
      </c>
      <c r="B27" t="s">
        <v>83</v>
      </c>
      <c r="C27">
        <v>30</v>
      </c>
      <c r="D27" t="s">
        <v>84</v>
      </c>
      <c r="E27">
        <v>184</v>
      </c>
      <c r="F27" t="s">
        <v>85</v>
      </c>
      <c r="G27">
        <v>8661</v>
      </c>
      <c r="H27" t="s">
        <v>39</v>
      </c>
      <c r="I27">
        <v>1000008661</v>
      </c>
      <c r="J27">
        <v>28827269</v>
      </c>
      <c r="K27" t="s">
        <v>573</v>
      </c>
      <c r="L27" t="s">
        <v>87</v>
      </c>
      <c r="M27" t="s">
        <v>88</v>
      </c>
      <c r="N27">
        <v>43.5</v>
      </c>
      <c r="O27">
        <v>14.22</v>
      </c>
      <c r="P27">
        <v>2.2799999999999998</v>
      </c>
      <c r="Q27">
        <v>4.2561999999999998</v>
      </c>
      <c r="R27">
        <v>0.68100000000000005</v>
      </c>
      <c r="S27" t="s">
        <v>595</v>
      </c>
      <c r="T27">
        <v>6</v>
      </c>
      <c r="U27" t="s">
        <v>89</v>
      </c>
    </row>
    <row r="28" spans="1:21" outlineLevel="1" x14ac:dyDescent="0.25">
      <c r="H28" s="9" t="s">
        <v>541</v>
      </c>
      <c r="N28">
        <f>SUBTOTAL(9,N27:N27)</f>
        <v>43.5</v>
      </c>
    </row>
    <row r="29" spans="1:21" outlineLevel="2" x14ac:dyDescent="0.25">
      <c r="A29" t="s">
        <v>82</v>
      </c>
      <c r="B29" t="s">
        <v>83</v>
      </c>
      <c r="C29">
        <v>30</v>
      </c>
      <c r="D29" t="s">
        <v>84</v>
      </c>
      <c r="E29">
        <v>184</v>
      </c>
      <c r="F29" t="s">
        <v>85</v>
      </c>
      <c r="G29">
        <v>8662</v>
      </c>
      <c r="H29" t="s">
        <v>36</v>
      </c>
      <c r="I29">
        <v>1000008662</v>
      </c>
      <c r="J29">
        <v>28826855</v>
      </c>
      <c r="K29" t="s">
        <v>569</v>
      </c>
      <c r="L29" t="s">
        <v>87</v>
      </c>
      <c r="M29" t="s">
        <v>88</v>
      </c>
      <c r="N29">
        <v>201.5</v>
      </c>
      <c r="O29">
        <v>14.22</v>
      </c>
      <c r="P29">
        <v>2.2799999999999998</v>
      </c>
      <c r="Q29">
        <v>4.2561999999999998</v>
      </c>
      <c r="R29">
        <v>0.68100000000000005</v>
      </c>
      <c r="S29" t="s">
        <v>596</v>
      </c>
      <c r="T29">
        <v>6</v>
      </c>
      <c r="U29" t="s">
        <v>89</v>
      </c>
    </row>
    <row r="30" spans="1:21" outlineLevel="2" x14ac:dyDescent="0.25">
      <c r="A30" t="s">
        <v>82</v>
      </c>
      <c r="B30" t="s">
        <v>83</v>
      </c>
      <c r="C30">
        <v>30</v>
      </c>
      <c r="D30" t="s">
        <v>84</v>
      </c>
      <c r="E30">
        <v>184</v>
      </c>
      <c r="F30" t="s">
        <v>85</v>
      </c>
      <c r="G30">
        <v>8662</v>
      </c>
      <c r="H30" t="s">
        <v>36</v>
      </c>
      <c r="I30">
        <v>1000008662</v>
      </c>
      <c r="J30">
        <v>28828182</v>
      </c>
      <c r="K30" t="s">
        <v>576</v>
      </c>
      <c r="L30" t="s">
        <v>87</v>
      </c>
      <c r="M30" t="s">
        <v>88</v>
      </c>
      <c r="N30">
        <v>142.5</v>
      </c>
      <c r="O30">
        <v>14.22</v>
      </c>
      <c r="P30">
        <v>2.2799999999999998</v>
      </c>
      <c r="Q30">
        <v>4.2561999999999998</v>
      </c>
      <c r="R30">
        <v>0.68100000000000005</v>
      </c>
      <c r="S30" t="s">
        <v>597</v>
      </c>
      <c r="T30">
        <v>6</v>
      </c>
      <c r="U30" t="s">
        <v>89</v>
      </c>
    </row>
    <row r="31" spans="1:21" outlineLevel="2" x14ac:dyDescent="0.25">
      <c r="A31" t="s">
        <v>82</v>
      </c>
      <c r="B31" t="s">
        <v>83</v>
      </c>
      <c r="C31">
        <v>30</v>
      </c>
      <c r="D31" t="s">
        <v>84</v>
      </c>
      <c r="E31">
        <v>184</v>
      </c>
      <c r="F31" t="s">
        <v>85</v>
      </c>
      <c r="G31">
        <v>8662</v>
      </c>
      <c r="H31" t="s">
        <v>36</v>
      </c>
      <c r="I31">
        <v>1000008662</v>
      </c>
      <c r="J31">
        <v>28828404</v>
      </c>
      <c r="K31" t="s">
        <v>578</v>
      </c>
      <c r="L31" t="s">
        <v>87</v>
      </c>
      <c r="M31" t="s">
        <v>88</v>
      </c>
      <c r="N31">
        <v>44.5</v>
      </c>
      <c r="O31">
        <v>14.22</v>
      </c>
      <c r="P31">
        <v>2.2799999999999998</v>
      </c>
      <c r="Q31">
        <v>4.2561999999999998</v>
      </c>
      <c r="R31">
        <v>0.68100000000000005</v>
      </c>
      <c r="S31" t="s">
        <v>598</v>
      </c>
      <c r="T31">
        <v>6</v>
      </c>
      <c r="U31" t="s">
        <v>89</v>
      </c>
    </row>
    <row r="32" spans="1:21" outlineLevel="1" x14ac:dyDescent="0.25">
      <c r="H32" s="9" t="s">
        <v>542</v>
      </c>
      <c r="N32">
        <f>SUBTOTAL(9,N29:N31)</f>
        <v>388.5</v>
      </c>
    </row>
    <row r="33" spans="1:21" outlineLevel="2" x14ac:dyDescent="0.25">
      <c r="A33" t="s">
        <v>82</v>
      </c>
      <c r="B33" t="s">
        <v>83</v>
      </c>
      <c r="C33">
        <v>30</v>
      </c>
      <c r="D33" t="s">
        <v>84</v>
      </c>
      <c r="E33">
        <v>184</v>
      </c>
      <c r="F33" t="s">
        <v>85</v>
      </c>
      <c r="G33">
        <v>8663</v>
      </c>
      <c r="H33" t="s">
        <v>42</v>
      </c>
      <c r="I33">
        <v>1000008663</v>
      </c>
      <c r="J33">
        <v>28825612</v>
      </c>
      <c r="K33" t="s">
        <v>561</v>
      </c>
      <c r="L33" t="s">
        <v>87</v>
      </c>
      <c r="M33" t="s">
        <v>88</v>
      </c>
      <c r="N33">
        <v>54.5</v>
      </c>
      <c r="O33">
        <v>14.22</v>
      </c>
      <c r="P33">
        <v>2.2799999999999998</v>
      </c>
      <c r="Q33">
        <v>4.2561999999999998</v>
      </c>
      <c r="R33">
        <v>0.68100000000000005</v>
      </c>
      <c r="S33" t="s">
        <v>599</v>
      </c>
      <c r="T33">
        <v>6</v>
      </c>
      <c r="U33" t="s">
        <v>89</v>
      </c>
    </row>
    <row r="34" spans="1:21" outlineLevel="2" x14ac:dyDescent="0.25">
      <c r="A34" t="s">
        <v>82</v>
      </c>
      <c r="B34" t="s">
        <v>83</v>
      </c>
      <c r="C34">
        <v>30</v>
      </c>
      <c r="D34" t="s">
        <v>84</v>
      </c>
      <c r="E34">
        <v>184</v>
      </c>
      <c r="F34" t="s">
        <v>85</v>
      </c>
      <c r="G34">
        <v>8663</v>
      </c>
      <c r="H34" t="s">
        <v>42</v>
      </c>
      <c r="I34">
        <v>1000008663</v>
      </c>
      <c r="J34">
        <v>28826082</v>
      </c>
      <c r="K34" t="s">
        <v>564</v>
      </c>
      <c r="L34" t="s">
        <v>87</v>
      </c>
      <c r="M34" t="s">
        <v>88</v>
      </c>
      <c r="N34">
        <v>121.5</v>
      </c>
      <c r="O34">
        <v>14.22</v>
      </c>
      <c r="P34">
        <v>2.2799999999999998</v>
      </c>
      <c r="Q34">
        <v>4.2561999999999998</v>
      </c>
      <c r="R34">
        <v>0.68100000000000005</v>
      </c>
      <c r="S34" t="s">
        <v>600</v>
      </c>
      <c r="T34">
        <v>6</v>
      </c>
      <c r="U34" t="s">
        <v>89</v>
      </c>
    </row>
    <row r="35" spans="1:21" outlineLevel="2" x14ac:dyDescent="0.25">
      <c r="A35" t="s">
        <v>82</v>
      </c>
      <c r="B35" t="s">
        <v>83</v>
      </c>
      <c r="C35">
        <v>30</v>
      </c>
      <c r="D35" t="s">
        <v>84</v>
      </c>
      <c r="E35">
        <v>184</v>
      </c>
      <c r="F35" t="s">
        <v>85</v>
      </c>
      <c r="G35">
        <v>8663</v>
      </c>
      <c r="H35" t="s">
        <v>42</v>
      </c>
      <c r="I35">
        <v>1000008663</v>
      </c>
      <c r="J35">
        <v>28827550</v>
      </c>
      <c r="K35" t="s">
        <v>574</v>
      </c>
      <c r="L35" t="s">
        <v>556</v>
      </c>
      <c r="M35" t="s">
        <v>88</v>
      </c>
      <c r="N35">
        <v>102.5</v>
      </c>
      <c r="O35">
        <v>14.22</v>
      </c>
      <c r="P35">
        <v>2.2799999999999998</v>
      </c>
      <c r="Q35">
        <v>4.2561999999999998</v>
      </c>
      <c r="R35">
        <v>0.68100000000000005</v>
      </c>
      <c r="S35" t="s">
        <v>601</v>
      </c>
      <c r="T35">
        <v>6</v>
      </c>
      <c r="U35" t="s">
        <v>89</v>
      </c>
    </row>
    <row r="36" spans="1:21" outlineLevel="1" x14ac:dyDescent="0.25">
      <c r="H36" s="9" t="s">
        <v>543</v>
      </c>
      <c r="N36">
        <f>SUBTOTAL(9,N33:N35)</f>
        <v>278.5</v>
      </c>
    </row>
    <row r="37" spans="1:21" outlineLevel="2" x14ac:dyDescent="0.25">
      <c r="A37" t="s">
        <v>82</v>
      </c>
      <c r="B37" t="s">
        <v>83</v>
      </c>
      <c r="C37">
        <v>30</v>
      </c>
      <c r="D37" t="s">
        <v>84</v>
      </c>
      <c r="E37">
        <v>184</v>
      </c>
      <c r="F37" t="s">
        <v>85</v>
      </c>
      <c r="G37">
        <v>8664</v>
      </c>
      <c r="H37" t="s">
        <v>27</v>
      </c>
      <c r="I37">
        <v>1000008664</v>
      </c>
      <c r="J37">
        <v>28825794</v>
      </c>
      <c r="K37" t="s">
        <v>562</v>
      </c>
      <c r="L37" t="s">
        <v>87</v>
      </c>
      <c r="M37" t="s">
        <v>88</v>
      </c>
      <c r="N37">
        <v>107.5</v>
      </c>
      <c r="O37">
        <v>14.22</v>
      </c>
      <c r="P37">
        <v>2.2799999999999998</v>
      </c>
      <c r="Q37">
        <v>4.2561999999999998</v>
      </c>
      <c r="R37">
        <v>0.68100000000000005</v>
      </c>
      <c r="S37" t="s">
        <v>602</v>
      </c>
      <c r="T37">
        <v>6</v>
      </c>
      <c r="U37" t="s">
        <v>89</v>
      </c>
    </row>
    <row r="38" spans="1:21" outlineLevel="2" x14ac:dyDescent="0.25">
      <c r="A38" t="s">
        <v>82</v>
      </c>
      <c r="B38" t="s">
        <v>83</v>
      </c>
      <c r="C38">
        <v>30</v>
      </c>
      <c r="D38" t="s">
        <v>84</v>
      </c>
      <c r="E38">
        <v>184</v>
      </c>
      <c r="F38" t="s">
        <v>85</v>
      </c>
      <c r="G38">
        <v>8664</v>
      </c>
      <c r="H38" t="s">
        <v>27</v>
      </c>
      <c r="I38">
        <v>1000008664</v>
      </c>
      <c r="J38">
        <v>28827020</v>
      </c>
      <c r="K38" t="s">
        <v>571</v>
      </c>
      <c r="L38" t="s">
        <v>87</v>
      </c>
      <c r="M38" t="s">
        <v>88</v>
      </c>
      <c r="N38">
        <v>153.5</v>
      </c>
      <c r="O38">
        <v>14.22</v>
      </c>
      <c r="P38">
        <v>2.2799999999999998</v>
      </c>
      <c r="Q38">
        <v>4.2561999999999998</v>
      </c>
      <c r="R38">
        <v>0.68100000000000005</v>
      </c>
      <c r="S38" t="s">
        <v>603</v>
      </c>
      <c r="T38">
        <v>6</v>
      </c>
      <c r="U38" t="s">
        <v>89</v>
      </c>
    </row>
    <row r="39" spans="1:21" outlineLevel="1" x14ac:dyDescent="0.25">
      <c r="H39" s="9" t="s">
        <v>544</v>
      </c>
      <c r="N39">
        <f>SUBTOTAL(9,N37:N38)</f>
        <v>261</v>
      </c>
    </row>
    <row r="40" spans="1:21" outlineLevel="2" x14ac:dyDescent="0.25">
      <c r="A40" t="s">
        <v>82</v>
      </c>
      <c r="B40" t="s">
        <v>83</v>
      </c>
      <c r="C40">
        <v>30</v>
      </c>
      <c r="D40" t="s">
        <v>84</v>
      </c>
      <c r="E40">
        <v>184</v>
      </c>
      <c r="F40" t="s">
        <v>85</v>
      </c>
      <c r="G40">
        <v>8673</v>
      </c>
      <c r="H40" t="s">
        <v>51</v>
      </c>
      <c r="I40">
        <v>1000008673</v>
      </c>
      <c r="J40">
        <v>28827018</v>
      </c>
      <c r="K40" t="s">
        <v>570</v>
      </c>
      <c r="L40" t="s">
        <v>556</v>
      </c>
      <c r="M40" t="s">
        <v>88</v>
      </c>
      <c r="N40">
        <v>108.5</v>
      </c>
      <c r="O40">
        <v>14.22</v>
      </c>
      <c r="P40">
        <v>2.2799999999999998</v>
      </c>
      <c r="Q40">
        <v>4.2561999999999998</v>
      </c>
      <c r="R40">
        <v>0.68100000000000005</v>
      </c>
      <c r="S40" t="s">
        <v>604</v>
      </c>
      <c r="T40">
        <v>6</v>
      </c>
      <c r="U40" t="s">
        <v>89</v>
      </c>
    </row>
    <row r="41" spans="1:21" outlineLevel="1" x14ac:dyDescent="0.25">
      <c r="H41" s="9" t="s">
        <v>547</v>
      </c>
      <c r="N41">
        <f>SUBTOTAL(9,N40:N40)</f>
        <v>108.5</v>
      </c>
    </row>
    <row r="42" spans="1:21" outlineLevel="2" x14ac:dyDescent="0.25">
      <c r="A42" t="s">
        <v>82</v>
      </c>
      <c r="B42" t="s">
        <v>83</v>
      </c>
      <c r="C42">
        <v>30</v>
      </c>
      <c r="D42" t="s">
        <v>84</v>
      </c>
      <c r="E42">
        <v>184</v>
      </c>
      <c r="F42" t="s">
        <v>85</v>
      </c>
      <c r="G42">
        <v>8676</v>
      </c>
      <c r="H42" t="s">
        <v>54</v>
      </c>
      <c r="I42">
        <v>1000008676</v>
      </c>
      <c r="J42">
        <v>28825171</v>
      </c>
      <c r="K42" t="s">
        <v>558</v>
      </c>
      <c r="L42" t="s">
        <v>87</v>
      </c>
      <c r="M42" t="s">
        <v>88</v>
      </c>
      <c r="N42">
        <v>72.5</v>
      </c>
      <c r="O42">
        <v>14.22</v>
      </c>
      <c r="P42">
        <v>2.2799999999999998</v>
      </c>
      <c r="Q42">
        <v>4.2561999999999998</v>
      </c>
      <c r="R42">
        <v>0.68100000000000005</v>
      </c>
      <c r="S42" t="s">
        <v>605</v>
      </c>
      <c r="T42">
        <v>6</v>
      </c>
      <c r="U42" t="s">
        <v>89</v>
      </c>
    </row>
    <row r="43" spans="1:21" outlineLevel="2" x14ac:dyDescent="0.25">
      <c r="A43" t="s">
        <v>82</v>
      </c>
      <c r="B43" t="s">
        <v>83</v>
      </c>
      <c r="C43">
        <v>30</v>
      </c>
      <c r="D43" t="s">
        <v>84</v>
      </c>
      <c r="E43">
        <v>184</v>
      </c>
      <c r="F43" t="s">
        <v>85</v>
      </c>
      <c r="G43">
        <v>8676</v>
      </c>
      <c r="H43" t="s">
        <v>54</v>
      </c>
      <c r="I43">
        <v>1000008676</v>
      </c>
      <c r="J43">
        <v>28825199</v>
      </c>
      <c r="K43" t="s">
        <v>559</v>
      </c>
      <c r="L43" t="s">
        <v>87</v>
      </c>
      <c r="M43" t="s">
        <v>88</v>
      </c>
      <c r="N43">
        <v>88.5</v>
      </c>
      <c r="O43">
        <v>14.22</v>
      </c>
      <c r="P43">
        <v>2.2799999999999998</v>
      </c>
      <c r="Q43">
        <v>4.2561999999999998</v>
      </c>
      <c r="R43">
        <v>0.68100000000000005</v>
      </c>
      <c r="S43" t="s">
        <v>606</v>
      </c>
      <c r="T43">
        <v>6</v>
      </c>
      <c r="U43" t="s">
        <v>89</v>
      </c>
    </row>
    <row r="44" spans="1:21" outlineLevel="1" x14ac:dyDescent="0.25">
      <c r="H44" s="9" t="s">
        <v>548</v>
      </c>
      <c r="N44">
        <f>SUBTOTAL(9,N42:N43)</f>
        <v>161</v>
      </c>
    </row>
    <row r="45" spans="1:21" x14ac:dyDescent="0.25">
      <c r="H45" s="9" t="s">
        <v>553</v>
      </c>
      <c r="N45">
        <f>SUBTOTAL(9,N4:N43)</f>
        <v>4585</v>
      </c>
      <c r="Q45">
        <f>COUNT(O3:O44)</f>
        <v>26</v>
      </c>
      <c r="R45">
        <f>Q45*4.94</f>
        <v>128.44</v>
      </c>
      <c r="S45" s="12">
        <f>N45-R45</f>
        <v>4456.5600000000004</v>
      </c>
    </row>
  </sheetData>
  <sortState xmlns:xlrd2="http://schemas.microsoft.com/office/spreadsheetml/2017/richdata2" ref="A4:V43">
    <sortCondition ref="H4:H43"/>
    <sortCondition ref="K4:K43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1C351-7F1C-4DD1-BD67-E290C8675BCD}">
  <sheetPr codeName="Hoja9"/>
  <dimension ref="A3:V247"/>
  <sheetViews>
    <sheetView topLeftCell="H1" workbookViewId="0"/>
    <sheetView topLeftCell="H1" workbookViewId="1"/>
  </sheetViews>
  <sheetFormatPr baseColWidth="10" defaultRowHeight="15" outlineLevelRow="2" x14ac:dyDescent="0.25"/>
  <cols>
    <col min="1" max="1" width="10.85546875" hidden="1" customWidth="1"/>
    <col min="2" max="2" width="11.140625" hidden="1" customWidth="1"/>
    <col min="3" max="3" width="20.28515625" hidden="1" customWidth="1"/>
    <col min="4" max="4" width="50.28515625" hidden="1" customWidth="1"/>
    <col min="5" max="5" width="12.85546875" hidden="1" customWidth="1"/>
    <col min="6" max="6" width="32" hidden="1" customWidth="1"/>
    <col min="7" max="7" width="11" hidden="1" customWidth="1"/>
    <col min="8" max="8" width="13.7109375" bestFit="1" customWidth="1"/>
    <col min="9" max="9" width="15.85546875" hidden="1" customWidth="1"/>
    <col min="10" max="10" width="9" hidden="1" customWidth="1"/>
    <col min="11" max="11" width="23.42578125" bestFit="1" customWidth="1"/>
    <col min="12" max="12" width="10.5703125" hidden="1" customWidth="1"/>
    <col min="13" max="13" width="8.42578125" hidden="1" customWidth="1"/>
    <col min="14" max="14" width="7.5703125" bestFit="1" customWidth="1"/>
    <col min="15" max="15" width="24.7109375" hidden="1" customWidth="1"/>
    <col min="16" max="16" width="21.42578125" hidden="1" customWidth="1"/>
    <col min="17" max="17" width="23.85546875" bestFit="1" customWidth="1"/>
    <col min="18" max="18" width="20.42578125" bestFit="1" customWidth="1"/>
    <col min="19" max="19" width="12" bestFit="1" customWidth="1"/>
    <col min="20" max="20" width="5.5703125" bestFit="1" customWidth="1"/>
    <col min="21" max="21" width="8.42578125" bestFit="1" customWidth="1"/>
    <col min="22" max="22" width="4.85546875" bestFit="1" customWidth="1"/>
  </cols>
  <sheetData>
    <row r="3" spans="1:22" x14ac:dyDescent="0.25">
      <c r="A3" t="s">
        <v>26</v>
      </c>
      <c r="B3" t="s">
        <v>67</v>
      </c>
      <c r="C3" t="s">
        <v>68</v>
      </c>
      <c r="D3" t="s">
        <v>69</v>
      </c>
      <c r="E3" t="s">
        <v>70</v>
      </c>
      <c r="F3" t="s">
        <v>71</v>
      </c>
      <c r="G3" t="s">
        <v>72</v>
      </c>
      <c r="H3" t="s">
        <v>18</v>
      </c>
      <c r="I3" t="s">
        <v>73</v>
      </c>
      <c r="J3" t="s">
        <v>74</v>
      </c>
      <c r="K3" t="s">
        <v>19</v>
      </c>
      <c r="L3" t="s">
        <v>75</v>
      </c>
      <c r="M3" t="s">
        <v>76</v>
      </c>
      <c r="N3" t="s">
        <v>24</v>
      </c>
      <c r="O3" t="s">
        <v>77</v>
      </c>
      <c r="P3" t="s">
        <v>78</v>
      </c>
      <c r="Q3" t="s">
        <v>21</v>
      </c>
      <c r="R3" t="s">
        <v>22</v>
      </c>
      <c r="S3" t="s">
        <v>20</v>
      </c>
      <c r="T3" t="s">
        <v>79</v>
      </c>
      <c r="U3" t="s">
        <v>80</v>
      </c>
      <c r="V3" t="s">
        <v>81</v>
      </c>
    </row>
    <row r="4" spans="1:22" outlineLevel="2" x14ac:dyDescent="0.25">
      <c r="A4" t="s">
        <v>82</v>
      </c>
      <c r="B4" t="s">
        <v>83</v>
      </c>
      <c r="C4">
        <v>30</v>
      </c>
      <c r="D4" t="s">
        <v>84</v>
      </c>
      <c r="E4">
        <v>184</v>
      </c>
      <c r="F4" t="s">
        <v>85</v>
      </c>
      <c r="G4">
        <v>8651</v>
      </c>
      <c r="H4" t="s">
        <v>38</v>
      </c>
      <c r="I4">
        <v>1000008651</v>
      </c>
      <c r="J4">
        <v>28807370</v>
      </c>
      <c r="K4" t="s">
        <v>93</v>
      </c>
      <c r="L4" t="s">
        <v>87</v>
      </c>
      <c r="M4" t="s">
        <v>88</v>
      </c>
      <c r="N4">
        <v>140.5</v>
      </c>
      <c r="O4">
        <v>14.22</v>
      </c>
      <c r="P4">
        <v>2.2799999999999998</v>
      </c>
      <c r="Q4">
        <v>4.2561999999999998</v>
      </c>
      <c r="R4">
        <v>0.68100000000000005</v>
      </c>
      <c r="S4" t="s">
        <v>310</v>
      </c>
      <c r="T4">
        <v>6</v>
      </c>
      <c r="U4" t="s">
        <v>89</v>
      </c>
    </row>
    <row r="5" spans="1:22" outlineLevel="2" x14ac:dyDescent="0.25">
      <c r="A5" t="s">
        <v>82</v>
      </c>
      <c r="B5" t="s">
        <v>83</v>
      </c>
      <c r="C5">
        <v>30</v>
      </c>
      <c r="D5" t="s">
        <v>84</v>
      </c>
      <c r="E5">
        <v>184</v>
      </c>
      <c r="F5" t="s">
        <v>85</v>
      </c>
      <c r="G5">
        <v>8651</v>
      </c>
      <c r="H5" t="s">
        <v>38</v>
      </c>
      <c r="I5">
        <v>1000008651</v>
      </c>
      <c r="J5">
        <v>28811507</v>
      </c>
      <c r="K5" t="s">
        <v>171</v>
      </c>
      <c r="L5" t="s">
        <v>87</v>
      </c>
      <c r="M5" t="s">
        <v>88</v>
      </c>
      <c r="N5">
        <v>100.5</v>
      </c>
      <c r="O5">
        <v>14.22</v>
      </c>
      <c r="P5">
        <v>2.2799999999999998</v>
      </c>
      <c r="Q5">
        <v>4.2561999999999998</v>
      </c>
      <c r="R5">
        <v>0.68100000000000005</v>
      </c>
      <c r="S5" t="s">
        <v>311</v>
      </c>
      <c r="T5">
        <v>6</v>
      </c>
      <c r="U5" t="s">
        <v>89</v>
      </c>
    </row>
    <row r="6" spans="1:22" outlineLevel="2" x14ac:dyDescent="0.25">
      <c r="A6" t="s">
        <v>82</v>
      </c>
      <c r="B6" t="s">
        <v>83</v>
      </c>
      <c r="C6">
        <v>30</v>
      </c>
      <c r="D6" t="s">
        <v>84</v>
      </c>
      <c r="E6">
        <v>184</v>
      </c>
      <c r="F6" t="s">
        <v>85</v>
      </c>
      <c r="G6">
        <v>8651</v>
      </c>
      <c r="H6" t="s">
        <v>38</v>
      </c>
      <c r="I6">
        <v>1000008651</v>
      </c>
      <c r="J6">
        <v>28814615</v>
      </c>
      <c r="K6" t="s">
        <v>211</v>
      </c>
      <c r="L6" t="s">
        <v>87</v>
      </c>
      <c r="M6" t="s">
        <v>88</v>
      </c>
      <c r="N6">
        <v>96.5</v>
      </c>
      <c r="O6">
        <v>14.22</v>
      </c>
      <c r="P6">
        <v>2.2799999999999998</v>
      </c>
      <c r="Q6">
        <v>4.2561999999999998</v>
      </c>
      <c r="R6">
        <v>0.68100000000000005</v>
      </c>
      <c r="S6" t="s">
        <v>312</v>
      </c>
      <c r="T6">
        <v>6</v>
      </c>
      <c r="U6" t="s">
        <v>89</v>
      </c>
    </row>
    <row r="7" spans="1:22" outlineLevel="2" x14ac:dyDescent="0.25">
      <c r="A7" t="s">
        <v>82</v>
      </c>
      <c r="B7" t="s">
        <v>83</v>
      </c>
      <c r="C7">
        <v>30</v>
      </c>
      <c r="D7" t="s">
        <v>84</v>
      </c>
      <c r="E7">
        <v>184</v>
      </c>
      <c r="F7" t="s">
        <v>85</v>
      </c>
      <c r="G7">
        <v>8651</v>
      </c>
      <c r="H7" t="s">
        <v>38</v>
      </c>
      <c r="I7">
        <v>1000008651</v>
      </c>
      <c r="J7">
        <v>28822559</v>
      </c>
      <c r="K7" t="s">
        <v>288</v>
      </c>
      <c r="L7" t="s">
        <v>87</v>
      </c>
      <c r="M7" t="s">
        <v>88</v>
      </c>
      <c r="N7">
        <v>107.5</v>
      </c>
      <c r="O7">
        <v>14.22</v>
      </c>
      <c r="P7">
        <v>2.2799999999999998</v>
      </c>
      <c r="Q7">
        <v>4.2561999999999998</v>
      </c>
      <c r="R7">
        <v>0.68100000000000005</v>
      </c>
      <c r="S7" t="s">
        <v>313</v>
      </c>
      <c r="T7">
        <v>6</v>
      </c>
      <c r="U7" t="s">
        <v>89</v>
      </c>
    </row>
    <row r="8" spans="1:22" outlineLevel="2" x14ac:dyDescent="0.25">
      <c r="A8" t="s">
        <v>82</v>
      </c>
      <c r="B8" t="s">
        <v>83</v>
      </c>
      <c r="C8">
        <v>30</v>
      </c>
      <c r="D8" t="s">
        <v>84</v>
      </c>
      <c r="E8">
        <v>184</v>
      </c>
      <c r="F8" t="s">
        <v>85</v>
      </c>
      <c r="G8">
        <v>8651</v>
      </c>
      <c r="H8" t="s">
        <v>38</v>
      </c>
      <c r="I8">
        <v>1000008651</v>
      </c>
      <c r="J8">
        <v>28824400</v>
      </c>
      <c r="K8" t="s">
        <v>308</v>
      </c>
      <c r="L8" t="s">
        <v>87</v>
      </c>
      <c r="M8" t="s">
        <v>88</v>
      </c>
      <c r="N8">
        <v>70.5</v>
      </c>
      <c r="O8">
        <v>14.22</v>
      </c>
      <c r="P8">
        <v>2.2799999999999998</v>
      </c>
      <c r="Q8">
        <v>4.2561999999999998</v>
      </c>
      <c r="R8">
        <v>0.68100000000000005</v>
      </c>
      <c r="S8" t="s">
        <v>314</v>
      </c>
      <c r="T8">
        <v>6</v>
      </c>
      <c r="U8" t="s">
        <v>89</v>
      </c>
    </row>
    <row r="9" spans="1:22" outlineLevel="1" x14ac:dyDescent="0.25">
      <c r="H9" s="9" t="s">
        <v>531</v>
      </c>
      <c r="N9">
        <f>SUBTOTAL(9,N4:N8)</f>
        <v>515.5</v>
      </c>
    </row>
    <row r="10" spans="1:22" outlineLevel="2" x14ac:dyDescent="0.25">
      <c r="A10" t="s">
        <v>82</v>
      </c>
      <c r="B10" t="s">
        <v>83</v>
      </c>
      <c r="C10">
        <v>30</v>
      </c>
      <c r="D10" t="s">
        <v>84</v>
      </c>
      <c r="E10">
        <v>184</v>
      </c>
      <c r="F10" t="s">
        <v>85</v>
      </c>
      <c r="G10">
        <v>8652</v>
      </c>
      <c r="H10" t="s">
        <v>40</v>
      </c>
      <c r="I10">
        <v>1000008652</v>
      </c>
      <c r="J10">
        <v>28808765</v>
      </c>
      <c r="K10" t="s">
        <v>125</v>
      </c>
      <c r="L10" t="s">
        <v>87</v>
      </c>
      <c r="M10" t="s">
        <v>88</v>
      </c>
      <c r="N10">
        <v>174.5</v>
      </c>
      <c r="O10">
        <v>14.22</v>
      </c>
      <c r="P10">
        <v>2.2799999999999998</v>
      </c>
      <c r="Q10">
        <v>4.2561999999999998</v>
      </c>
      <c r="R10">
        <v>0.68100000000000005</v>
      </c>
      <c r="S10" t="s">
        <v>315</v>
      </c>
      <c r="T10">
        <v>6</v>
      </c>
      <c r="U10" t="s">
        <v>89</v>
      </c>
    </row>
    <row r="11" spans="1:22" outlineLevel="2" x14ac:dyDescent="0.25">
      <c r="A11" t="s">
        <v>82</v>
      </c>
      <c r="B11" t="s">
        <v>83</v>
      </c>
      <c r="C11">
        <v>30</v>
      </c>
      <c r="D11" t="s">
        <v>84</v>
      </c>
      <c r="E11">
        <v>184</v>
      </c>
      <c r="F11" t="s">
        <v>85</v>
      </c>
      <c r="G11">
        <v>8652</v>
      </c>
      <c r="H11" t="s">
        <v>40</v>
      </c>
      <c r="I11">
        <v>1000008652</v>
      </c>
      <c r="J11">
        <v>28809239</v>
      </c>
      <c r="K11" t="s">
        <v>133</v>
      </c>
      <c r="L11" t="s">
        <v>87</v>
      </c>
      <c r="M11" t="s">
        <v>88</v>
      </c>
      <c r="N11">
        <v>85.5</v>
      </c>
      <c r="O11">
        <v>14.22</v>
      </c>
      <c r="P11">
        <v>2.2799999999999998</v>
      </c>
      <c r="Q11">
        <v>4.2561999999999998</v>
      </c>
      <c r="R11">
        <v>0.68100000000000005</v>
      </c>
      <c r="S11" t="s">
        <v>316</v>
      </c>
      <c r="T11">
        <v>6</v>
      </c>
      <c r="U11" t="s">
        <v>89</v>
      </c>
    </row>
    <row r="12" spans="1:22" outlineLevel="2" x14ac:dyDescent="0.25">
      <c r="A12" t="s">
        <v>82</v>
      </c>
      <c r="B12" t="s">
        <v>83</v>
      </c>
      <c r="C12">
        <v>30</v>
      </c>
      <c r="D12" t="s">
        <v>84</v>
      </c>
      <c r="E12">
        <v>184</v>
      </c>
      <c r="F12" t="s">
        <v>85</v>
      </c>
      <c r="G12">
        <v>8652</v>
      </c>
      <c r="H12" t="s">
        <v>40</v>
      </c>
      <c r="I12">
        <v>1000008652</v>
      </c>
      <c r="J12">
        <v>28809890</v>
      </c>
      <c r="K12" t="s">
        <v>143</v>
      </c>
      <c r="L12" t="s">
        <v>87</v>
      </c>
      <c r="M12" t="s">
        <v>88</v>
      </c>
      <c r="N12">
        <v>232.5</v>
      </c>
      <c r="O12">
        <v>14.22</v>
      </c>
      <c r="P12">
        <v>2.2799999999999998</v>
      </c>
      <c r="Q12">
        <v>4.2561999999999998</v>
      </c>
      <c r="R12">
        <v>0.68100000000000005</v>
      </c>
      <c r="S12" t="s">
        <v>317</v>
      </c>
      <c r="T12">
        <v>6</v>
      </c>
      <c r="U12" t="s">
        <v>89</v>
      </c>
    </row>
    <row r="13" spans="1:22" outlineLevel="2" x14ac:dyDescent="0.25">
      <c r="A13" t="s">
        <v>82</v>
      </c>
      <c r="B13" t="s">
        <v>83</v>
      </c>
      <c r="C13">
        <v>30</v>
      </c>
      <c r="D13" t="s">
        <v>84</v>
      </c>
      <c r="E13">
        <v>184</v>
      </c>
      <c r="F13" t="s">
        <v>85</v>
      </c>
      <c r="G13">
        <v>8652</v>
      </c>
      <c r="H13" t="s">
        <v>40</v>
      </c>
      <c r="I13">
        <v>1000008652</v>
      </c>
      <c r="J13">
        <v>28818276</v>
      </c>
      <c r="K13" t="s">
        <v>240</v>
      </c>
      <c r="L13" t="s">
        <v>87</v>
      </c>
      <c r="M13" t="s">
        <v>88</v>
      </c>
      <c r="N13">
        <v>97.5</v>
      </c>
      <c r="O13">
        <v>14.22</v>
      </c>
      <c r="P13">
        <v>2.2799999999999998</v>
      </c>
      <c r="Q13">
        <v>4.2561999999999998</v>
      </c>
      <c r="R13">
        <v>0.68100000000000005</v>
      </c>
      <c r="S13" t="s">
        <v>318</v>
      </c>
      <c r="T13">
        <v>6</v>
      </c>
      <c r="U13" t="s">
        <v>89</v>
      </c>
    </row>
    <row r="14" spans="1:22" outlineLevel="2" x14ac:dyDescent="0.25">
      <c r="A14" t="s">
        <v>82</v>
      </c>
      <c r="B14" t="s">
        <v>83</v>
      </c>
      <c r="C14">
        <v>30</v>
      </c>
      <c r="D14" t="s">
        <v>84</v>
      </c>
      <c r="E14">
        <v>184</v>
      </c>
      <c r="F14" t="s">
        <v>85</v>
      </c>
      <c r="G14">
        <v>8652</v>
      </c>
      <c r="H14" t="s">
        <v>40</v>
      </c>
      <c r="I14">
        <v>1000008652</v>
      </c>
      <c r="J14">
        <v>28822072</v>
      </c>
      <c r="K14" t="s">
        <v>282</v>
      </c>
      <c r="L14" t="s">
        <v>87</v>
      </c>
      <c r="M14" t="s">
        <v>88</v>
      </c>
      <c r="N14">
        <v>216.5</v>
      </c>
      <c r="O14">
        <v>14.22</v>
      </c>
      <c r="P14">
        <v>2.2799999999999998</v>
      </c>
      <c r="Q14">
        <v>4.2561999999999998</v>
      </c>
      <c r="R14">
        <v>0.68100000000000005</v>
      </c>
      <c r="S14" t="s">
        <v>319</v>
      </c>
      <c r="T14">
        <v>6</v>
      </c>
      <c r="U14" t="s">
        <v>89</v>
      </c>
    </row>
    <row r="15" spans="1:22" outlineLevel="1" x14ac:dyDescent="0.25">
      <c r="H15" s="9" t="s">
        <v>532</v>
      </c>
      <c r="N15">
        <f>SUBTOTAL(9,N10:N14)</f>
        <v>806.5</v>
      </c>
    </row>
    <row r="16" spans="1:22" outlineLevel="2" x14ac:dyDescent="0.25">
      <c r="A16" t="s">
        <v>82</v>
      </c>
      <c r="B16" t="s">
        <v>83</v>
      </c>
      <c r="C16">
        <v>30</v>
      </c>
      <c r="D16" t="s">
        <v>84</v>
      </c>
      <c r="E16">
        <v>184</v>
      </c>
      <c r="F16" t="s">
        <v>85</v>
      </c>
      <c r="G16">
        <v>8653</v>
      </c>
      <c r="H16" t="s">
        <v>37</v>
      </c>
      <c r="I16">
        <v>1000008653</v>
      </c>
      <c r="J16">
        <v>28807313</v>
      </c>
      <c r="K16" t="s">
        <v>86</v>
      </c>
      <c r="L16" t="s">
        <v>87</v>
      </c>
      <c r="M16" t="s">
        <v>88</v>
      </c>
      <c r="N16">
        <v>256.5</v>
      </c>
      <c r="O16">
        <v>14.22</v>
      </c>
      <c r="P16">
        <v>2.2799999999999998</v>
      </c>
      <c r="Q16">
        <v>4.2561999999999998</v>
      </c>
      <c r="R16">
        <v>0.68100000000000005</v>
      </c>
      <c r="S16" t="s">
        <v>320</v>
      </c>
      <c r="T16">
        <v>6</v>
      </c>
      <c r="U16" t="s">
        <v>89</v>
      </c>
    </row>
    <row r="17" spans="1:22" outlineLevel="2" x14ac:dyDescent="0.25">
      <c r="A17" t="s">
        <v>82</v>
      </c>
      <c r="B17" t="s">
        <v>83</v>
      </c>
      <c r="C17">
        <v>30</v>
      </c>
      <c r="D17" t="s">
        <v>84</v>
      </c>
      <c r="E17">
        <v>184</v>
      </c>
      <c r="F17" t="s">
        <v>85</v>
      </c>
      <c r="G17">
        <v>8653</v>
      </c>
      <c r="H17" t="s">
        <v>37</v>
      </c>
      <c r="I17">
        <v>1000008653</v>
      </c>
      <c r="J17">
        <v>28808456</v>
      </c>
      <c r="K17" t="s">
        <v>118</v>
      </c>
      <c r="L17" t="s">
        <v>87</v>
      </c>
      <c r="M17" t="s">
        <v>88</v>
      </c>
      <c r="N17">
        <v>142.5</v>
      </c>
      <c r="O17">
        <v>14.22</v>
      </c>
      <c r="P17">
        <v>2.2799999999999998</v>
      </c>
      <c r="Q17">
        <v>4.2561999999999998</v>
      </c>
      <c r="R17">
        <v>0.68100000000000005</v>
      </c>
      <c r="S17" t="s">
        <v>321</v>
      </c>
      <c r="T17">
        <v>6</v>
      </c>
      <c r="U17" t="s">
        <v>89</v>
      </c>
    </row>
    <row r="18" spans="1:22" outlineLevel="2" x14ac:dyDescent="0.25">
      <c r="A18" t="s">
        <v>82</v>
      </c>
      <c r="B18" t="s">
        <v>83</v>
      </c>
      <c r="C18">
        <v>30</v>
      </c>
      <c r="D18" t="s">
        <v>84</v>
      </c>
      <c r="E18">
        <v>184</v>
      </c>
      <c r="F18" t="s">
        <v>85</v>
      </c>
      <c r="G18">
        <v>8653</v>
      </c>
      <c r="H18" t="s">
        <v>37</v>
      </c>
      <c r="I18">
        <v>1000008653</v>
      </c>
      <c r="J18">
        <v>28809367</v>
      </c>
      <c r="K18" t="s">
        <v>135</v>
      </c>
      <c r="L18" t="s">
        <v>87</v>
      </c>
      <c r="M18" t="s">
        <v>88</v>
      </c>
      <c r="N18">
        <v>124.5</v>
      </c>
      <c r="O18">
        <v>14.22</v>
      </c>
      <c r="P18">
        <v>2.2799999999999998</v>
      </c>
      <c r="Q18">
        <v>4.2561999999999998</v>
      </c>
      <c r="R18">
        <v>0.68100000000000005</v>
      </c>
      <c r="S18" t="s">
        <v>322</v>
      </c>
      <c r="T18">
        <v>6</v>
      </c>
      <c r="U18" t="s">
        <v>89</v>
      </c>
    </row>
    <row r="19" spans="1:22" outlineLevel="2" x14ac:dyDescent="0.25">
      <c r="A19" t="s">
        <v>82</v>
      </c>
      <c r="B19" t="s">
        <v>83</v>
      </c>
      <c r="C19">
        <v>30</v>
      </c>
      <c r="D19" t="s">
        <v>84</v>
      </c>
      <c r="E19">
        <v>184</v>
      </c>
      <c r="F19" t="s">
        <v>85</v>
      </c>
      <c r="G19">
        <v>8653</v>
      </c>
      <c r="H19" t="s">
        <v>37</v>
      </c>
      <c r="I19">
        <v>1000008653</v>
      </c>
      <c r="J19">
        <v>28809503</v>
      </c>
      <c r="K19" t="s">
        <v>137</v>
      </c>
      <c r="L19" t="s">
        <v>87</v>
      </c>
      <c r="M19" t="s">
        <v>88</v>
      </c>
      <c r="N19">
        <v>43.5</v>
      </c>
      <c r="O19">
        <v>14.22</v>
      </c>
      <c r="P19">
        <v>2.2799999999999998</v>
      </c>
      <c r="Q19">
        <v>4.2561999999999998</v>
      </c>
      <c r="R19">
        <v>0.68100000000000005</v>
      </c>
      <c r="S19" t="s">
        <v>323</v>
      </c>
      <c r="T19">
        <v>6</v>
      </c>
      <c r="U19" t="s">
        <v>89</v>
      </c>
    </row>
    <row r="20" spans="1:22" outlineLevel="2" x14ac:dyDescent="0.25">
      <c r="A20" t="s">
        <v>82</v>
      </c>
      <c r="B20" t="s">
        <v>83</v>
      </c>
      <c r="C20">
        <v>30</v>
      </c>
      <c r="D20" t="s">
        <v>84</v>
      </c>
      <c r="E20">
        <v>184</v>
      </c>
      <c r="F20" t="s">
        <v>85</v>
      </c>
      <c r="G20">
        <v>8653</v>
      </c>
      <c r="H20" t="s">
        <v>37</v>
      </c>
      <c r="I20">
        <v>1000008653</v>
      </c>
      <c r="J20">
        <v>28809579</v>
      </c>
      <c r="K20" t="s">
        <v>139</v>
      </c>
      <c r="L20" t="s">
        <v>87</v>
      </c>
      <c r="M20" t="s">
        <v>88</v>
      </c>
      <c r="N20">
        <v>80.5</v>
      </c>
      <c r="O20">
        <v>14.22</v>
      </c>
      <c r="P20">
        <v>2.2799999999999998</v>
      </c>
      <c r="Q20">
        <v>4.2561999999999998</v>
      </c>
      <c r="R20">
        <v>0.68100000000000005</v>
      </c>
      <c r="S20" t="s">
        <v>324</v>
      </c>
      <c r="T20">
        <v>6</v>
      </c>
      <c r="U20" t="s">
        <v>89</v>
      </c>
    </row>
    <row r="21" spans="1:22" outlineLevel="2" x14ac:dyDescent="0.25">
      <c r="A21" t="s">
        <v>82</v>
      </c>
      <c r="B21" t="s">
        <v>83</v>
      </c>
      <c r="C21">
        <v>30</v>
      </c>
      <c r="D21" t="s">
        <v>84</v>
      </c>
      <c r="E21">
        <v>184</v>
      </c>
      <c r="F21" t="s">
        <v>85</v>
      </c>
      <c r="G21">
        <v>8653</v>
      </c>
      <c r="H21" t="s">
        <v>37</v>
      </c>
      <c r="I21">
        <v>1000008653</v>
      </c>
      <c r="J21">
        <v>28809696</v>
      </c>
      <c r="K21" t="s">
        <v>141</v>
      </c>
      <c r="L21" t="s">
        <v>87</v>
      </c>
      <c r="M21" t="s">
        <v>88</v>
      </c>
      <c r="N21">
        <v>193.5</v>
      </c>
      <c r="O21">
        <v>14.22</v>
      </c>
      <c r="P21">
        <v>2.2799999999999998</v>
      </c>
      <c r="Q21">
        <v>4.2561999999999998</v>
      </c>
      <c r="R21">
        <v>0.68100000000000005</v>
      </c>
      <c r="S21" t="s">
        <v>325</v>
      </c>
      <c r="T21">
        <v>6</v>
      </c>
      <c r="U21" t="s">
        <v>89</v>
      </c>
    </row>
    <row r="22" spans="1:22" outlineLevel="2" x14ac:dyDescent="0.25">
      <c r="A22" t="s">
        <v>82</v>
      </c>
      <c r="B22" t="s">
        <v>83</v>
      </c>
      <c r="C22">
        <v>30</v>
      </c>
      <c r="D22" t="s">
        <v>84</v>
      </c>
      <c r="E22">
        <v>184</v>
      </c>
      <c r="F22" t="s">
        <v>85</v>
      </c>
      <c r="G22">
        <v>8653</v>
      </c>
      <c r="H22" t="s">
        <v>37</v>
      </c>
      <c r="I22">
        <v>1000008653</v>
      </c>
      <c r="J22">
        <v>28811278</v>
      </c>
      <c r="K22" t="s">
        <v>169</v>
      </c>
      <c r="L22" t="s">
        <v>87</v>
      </c>
      <c r="M22" t="s">
        <v>88</v>
      </c>
      <c r="N22">
        <v>106.5</v>
      </c>
      <c r="O22">
        <v>14.22</v>
      </c>
      <c r="P22">
        <v>2.2799999999999998</v>
      </c>
      <c r="Q22">
        <v>4.2561999999999998</v>
      </c>
      <c r="R22">
        <v>0.68100000000000005</v>
      </c>
      <c r="S22" t="s">
        <v>326</v>
      </c>
      <c r="T22">
        <v>6</v>
      </c>
      <c r="U22" t="s">
        <v>89</v>
      </c>
    </row>
    <row r="23" spans="1:22" outlineLevel="2" x14ac:dyDescent="0.25">
      <c r="A23" s="8" t="s">
        <v>82</v>
      </c>
      <c r="B23" s="8" t="s">
        <v>83</v>
      </c>
      <c r="C23" s="8">
        <v>30</v>
      </c>
      <c r="D23" s="8" t="s">
        <v>84</v>
      </c>
      <c r="E23" s="8">
        <v>184</v>
      </c>
      <c r="F23" s="8" t="s">
        <v>85</v>
      </c>
      <c r="G23" s="8">
        <v>8653</v>
      </c>
      <c r="H23" s="8" t="s">
        <v>37</v>
      </c>
      <c r="I23" s="8">
        <v>1000008653</v>
      </c>
      <c r="J23" s="8">
        <v>28812322</v>
      </c>
      <c r="K23" s="8" t="s">
        <v>179</v>
      </c>
      <c r="L23" s="8" t="s">
        <v>87</v>
      </c>
      <c r="M23" s="8" t="s">
        <v>88</v>
      </c>
      <c r="N23" s="8">
        <v>158.5</v>
      </c>
      <c r="O23" s="8">
        <v>14.22</v>
      </c>
      <c r="P23" s="8">
        <v>2.2799999999999998</v>
      </c>
      <c r="Q23" s="8">
        <v>4.2561999999999998</v>
      </c>
      <c r="R23" s="8">
        <v>0.68100000000000005</v>
      </c>
      <c r="S23" s="8" t="s">
        <v>526</v>
      </c>
      <c r="T23" s="8">
        <v>6</v>
      </c>
      <c r="U23" s="8" t="s">
        <v>89</v>
      </c>
      <c r="V23" s="8"/>
    </row>
    <row r="24" spans="1:22" outlineLevel="2" x14ac:dyDescent="0.25">
      <c r="A24" t="s">
        <v>82</v>
      </c>
      <c r="B24" t="s">
        <v>83</v>
      </c>
      <c r="C24">
        <v>30</v>
      </c>
      <c r="D24" t="s">
        <v>84</v>
      </c>
      <c r="E24">
        <v>184</v>
      </c>
      <c r="F24" t="s">
        <v>85</v>
      </c>
      <c r="G24">
        <v>8653</v>
      </c>
      <c r="H24" t="s">
        <v>37</v>
      </c>
      <c r="I24">
        <v>1000008653</v>
      </c>
      <c r="J24">
        <v>28812611</v>
      </c>
      <c r="K24" t="s">
        <v>186</v>
      </c>
      <c r="L24" t="s">
        <v>87</v>
      </c>
      <c r="M24" t="s">
        <v>88</v>
      </c>
      <c r="N24">
        <v>327.5</v>
      </c>
      <c r="O24">
        <v>14.22</v>
      </c>
      <c r="P24">
        <v>2.2799999999999998</v>
      </c>
      <c r="Q24">
        <v>4.2561999999999998</v>
      </c>
      <c r="R24">
        <v>0.68100000000000005</v>
      </c>
      <c r="S24" t="s">
        <v>327</v>
      </c>
      <c r="T24">
        <v>6</v>
      </c>
      <c r="U24" t="s">
        <v>89</v>
      </c>
    </row>
    <row r="25" spans="1:22" outlineLevel="2" x14ac:dyDescent="0.25">
      <c r="A25" t="s">
        <v>82</v>
      </c>
      <c r="B25" t="s">
        <v>83</v>
      </c>
      <c r="C25">
        <v>30</v>
      </c>
      <c r="D25" t="s">
        <v>84</v>
      </c>
      <c r="E25">
        <v>184</v>
      </c>
      <c r="F25" t="s">
        <v>85</v>
      </c>
      <c r="G25">
        <v>8653</v>
      </c>
      <c r="H25" t="s">
        <v>37</v>
      </c>
      <c r="I25">
        <v>1000008653</v>
      </c>
      <c r="J25">
        <v>28816248</v>
      </c>
      <c r="K25" t="s">
        <v>224</v>
      </c>
      <c r="L25" t="s">
        <v>87</v>
      </c>
      <c r="M25" t="s">
        <v>88</v>
      </c>
      <c r="N25">
        <v>115.5</v>
      </c>
      <c r="O25">
        <v>14.22</v>
      </c>
      <c r="P25">
        <v>2.2799999999999998</v>
      </c>
      <c r="Q25">
        <v>4.2561999999999998</v>
      </c>
      <c r="R25">
        <v>0.68100000000000005</v>
      </c>
      <c r="S25" t="s">
        <v>328</v>
      </c>
      <c r="T25">
        <v>6</v>
      </c>
      <c r="U25" t="s">
        <v>89</v>
      </c>
    </row>
    <row r="26" spans="1:22" outlineLevel="2" x14ac:dyDescent="0.25">
      <c r="A26" t="s">
        <v>82</v>
      </c>
      <c r="B26" t="s">
        <v>83</v>
      </c>
      <c r="C26">
        <v>30</v>
      </c>
      <c r="D26" t="s">
        <v>84</v>
      </c>
      <c r="E26">
        <v>184</v>
      </c>
      <c r="F26" t="s">
        <v>85</v>
      </c>
      <c r="G26">
        <v>8653</v>
      </c>
      <c r="H26" t="s">
        <v>37</v>
      </c>
      <c r="I26">
        <v>1000008653</v>
      </c>
      <c r="J26">
        <v>28816902</v>
      </c>
      <c r="K26" t="s">
        <v>227</v>
      </c>
      <c r="L26" t="s">
        <v>87</v>
      </c>
      <c r="M26" t="s">
        <v>88</v>
      </c>
      <c r="N26">
        <v>435.5</v>
      </c>
      <c r="O26">
        <v>14.22</v>
      </c>
      <c r="P26">
        <v>2.2799999999999998</v>
      </c>
      <c r="Q26">
        <v>4.2561999999999998</v>
      </c>
      <c r="R26">
        <v>0.68100000000000005</v>
      </c>
      <c r="S26" t="s">
        <v>329</v>
      </c>
      <c r="T26">
        <v>6</v>
      </c>
      <c r="U26" t="s">
        <v>89</v>
      </c>
    </row>
    <row r="27" spans="1:22" outlineLevel="1" x14ac:dyDescent="0.25">
      <c r="H27" s="9" t="s">
        <v>533</v>
      </c>
      <c r="N27">
        <f>SUBTOTAL(9,N16:N26)</f>
        <v>1984.5</v>
      </c>
    </row>
    <row r="28" spans="1:22" outlineLevel="2" x14ac:dyDescent="0.25">
      <c r="A28" t="s">
        <v>82</v>
      </c>
      <c r="B28" t="s">
        <v>83</v>
      </c>
      <c r="C28">
        <v>30</v>
      </c>
      <c r="D28" t="s">
        <v>84</v>
      </c>
      <c r="E28">
        <v>184</v>
      </c>
      <c r="F28" t="s">
        <v>85</v>
      </c>
      <c r="G28">
        <v>8654</v>
      </c>
      <c r="H28" t="s">
        <v>30</v>
      </c>
      <c r="I28">
        <v>1000008654</v>
      </c>
      <c r="J28">
        <v>28808569</v>
      </c>
      <c r="K28" t="s">
        <v>119</v>
      </c>
      <c r="L28" t="s">
        <v>87</v>
      </c>
      <c r="M28" t="s">
        <v>88</v>
      </c>
      <c r="N28">
        <v>122.5</v>
      </c>
      <c r="O28">
        <v>14.22</v>
      </c>
      <c r="P28">
        <v>2.2799999999999998</v>
      </c>
      <c r="Q28">
        <v>4.2561999999999998</v>
      </c>
      <c r="R28">
        <v>0.68100000000000005</v>
      </c>
      <c r="S28" t="s">
        <v>330</v>
      </c>
      <c r="T28">
        <v>6</v>
      </c>
      <c r="U28" t="s">
        <v>89</v>
      </c>
    </row>
    <row r="29" spans="1:22" outlineLevel="2" x14ac:dyDescent="0.25">
      <c r="A29" t="s">
        <v>82</v>
      </c>
      <c r="B29" t="s">
        <v>83</v>
      </c>
      <c r="C29">
        <v>30</v>
      </c>
      <c r="D29" t="s">
        <v>84</v>
      </c>
      <c r="E29">
        <v>184</v>
      </c>
      <c r="F29" t="s">
        <v>85</v>
      </c>
      <c r="G29">
        <v>8654</v>
      </c>
      <c r="H29" t="s">
        <v>30</v>
      </c>
      <c r="I29">
        <v>1000008654</v>
      </c>
      <c r="J29">
        <v>28808825</v>
      </c>
      <c r="K29" t="s">
        <v>127</v>
      </c>
      <c r="L29" t="s">
        <v>87</v>
      </c>
      <c r="M29" t="s">
        <v>88</v>
      </c>
      <c r="N29">
        <v>227.5</v>
      </c>
      <c r="O29">
        <v>14.22</v>
      </c>
      <c r="P29">
        <v>2.2799999999999998</v>
      </c>
      <c r="Q29">
        <v>4.2561999999999998</v>
      </c>
      <c r="R29">
        <v>0.68100000000000005</v>
      </c>
      <c r="S29" t="s">
        <v>331</v>
      </c>
      <c r="T29">
        <v>6</v>
      </c>
      <c r="U29" t="s">
        <v>89</v>
      </c>
    </row>
    <row r="30" spans="1:22" outlineLevel="2" x14ac:dyDescent="0.25">
      <c r="A30" t="s">
        <v>82</v>
      </c>
      <c r="B30" t="s">
        <v>83</v>
      </c>
      <c r="C30">
        <v>30</v>
      </c>
      <c r="D30" t="s">
        <v>84</v>
      </c>
      <c r="E30">
        <v>184</v>
      </c>
      <c r="F30" t="s">
        <v>85</v>
      </c>
      <c r="G30">
        <v>8654</v>
      </c>
      <c r="H30" t="s">
        <v>30</v>
      </c>
      <c r="I30">
        <v>1000008654</v>
      </c>
      <c r="J30">
        <v>28817743</v>
      </c>
      <c r="K30" t="s">
        <v>238</v>
      </c>
      <c r="L30" t="s">
        <v>87</v>
      </c>
      <c r="M30" t="s">
        <v>88</v>
      </c>
      <c r="N30">
        <v>185.5</v>
      </c>
      <c r="O30">
        <v>14.22</v>
      </c>
      <c r="P30">
        <v>2.2799999999999998</v>
      </c>
      <c r="Q30">
        <v>4.2561999999999998</v>
      </c>
      <c r="R30">
        <v>0.68100000000000005</v>
      </c>
      <c r="S30" t="s">
        <v>332</v>
      </c>
      <c r="T30">
        <v>6</v>
      </c>
      <c r="U30" t="s">
        <v>89</v>
      </c>
    </row>
    <row r="31" spans="1:22" outlineLevel="2" x14ac:dyDescent="0.25">
      <c r="A31" t="s">
        <v>82</v>
      </c>
      <c r="B31" t="s">
        <v>83</v>
      </c>
      <c r="C31">
        <v>30</v>
      </c>
      <c r="D31" t="s">
        <v>84</v>
      </c>
      <c r="E31">
        <v>184</v>
      </c>
      <c r="F31" t="s">
        <v>85</v>
      </c>
      <c r="G31">
        <v>8654</v>
      </c>
      <c r="H31" t="s">
        <v>30</v>
      </c>
      <c r="I31">
        <v>1000008654</v>
      </c>
      <c r="J31">
        <v>28820601</v>
      </c>
      <c r="K31" t="s">
        <v>268</v>
      </c>
      <c r="L31" t="s">
        <v>87</v>
      </c>
      <c r="M31" t="s">
        <v>88</v>
      </c>
      <c r="N31">
        <v>139.5</v>
      </c>
      <c r="O31">
        <v>14.22</v>
      </c>
      <c r="P31">
        <v>2.2799999999999998</v>
      </c>
      <c r="Q31">
        <v>4.2561999999999998</v>
      </c>
      <c r="R31">
        <v>0.68100000000000005</v>
      </c>
      <c r="S31" t="s">
        <v>333</v>
      </c>
      <c r="T31">
        <v>6</v>
      </c>
      <c r="U31" t="s">
        <v>89</v>
      </c>
    </row>
    <row r="32" spans="1:22" outlineLevel="1" x14ac:dyDescent="0.25">
      <c r="H32" s="9" t="s">
        <v>534</v>
      </c>
      <c r="N32">
        <f>SUBTOTAL(9,N28:N31)</f>
        <v>675</v>
      </c>
    </row>
    <row r="33" spans="1:22" outlineLevel="2" x14ac:dyDescent="0.25">
      <c r="A33" t="s">
        <v>82</v>
      </c>
      <c r="B33" t="s">
        <v>83</v>
      </c>
      <c r="C33">
        <v>30</v>
      </c>
      <c r="D33" t="s">
        <v>84</v>
      </c>
      <c r="E33">
        <v>184</v>
      </c>
      <c r="F33" t="s">
        <v>85</v>
      </c>
      <c r="G33">
        <v>8655</v>
      </c>
      <c r="H33" t="s">
        <v>29</v>
      </c>
      <c r="I33">
        <v>1000008655</v>
      </c>
      <c r="J33">
        <v>28807455</v>
      </c>
      <c r="K33" t="s">
        <v>94</v>
      </c>
      <c r="L33" t="s">
        <v>87</v>
      </c>
      <c r="M33" t="s">
        <v>88</v>
      </c>
      <c r="N33">
        <v>98.5</v>
      </c>
      <c r="O33">
        <v>14.22</v>
      </c>
      <c r="P33">
        <v>2.2799999999999998</v>
      </c>
      <c r="Q33">
        <v>4.2561999999999998</v>
      </c>
      <c r="R33">
        <v>0.68100000000000005</v>
      </c>
      <c r="S33" t="s">
        <v>334</v>
      </c>
      <c r="T33">
        <v>6</v>
      </c>
      <c r="U33" t="s">
        <v>89</v>
      </c>
    </row>
    <row r="34" spans="1:22" outlineLevel="2" x14ac:dyDescent="0.25">
      <c r="A34" t="s">
        <v>82</v>
      </c>
      <c r="B34" t="s">
        <v>83</v>
      </c>
      <c r="C34">
        <v>30</v>
      </c>
      <c r="D34" t="s">
        <v>84</v>
      </c>
      <c r="E34">
        <v>184</v>
      </c>
      <c r="F34" t="s">
        <v>85</v>
      </c>
      <c r="G34">
        <v>8655</v>
      </c>
      <c r="H34" t="s">
        <v>29</v>
      </c>
      <c r="I34">
        <v>1000008655</v>
      </c>
      <c r="J34">
        <v>28808347</v>
      </c>
      <c r="K34" t="s">
        <v>113</v>
      </c>
      <c r="L34" t="s">
        <v>87</v>
      </c>
      <c r="M34" t="s">
        <v>88</v>
      </c>
      <c r="N34">
        <v>451.5</v>
      </c>
      <c r="O34">
        <v>14.22</v>
      </c>
      <c r="P34">
        <v>2.2799999999999998</v>
      </c>
      <c r="Q34">
        <v>4.2561999999999998</v>
      </c>
      <c r="R34">
        <v>0.68100000000000005</v>
      </c>
      <c r="S34" t="s">
        <v>335</v>
      </c>
      <c r="T34">
        <v>6</v>
      </c>
      <c r="U34" t="s">
        <v>89</v>
      </c>
    </row>
    <row r="35" spans="1:22" outlineLevel="2" x14ac:dyDescent="0.25">
      <c r="A35" t="s">
        <v>82</v>
      </c>
      <c r="B35" t="s">
        <v>83</v>
      </c>
      <c r="C35">
        <v>30</v>
      </c>
      <c r="D35" t="s">
        <v>84</v>
      </c>
      <c r="E35">
        <v>184</v>
      </c>
      <c r="F35" t="s">
        <v>85</v>
      </c>
      <c r="G35">
        <v>8655</v>
      </c>
      <c r="H35" t="s">
        <v>29</v>
      </c>
      <c r="I35">
        <v>1000008655</v>
      </c>
      <c r="J35">
        <v>28808830</v>
      </c>
      <c r="K35" t="s">
        <v>128</v>
      </c>
      <c r="L35" t="s">
        <v>87</v>
      </c>
      <c r="M35" t="s">
        <v>88</v>
      </c>
      <c r="N35">
        <v>122.5</v>
      </c>
      <c r="O35">
        <v>14.22</v>
      </c>
      <c r="P35">
        <v>2.2799999999999998</v>
      </c>
      <c r="Q35">
        <v>4.2561999999999998</v>
      </c>
      <c r="R35">
        <v>0.68100000000000005</v>
      </c>
      <c r="S35" t="s">
        <v>336</v>
      </c>
      <c r="T35">
        <v>6</v>
      </c>
      <c r="U35" t="s">
        <v>89</v>
      </c>
    </row>
    <row r="36" spans="1:22" outlineLevel="2" x14ac:dyDescent="0.25">
      <c r="A36" t="s">
        <v>82</v>
      </c>
      <c r="B36" t="s">
        <v>83</v>
      </c>
      <c r="C36">
        <v>30</v>
      </c>
      <c r="D36" t="s">
        <v>84</v>
      </c>
      <c r="E36">
        <v>184</v>
      </c>
      <c r="F36" t="s">
        <v>85</v>
      </c>
      <c r="G36">
        <v>8655</v>
      </c>
      <c r="H36" t="s">
        <v>29</v>
      </c>
      <c r="I36">
        <v>1000008655</v>
      </c>
      <c r="J36">
        <v>28810266</v>
      </c>
      <c r="K36" t="s">
        <v>153</v>
      </c>
      <c r="L36" t="s">
        <v>87</v>
      </c>
      <c r="M36" t="s">
        <v>88</v>
      </c>
      <c r="N36">
        <v>663.5</v>
      </c>
      <c r="O36">
        <v>14.22</v>
      </c>
      <c r="P36">
        <v>2.2799999999999998</v>
      </c>
      <c r="Q36">
        <v>4.2561999999999998</v>
      </c>
      <c r="R36">
        <v>0.68100000000000005</v>
      </c>
      <c r="S36" t="s">
        <v>337</v>
      </c>
      <c r="T36">
        <v>6</v>
      </c>
      <c r="U36" t="s">
        <v>89</v>
      </c>
    </row>
    <row r="37" spans="1:22" outlineLevel="2" x14ac:dyDescent="0.25">
      <c r="A37" t="s">
        <v>82</v>
      </c>
      <c r="B37" t="s">
        <v>83</v>
      </c>
      <c r="C37">
        <v>30</v>
      </c>
      <c r="D37" t="s">
        <v>84</v>
      </c>
      <c r="E37">
        <v>184</v>
      </c>
      <c r="F37" t="s">
        <v>85</v>
      </c>
      <c r="G37">
        <v>8655</v>
      </c>
      <c r="H37" t="s">
        <v>29</v>
      </c>
      <c r="I37">
        <v>1000008655</v>
      </c>
      <c r="J37">
        <v>28810412</v>
      </c>
      <c r="K37" t="s">
        <v>155</v>
      </c>
      <c r="L37" t="s">
        <v>87</v>
      </c>
      <c r="M37" t="s">
        <v>88</v>
      </c>
      <c r="N37">
        <v>68.5</v>
      </c>
      <c r="O37">
        <v>14.22</v>
      </c>
      <c r="P37">
        <v>2.2799999999999998</v>
      </c>
      <c r="Q37">
        <v>4.2561999999999998</v>
      </c>
      <c r="R37">
        <v>0.68100000000000005</v>
      </c>
      <c r="S37" t="s">
        <v>338</v>
      </c>
      <c r="T37">
        <v>6</v>
      </c>
      <c r="U37" t="s">
        <v>89</v>
      </c>
    </row>
    <row r="38" spans="1:22" outlineLevel="2" x14ac:dyDescent="0.25">
      <c r="A38" t="s">
        <v>82</v>
      </c>
      <c r="B38" t="s">
        <v>83</v>
      </c>
      <c r="C38">
        <v>30</v>
      </c>
      <c r="D38" t="s">
        <v>84</v>
      </c>
      <c r="E38">
        <v>184</v>
      </c>
      <c r="F38" t="s">
        <v>85</v>
      </c>
      <c r="G38">
        <v>8655</v>
      </c>
      <c r="H38" t="s">
        <v>29</v>
      </c>
      <c r="I38">
        <v>1000008655</v>
      </c>
      <c r="J38">
        <v>28814805</v>
      </c>
      <c r="K38" t="s">
        <v>212</v>
      </c>
      <c r="L38" t="s">
        <v>87</v>
      </c>
      <c r="M38" t="s">
        <v>88</v>
      </c>
      <c r="N38">
        <v>277.5</v>
      </c>
      <c r="O38">
        <v>14.22</v>
      </c>
      <c r="P38">
        <v>2.2799999999999998</v>
      </c>
      <c r="Q38">
        <v>4.2561999999999998</v>
      </c>
      <c r="R38">
        <v>0.68100000000000005</v>
      </c>
      <c r="S38" t="s">
        <v>339</v>
      </c>
      <c r="T38">
        <v>6</v>
      </c>
      <c r="U38" t="s">
        <v>89</v>
      </c>
    </row>
    <row r="39" spans="1:22" outlineLevel="2" x14ac:dyDescent="0.25">
      <c r="A39" t="s">
        <v>82</v>
      </c>
      <c r="B39" t="s">
        <v>83</v>
      </c>
      <c r="C39">
        <v>30</v>
      </c>
      <c r="D39" t="s">
        <v>84</v>
      </c>
      <c r="E39">
        <v>184</v>
      </c>
      <c r="F39" t="s">
        <v>85</v>
      </c>
      <c r="G39">
        <v>8655</v>
      </c>
      <c r="H39" t="s">
        <v>29</v>
      </c>
      <c r="I39">
        <v>1000008655</v>
      </c>
      <c r="J39">
        <v>28818751</v>
      </c>
      <c r="K39" t="s">
        <v>245</v>
      </c>
      <c r="L39" t="s">
        <v>87</v>
      </c>
      <c r="M39" t="s">
        <v>88</v>
      </c>
      <c r="N39">
        <v>44.5</v>
      </c>
      <c r="O39">
        <v>14.22</v>
      </c>
      <c r="P39">
        <v>2.2799999999999998</v>
      </c>
      <c r="Q39">
        <v>4.2561999999999998</v>
      </c>
      <c r="R39">
        <v>0.68100000000000005</v>
      </c>
      <c r="S39" t="s">
        <v>340</v>
      </c>
      <c r="T39">
        <v>6</v>
      </c>
      <c r="U39" t="s">
        <v>89</v>
      </c>
    </row>
    <row r="40" spans="1:22" outlineLevel="2" x14ac:dyDescent="0.25">
      <c r="A40" t="s">
        <v>82</v>
      </c>
      <c r="B40" t="s">
        <v>83</v>
      </c>
      <c r="C40">
        <v>30</v>
      </c>
      <c r="D40" t="s">
        <v>84</v>
      </c>
      <c r="E40">
        <v>184</v>
      </c>
      <c r="F40" t="s">
        <v>85</v>
      </c>
      <c r="G40">
        <v>8655</v>
      </c>
      <c r="H40" t="s">
        <v>29</v>
      </c>
      <c r="I40">
        <v>1000008655</v>
      </c>
      <c r="J40">
        <v>28819554</v>
      </c>
      <c r="K40" t="s">
        <v>257</v>
      </c>
      <c r="L40" t="s">
        <v>87</v>
      </c>
      <c r="M40" t="s">
        <v>88</v>
      </c>
      <c r="N40">
        <v>154.5</v>
      </c>
      <c r="O40">
        <v>14.22</v>
      </c>
      <c r="P40">
        <v>2.2799999999999998</v>
      </c>
      <c r="Q40">
        <v>4.2561999999999998</v>
      </c>
      <c r="R40">
        <v>0.68100000000000005</v>
      </c>
      <c r="S40" t="s">
        <v>341</v>
      </c>
      <c r="T40">
        <v>6</v>
      </c>
      <c r="U40" t="s">
        <v>89</v>
      </c>
    </row>
    <row r="41" spans="1:22" outlineLevel="2" x14ac:dyDescent="0.25">
      <c r="A41" s="8" t="s">
        <v>82</v>
      </c>
      <c r="B41" s="8" t="s">
        <v>83</v>
      </c>
      <c r="C41" s="8">
        <v>30</v>
      </c>
      <c r="D41" s="8" t="s">
        <v>84</v>
      </c>
      <c r="E41" s="8">
        <v>184</v>
      </c>
      <c r="F41" s="8" t="s">
        <v>85</v>
      </c>
      <c r="G41" s="8">
        <v>8655</v>
      </c>
      <c r="H41" s="8" t="s">
        <v>29</v>
      </c>
      <c r="I41" s="8">
        <v>1000008655</v>
      </c>
      <c r="J41" s="8">
        <v>28822083</v>
      </c>
      <c r="K41" s="8" t="s">
        <v>283</v>
      </c>
      <c r="L41" s="8" t="s">
        <v>87</v>
      </c>
      <c r="M41" s="8" t="s">
        <v>88</v>
      </c>
      <c r="N41" s="8">
        <v>186.5</v>
      </c>
      <c r="O41" s="8">
        <v>14.22</v>
      </c>
      <c r="P41" s="8">
        <v>2.2799999999999998</v>
      </c>
      <c r="Q41" s="8">
        <v>4.2561999999999998</v>
      </c>
      <c r="R41" s="8">
        <v>0.68100000000000005</v>
      </c>
      <c r="S41" s="8" t="s">
        <v>527</v>
      </c>
      <c r="T41" s="8">
        <v>6</v>
      </c>
      <c r="U41" s="8" t="s">
        <v>89</v>
      </c>
      <c r="V41" s="8"/>
    </row>
    <row r="42" spans="1:22" outlineLevel="1" x14ac:dyDescent="0.25">
      <c r="A42" s="8"/>
      <c r="B42" s="8"/>
      <c r="C42" s="8"/>
      <c r="D42" s="8"/>
      <c r="E42" s="8"/>
      <c r="F42" s="8"/>
      <c r="G42" s="8"/>
      <c r="H42" s="10" t="s">
        <v>535</v>
      </c>
      <c r="I42" s="8"/>
      <c r="J42" s="8"/>
      <c r="K42" s="8"/>
      <c r="L42" s="8"/>
      <c r="M42" s="8"/>
      <c r="N42" s="8">
        <f>SUBTOTAL(9,N33:N41)</f>
        <v>2067.5</v>
      </c>
      <c r="O42" s="8"/>
      <c r="P42" s="8"/>
      <c r="Q42" s="8"/>
      <c r="R42" s="8"/>
      <c r="S42" s="8"/>
      <c r="T42" s="8"/>
      <c r="U42" s="8"/>
      <c r="V42" s="8"/>
    </row>
    <row r="43" spans="1:22" outlineLevel="2" x14ac:dyDescent="0.25">
      <c r="A43" t="s">
        <v>82</v>
      </c>
      <c r="B43" t="s">
        <v>83</v>
      </c>
      <c r="C43">
        <v>30</v>
      </c>
      <c r="D43" t="s">
        <v>84</v>
      </c>
      <c r="E43">
        <v>184</v>
      </c>
      <c r="F43" t="s">
        <v>85</v>
      </c>
      <c r="G43">
        <v>8656</v>
      </c>
      <c r="H43" t="s">
        <v>31</v>
      </c>
      <c r="I43">
        <v>1000008656</v>
      </c>
      <c r="J43">
        <v>28807320</v>
      </c>
      <c r="K43" t="s">
        <v>90</v>
      </c>
      <c r="L43" t="s">
        <v>87</v>
      </c>
      <c r="M43" t="s">
        <v>88</v>
      </c>
      <c r="N43">
        <v>112.5</v>
      </c>
      <c r="O43">
        <v>14.22</v>
      </c>
      <c r="P43">
        <v>2.2799999999999998</v>
      </c>
      <c r="Q43">
        <v>4.2561999999999998</v>
      </c>
      <c r="R43">
        <v>0.68100000000000005</v>
      </c>
      <c r="S43" t="s">
        <v>342</v>
      </c>
      <c r="T43">
        <v>6</v>
      </c>
      <c r="U43" t="s">
        <v>89</v>
      </c>
    </row>
    <row r="44" spans="1:22" outlineLevel="2" x14ac:dyDescent="0.25">
      <c r="A44" t="s">
        <v>82</v>
      </c>
      <c r="B44" t="s">
        <v>83</v>
      </c>
      <c r="C44">
        <v>30</v>
      </c>
      <c r="D44" t="s">
        <v>84</v>
      </c>
      <c r="E44">
        <v>184</v>
      </c>
      <c r="F44" t="s">
        <v>85</v>
      </c>
      <c r="G44">
        <v>8656</v>
      </c>
      <c r="H44" t="s">
        <v>31</v>
      </c>
      <c r="I44">
        <v>1000008656</v>
      </c>
      <c r="J44">
        <v>28808428</v>
      </c>
      <c r="K44" t="s">
        <v>116</v>
      </c>
      <c r="L44" t="s">
        <v>87</v>
      </c>
      <c r="M44" t="s">
        <v>88</v>
      </c>
      <c r="N44">
        <v>1008.5</v>
      </c>
      <c r="O44">
        <v>14.22</v>
      </c>
      <c r="P44">
        <v>2.2799999999999998</v>
      </c>
      <c r="Q44">
        <v>4.2561999999999998</v>
      </c>
      <c r="R44">
        <v>0.68100000000000005</v>
      </c>
      <c r="S44" t="s">
        <v>343</v>
      </c>
      <c r="T44">
        <v>6</v>
      </c>
      <c r="U44" t="s">
        <v>89</v>
      </c>
    </row>
    <row r="45" spans="1:22" outlineLevel="2" x14ac:dyDescent="0.25">
      <c r="A45" t="s">
        <v>82</v>
      </c>
      <c r="B45" t="s">
        <v>83</v>
      </c>
      <c r="C45">
        <v>30</v>
      </c>
      <c r="D45" t="s">
        <v>84</v>
      </c>
      <c r="E45">
        <v>184</v>
      </c>
      <c r="F45" t="s">
        <v>85</v>
      </c>
      <c r="G45">
        <v>8656</v>
      </c>
      <c r="H45" t="s">
        <v>31</v>
      </c>
      <c r="I45">
        <v>1000008656</v>
      </c>
      <c r="J45">
        <v>28810849</v>
      </c>
      <c r="K45" t="s">
        <v>163</v>
      </c>
      <c r="L45" t="s">
        <v>87</v>
      </c>
      <c r="M45" t="s">
        <v>88</v>
      </c>
      <c r="N45">
        <v>123.5</v>
      </c>
      <c r="O45">
        <v>14.22</v>
      </c>
      <c r="P45">
        <v>2.2799999999999998</v>
      </c>
      <c r="Q45">
        <v>4.2561999999999998</v>
      </c>
      <c r="R45">
        <v>0.68100000000000005</v>
      </c>
      <c r="S45" t="s">
        <v>344</v>
      </c>
      <c r="T45">
        <v>6</v>
      </c>
      <c r="U45" t="s">
        <v>89</v>
      </c>
    </row>
    <row r="46" spans="1:22" outlineLevel="2" x14ac:dyDescent="0.25">
      <c r="A46" t="s">
        <v>82</v>
      </c>
      <c r="B46" t="s">
        <v>83</v>
      </c>
      <c r="C46">
        <v>30</v>
      </c>
      <c r="D46" t="s">
        <v>84</v>
      </c>
      <c r="E46">
        <v>184</v>
      </c>
      <c r="F46" t="s">
        <v>85</v>
      </c>
      <c r="G46">
        <v>8656</v>
      </c>
      <c r="H46" t="s">
        <v>31</v>
      </c>
      <c r="I46">
        <v>1000008656</v>
      </c>
      <c r="J46">
        <v>28811242</v>
      </c>
      <c r="K46" t="s">
        <v>167</v>
      </c>
      <c r="L46" t="s">
        <v>87</v>
      </c>
      <c r="M46" t="s">
        <v>88</v>
      </c>
      <c r="N46">
        <v>137.5</v>
      </c>
      <c r="O46">
        <v>14.22</v>
      </c>
      <c r="P46">
        <v>2.2799999999999998</v>
      </c>
      <c r="Q46">
        <v>4.2561999999999998</v>
      </c>
      <c r="R46">
        <v>0.68100000000000005</v>
      </c>
      <c r="S46" t="s">
        <v>345</v>
      </c>
      <c r="T46">
        <v>6</v>
      </c>
      <c r="U46" t="s">
        <v>89</v>
      </c>
    </row>
    <row r="47" spans="1:22" outlineLevel="2" x14ac:dyDescent="0.25">
      <c r="A47" t="s">
        <v>82</v>
      </c>
      <c r="B47" t="s">
        <v>83</v>
      </c>
      <c r="C47">
        <v>30</v>
      </c>
      <c r="D47" t="s">
        <v>84</v>
      </c>
      <c r="E47">
        <v>184</v>
      </c>
      <c r="F47" t="s">
        <v>85</v>
      </c>
      <c r="G47">
        <v>8656</v>
      </c>
      <c r="H47" t="s">
        <v>31</v>
      </c>
      <c r="I47">
        <v>1000008656</v>
      </c>
      <c r="J47">
        <v>28813315</v>
      </c>
      <c r="K47" t="s">
        <v>200</v>
      </c>
      <c r="L47" t="s">
        <v>87</v>
      </c>
      <c r="M47" t="s">
        <v>88</v>
      </c>
      <c r="N47">
        <v>710.5</v>
      </c>
      <c r="O47">
        <v>14.22</v>
      </c>
      <c r="P47">
        <v>2.2799999999999998</v>
      </c>
      <c r="Q47">
        <v>4.2561999999999998</v>
      </c>
      <c r="R47">
        <v>0.68100000000000005</v>
      </c>
      <c r="S47" t="s">
        <v>346</v>
      </c>
      <c r="T47">
        <v>6</v>
      </c>
      <c r="U47" t="s">
        <v>89</v>
      </c>
    </row>
    <row r="48" spans="1:22" outlineLevel="2" x14ac:dyDescent="0.25">
      <c r="A48" t="s">
        <v>82</v>
      </c>
      <c r="B48" t="s">
        <v>83</v>
      </c>
      <c r="C48">
        <v>30</v>
      </c>
      <c r="D48" t="s">
        <v>84</v>
      </c>
      <c r="E48">
        <v>184</v>
      </c>
      <c r="F48" t="s">
        <v>85</v>
      </c>
      <c r="G48">
        <v>8656</v>
      </c>
      <c r="H48" t="s">
        <v>31</v>
      </c>
      <c r="I48">
        <v>1000008656</v>
      </c>
      <c r="J48">
        <v>28813704</v>
      </c>
      <c r="K48" t="s">
        <v>204</v>
      </c>
      <c r="L48" t="s">
        <v>87</v>
      </c>
      <c r="M48" t="s">
        <v>88</v>
      </c>
      <c r="N48">
        <v>118.5</v>
      </c>
      <c r="O48">
        <v>14.22</v>
      </c>
      <c r="P48">
        <v>2.2799999999999998</v>
      </c>
      <c r="Q48">
        <v>4.2561999999999998</v>
      </c>
      <c r="R48">
        <v>0.68100000000000005</v>
      </c>
      <c r="S48" t="s">
        <v>347</v>
      </c>
      <c r="T48">
        <v>6</v>
      </c>
      <c r="U48" t="s">
        <v>89</v>
      </c>
    </row>
    <row r="49" spans="1:21" outlineLevel="2" x14ac:dyDescent="0.25">
      <c r="A49" t="s">
        <v>82</v>
      </c>
      <c r="B49" t="s">
        <v>83</v>
      </c>
      <c r="C49">
        <v>30</v>
      </c>
      <c r="D49" t="s">
        <v>84</v>
      </c>
      <c r="E49">
        <v>184</v>
      </c>
      <c r="F49" t="s">
        <v>85</v>
      </c>
      <c r="G49">
        <v>8656</v>
      </c>
      <c r="H49" t="s">
        <v>31</v>
      </c>
      <c r="I49">
        <v>1000008656</v>
      </c>
      <c r="J49">
        <v>28824174</v>
      </c>
      <c r="K49" t="s">
        <v>306</v>
      </c>
      <c r="L49" t="s">
        <v>87</v>
      </c>
      <c r="M49" t="s">
        <v>88</v>
      </c>
      <c r="N49">
        <v>45.5</v>
      </c>
      <c r="O49">
        <v>14.22</v>
      </c>
      <c r="P49">
        <v>2.2799999999999998</v>
      </c>
      <c r="Q49">
        <v>4.2561999999999998</v>
      </c>
      <c r="R49">
        <v>0.68100000000000005</v>
      </c>
      <c r="S49" t="s">
        <v>348</v>
      </c>
      <c r="T49">
        <v>6</v>
      </c>
      <c r="U49" t="s">
        <v>89</v>
      </c>
    </row>
    <row r="50" spans="1:21" outlineLevel="1" x14ac:dyDescent="0.25">
      <c r="H50" s="9" t="s">
        <v>536</v>
      </c>
      <c r="N50">
        <f>SUBTOTAL(9,N43:N49)</f>
        <v>2256.5</v>
      </c>
    </row>
    <row r="51" spans="1:21" outlineLevel="2" x14ac:dyDescent="0.25">
      <c r="A51" t="s">
        <v>82</v>
      </c>
      <c r="B51" t="s">
        <v>83</v>
      </c>
      <c r="C51">
        <v>30</v>
      </c>
      <c r="D51" t="s">
        <v>84</v>
      </c>
      <c r="E51">
        <v>184</v>
      </c>
      <c r="F51" t="s">
        <v>85</v>
      </c>
      <c r="G51">
        <v>8657</v>
      </c>
      <c r="H51" t="s">
        <v>44</v>
      </c>
      <c r="I51">
        <v>1000008657</v>
      </c>
      <c r="J51">
        <v>28808684</v>
      </c>
      <c r="K51" t="s">
        <v>121</v>
      </c>
      <c r="L51" t="s">
        <v>87</v>
      </c>
      <c r="M51" t="s">
        <v>88</v>
      </c>
      <c r="N51">
        <v>88.5</v>
      </c>
      <c r="O51">
        <v>14.22</v>
      </c>
      <c r="P51">
        <v>2.2799999999999998</v>
      </c>
      <c r="Q51">
        <v>4.2561999999999998</v>
      </c>
      <c r="R51">
        <v>0.68100000000000005</v>
      </c>
      <c r="S51" t="s">
        <v>349</v>
      </c>
      <c r="T51">
        <v>6</v>
      </c>
      <c r="U51" t="s">
        <v>89</v>
      </c>
    </row>
    <row r="52" spans="1:21" outlineLevel="2" x14ac:dyDescent="0.25">
      <c r="A52" t="s">
        <v>82</v>
      </c>
      <c r="B52" t="s">
        <v>83</v>
      </c>
      <c r="C52">
        <v>30</v>
      </c>
      <c r="D52" t="s">
        <v>84</v>
      </c>
      <c r="E52">
        <v>184</v>
      </c>
      <c r="F52" t="s">
        <v>85</v>
      </c>
      <c r="G52">
        <v>8657</v>
      </c>
      <c r="H52" t="s">
        <v>44</v>
      </c>
      <c r="I52">
        <v>1000008657</v>
      </c>
      <c r="J52">
        <v>28808755</v>
      </c>
      <c r="K52" t="s">
        <v>124</v>
      </c>
      <c r="L52" t="s">
        <v>87</v>
      </c>
      <c r="M52" t="s">
        <v>88</v>
      </c>
      <c r="N52">
        <v>88.5</v>
      </c>
      <c r="O52">
        <v>14.22</v>
      </c>
      <c r="P52">
        <v>2.2799999999999998</v>
      </c>
      <c r="Q52">
        <v>4.2561999999999998</v>
      </c>
      <c r="R52">
        <v>0.68100000000000005</v>
      </c>
      <c r="S52" t="s">
        <v>350</v>
      </c>
      <c r="T52">
        <v>6</v>
      </c>
      <c r="U52" t="s">
        <v>89</v>
      </c>
    </row>
    <row r="53" spans="1:21" outlineLevel="2" x14ac:dyDescent="0.25">
      <c r="A53" t="s">
        <v>82</v>
      </c>
      <c r="B53" t="s">
        <v>83</v>
      </c>
      <c r="C53">
        <v>30</v>
      </c>
      <c r="D53" t="s">
        <v>84</v>
      </c>
      <c r="E53">
        <v>184</v>
      </c>
      <c r="F53" t="s">
        <v>85</v>
      </c>
      <c r="G53">
        <v>8657</v>
      </c>
      <c r="H53" t="s">
        <v>44</v>
      </c>
      <c r="I53">
        <v>1000008657</v>
      </c>
      <c r="J53">
        <v>28809008</v>
      </c>
      <c r="K53" t="s">
        <v>130</v>
      </c>
      <c r="L53" t="s">
        <v>87</v>
      </c>
      <c r="M53" t="s">
        <v>88</v>
      </c>
      <c r="N53">
        <v>44.5</v>
      </c>
      <c r="O53">
        <v>14.22</v>
      </c>
      <c r="P53">
        <v>2.2799999999999998</v>
      </c>
      <c r="Q53">
        <v>4.2561999999999998</v>
      </c>
      <c r="R53">
        <v>0.68100000000000005</v>
      </c>
      <c r="S53" t="s">
        <v>351</v>
      </c>
      <c r="T53">
        <v>6</v>
      </c>
      <c r="U53" t="s">
        <v>89</v>
      </c>
    </row>
    <row r="54" spans="1:21" outlineLevel="2" x14ac:dyDescent="0.25">
      <c r="A54" t="s">
        <v>82</v>
      </c>
      <c r="B54" t="s">
        <v>83</v>
      </c>
      <c r="C54">
        <v>30</v>
      </c>
      <c r="D54" t="s">
        <v>84</v>
      </c>
      <c r="E54">
        <v>184</v>
      </c>
      <c r="F54" t="s">
        <v>85</v>
      </c>
      <c r="G54">
        <v>8657</v>
      </c>
      <c r="H54" t="s">
        <v>44</v>
      </c>
      <c r="I54">
        <v>1000008657</v>
      </c>
      <c r="J54">
        <v>28809813</v>
      </c>
      <c r="K54" t="s">
        <v>142</v>
      </c>
      <c r="L54" t="s">
        <v>87</v>
      </c>
      <c r="M54" t="s">
        <v>88</v>
      </c>
      <c r="N54">
        <v>118.5</v>
      </c>
      <c r="O54">
        <v>14.22</v>
      </c>
      <c r="P54">
        <v>2.2799999999999998</v>
      </c>
      <c r="Q54">
        <v>4.2561999999999998</v>
      </c>
      <c r="R54">
        <v>0.68100000000000005</v>
      </c>
      <c r="S54" t="s">
        <v>352</v>
      </c>
      <c r="T54">
        <v>6</v>
      </c>
      <c r="U54" t="s">
        <v>89</v>
      </c>
    </row>
    <row r="55" spans="1:21" outlineLevel="2" x14ac:dyDescent="0.25">
      <c r="A55" t="s">
        <v>82</v>
      </c>
      <c r="B55" t="s">
        <v>83</v>
      </c>
      <c r="C55">
        <v>30</v>
      </c>
      <c r="D55" t="s">
        <v>84</v>
      </c>
      <c r="E55">
        <v>184</v>
      </c>
      <c r="F55" t="s">
        <v>85</v>
      </c>
      <c r="G55">
        <v>8657</v>
      </c>
      <c r="H55" t="s">
        <v>44</v>
      </c>
      <c r="I55">
        <v>1000008657</v>
      </c>
      <c r="J55">
        <v>28812692</v>
      </c>
      <c r="K55" t="s">
        <v>187</v>
      </c>
      <c r="L55" t="s">
        <v>87</v>
      </c>
      <c r="M55" t="s">
        <v>88</v>
      </c>
      <c r="N55">
        <v>77.5</v>
      </c>
      <c r="O55">
        <v>14.22</v>
      </c>
      <c r="P55">
        <v>2.2799999999999998</v>
      </c>
      <c r="Q55">
        <v>4.2561999999999998</v>
      </c>
      <c r="R55">
        <v>0.68100000000000005</v>
      </c>
      <c r="S55" t="s">
        <v>353</v>
      </c>
      <c r="T55">
        <v>6</v>
      </c>
      <c r="U55" t="s">
        <v>89</v>
      </c>
    </row>
    <row r="56" spans="1:21" outlineLevel="2" x14ac:dyDescent="0.25">
      <c r="A56" t="s">
        <v>82</v>
      </c>
      <c r="B56" t="s">
        <v>83</v>
      </c>
      <c r="C56">
        <v>30</v>
      </c>
      <c r="D56" t="s">
        <v>84</v>
      </c>
      <c r="E56">
        <v>184</v>
      </c>
      <c r="F56" t="s">
        <v>85</v>
      </c>
      <c r="G56">
        <v>8657</v>
      </c>
      <c r="H56" t="s">
        <v>44</v>
      </c>
      <c r="I56">
        <v>1000008657</v>
      </c>
      <c r="J56">
        <v>28819137</v>
      </c>
      <c r="K56" t="s">
        <v>249</v>
      </c>
      <c r="L56" t="s">
        <v>87</v>
      </c>
      <c r="M56" t="s">
        <v>88</v>
      </c>
      <c r="N56">
        <v>154.5</v>
      </c>
      <c r="O56">
        <v>14.22</v>
      </c>
      <c r="P56">
        <v>2.2799999999999998</v>
      </c>
      <c r="Q56">
        <v>4.2561999999999998</v>
      </c>
      <c r="R56">
        <v>0.68100000000000005</v>
      </c>
      <c r="S56" t="s">
        <v>354</v>
      </c>
      <c r="T56">
        <v>6</v>
      </c>
      <c r="U56" t="s">
        <v>89</v>
      </c>
    </row>
    <row r="57" spans="1:21" outlineLevel="2" x14ac:dyDescent="0.25">
      <c r="A57" t="s">
        <v>82</v>
      </c>
      <c r="B57" t="s">
        <v>83</v>
      </c>
      <c r="C57">
        <v>30</v>
      </c>
      <c r="D57" t="s">
        <v>84</v>
      </c>
      <c r="E57">
        <v>184</v>
      </c>
      <c r="F57" t="s">
        <v>85</v>
      </c>
      <c r="G57">
        <v>8657</v>
      </c>
      <c r="H57" t="s">
        <v>44</v>
      </c>
      <c r="I57">
        <v>1000008657</v>
      </c>
      <c r="J57">
        <v>28819770</v>
      </c>
      <c r="K57" t="s">
        <v>262</v>
      </c>
      <c r="L57" t="s">
        <v>87</v>
      </c>
      <c r="M57" t="s">
        <v>88</v>
      </c>
      <c r="N57">
        <v>100.5</v>
      </c>
      <c r="O57">
        <v>14.22</v>
      </c>
      <c r="P57">
        <v>2.2799999999999998</v>
      </c>
      <c r="Q57">
        <v>4.2561999999999998</v>
      </c>
      <c r="R57">
        <v>0.68100000000000005</v>
      </c>
      <c r="S57" t="s">
        <v>355</v>
      </c>
      <c r="T57">
        <v>6</v>
      </c>
      <c r="U57" t="s">
        <v>89</v>
      </c>
    </row>
    <row r="58" spans="1:21" outlineLevel="2" x14ac:dyDescent="0.25">
      <c r="A58" t="s">
        <v>82</v>
      </c>
      <c r="B58" t="s">
        <v>83</v>
      </c>
      <c r="C58">
        <v>30</v>
      </c>
      <c r="D58" t="s">
        <v>84</v>
      </c>
      <c r="E58">
        <v>184</v>
      </c>
      <c r="F58" t="s">
        <v>85</v>
      </c>
      <c r="G58">
        <v>8657</v>
      </c>
      <c r="H58" t="s">
        <v>44</v>
      </c>
      <c r="I58">
        <v>1000008657</v>
      </c>
      <c r="J58">
        <v>28819787</v>
      </c>
      <c r="K58" t="s">
        <v>263</v>
      </c>
      <c r="L58" t="s">
        <v>87</v>
      </c>
      <c r="M58" t="s">
        <v>88</v>
      </c>
      <c r="N58">
        <v>256.5</v>
      </c>
      <c r="O58">
        <v>14.22</v>
      </c>
      <c r="P58">
        <v>2.2799999999999998</v>
      </c>
      <c r="Q58">
        <v>4.2561999999999998</v>
      </c>
      <c r="R58">
        <v>0.68100000000000005</v>
      </c>
      <c r="S58" t="s">
        <v>356</v>
      </c>
      <c r="T58">
        <v>6</v>
      </c>
      <c r="U58" t="s">
        <v>89</v>
      </c>
    </row>
    <row r="59" spans="1:21" outlineLevel="1" x14ac:dyDescent="0.25">
      <c r="H59" s="9" t="s">
        <v>537</v>
      </c>
      <c r="N59">
        <f>SUBTOTAL(9,N51:N58)</f>
        <v>929</v>
      </c>
    </row>
    <row r="60" spans="1:21" outlineLevel="2" x14ac:dyDescent="0.25">
      <c r="A60" t="s">
        <v>82</v>
      </c>
      <c r="B60" t="s">
        <v>83</v>
      </c>
      <c r="C60">
        <v>30</v>
      </c>
      <c r="D60" t="s">
        <v>84</v>
      </c>
      <c r="E60">
        <v>184</v>
      </c>
      <c r="F60" t="s">
        <v>85</v>
      </c>
      <c r="G60">
        <v>8658</v>
      </c>
      <c r="H60" t="s">
        <v>33</v>
      </c>
      <c r="I60">
        <v>1000008658</v>
      </c>
      <c r="J60">
        <v>28807584</v>
      </c>
      <c r="K60" t="s">
        <v>98</v>
      </c>
      <c r="L60" t="s">
        <v>87</v>
      </c>
      <c r="M60" t="s">
        <v>88</v>
      </c>
      <c r="N60">
        <v>248.5</v>
      </c>
      <c r="O60">
        <v>14.22</v>
      </c>
      <c r="P60">
        <v>2.2799999999999998</v>
      </c>
      <c r="Q60">
        <v>4.2561999999999998</v>
      </c>
      <c r="R60">
        <v>0.68100000000000005</v>
      </c>
      <c r="S60" t="s">
        <v>357</v>
      </c>
      <c r="T60">
        <v>6</v>
      </c>
      <c r="U60" t="s">
        <v>89</v>
      </c>
    </row>
    <row r="61" spans="1:21" outlineLevel="2" x14ac:dyDescent="0.25">
      <c r="A61" t="s">
        <v>82</v>
      </c>
      <c r="B61" t="s">
        <v>83</v>
      </c>
      <c r="C61">
        <v>30</v>
      </c>
      <c r="D61" t="s">
        <v>84</v>
      </c>
      <c r="E61">
        <v>184</v>
      </c>
      <c r="F61" t="s">
        <v>85</v>
      </c>
      <c r="G61">
        <v>8658</v>
      </c>
      <c r="H61" t="s">
        <v>33</v>
      </c>
      <c r="I61">
        <v>1000008658</v>
      </c>
      <c r="J61">
        <v>28808208</v>
      </c>
      <c r="K61" t="s">
        <v>110</v>
      </c>
      <c r="L61" t="s">
        <v>87</v>
      </c>
      <c r="M61" t="s">
        <v>88</v>
      </c>
      <c r="N61">
        <v>196.5</v>
      </c>
      <c r="O61">
        <v>14.22</v>
      </c>
      <c r="P61">
        <v>2.2799999999999998</v>
      </c>
      <c r="Q61">
        <v>4.2561999999999998</v>
      </c>
      <c r="R61">
        <v>0.68100000000000005</v>
      </c>
      <c r="S61" t="s">
        <v>358</v>
      </c>
      <c r="T61">
        <v>6</v>
      </c>
      <c r="U61" t="s">
        <v>89</v>
      </c>
    </row>
    <row r="62" spans="1:21" outlineLevel="2" x14ac:dyDescent="0.25">
      <c r="A62" t="s">
        <v>82</v>
      </c>
      <c r="B62" t="s">
        <v>83</v>
      </c>
      <c r="C62">
        <v>30</v>
      </c>
      <c r="D62" t="s">
        <v>84</v>
      </c>
      <c r="E62">
        <v>184</v>
      </c>
      <c r="F62" t="s">
        <v>85</v>
      </c>
      <c r="G62">
        <v>8658</v>
      </c>
      <c r="H62" t="s">
        <v>33</v>
      </c>
      <c r="I62">
        <v>1000008658</v>
      </c>
      <c r="J62">
        <v>28808305</v>
      </c>
      <c r="K62" t="s">
        <v>112</v>
      </c>
      <c r="L62" t="s">
        <v>87</v>
      </c>
      <c r="M62" t="s">
        <v>88</v>
      </c>
      <c r="N62">
        <v>168.5</v>
      </c>
      <c r="O62">
        <v>14.22</v>
      </c>
      <c r="P62">
        <v>2.2799999999999998</v>
      </c>
      <c r="Q62">
        <v>4.2561999999999998</v>
      </c>
      <c r="R62">
        <v>0.68100000000000005</v>
      </c>
      <c r="S62" t="s">
        <v>359</v>
      </c>
      <c r="T62">
        <v>6</v>
      </c>
      <c r="U62" t="s">
        <v>89</v>
      </c>
    </row>
    <row r="63" spans="1:21" outlineLevel="2" x14ac:dyDescent="0.25">
      <c r="A63" t="s">
        <v>82</v>
      </c>
      <c r="B63" t="s">
        <v>83</v>
      </c>
      <c r="C63">
        <v>30</v>
      </c>
      <c r="D63" t="s">
        <v>84</v>
      </c>
      <c r="E63">
        <v>184</v>
      </c>
      <c r="F63" t="s">
        <v>85</v>
      </c>
      <c r="G63">
        <v>8658</v>
      </c>
      <c r="H63" t="s">
        <v>33</v>
      </c>
      <c r="I63">
        <v>1000008658</v>
      </c>
      <c r="J63">
        <v>28808580</v>
      </c>
      <c r="K63" t="s">
        <v>120</v>
      </c>
      <c r="L63" t="s">
        <v>87</v>
      </c>
      <c r="M63" t="s">
        <v>88</v>
      </c>
      <c r="N63">
        <v>90.5</v>
      </c>
      <c r="O63">
        <v>14.22</v>
      </c>
      <c r="P63">
        <v>2.2799999999999998</v>
      </c>
      <c r="Q63">
        <v>4.2561999999999998</v>
      </c>
      <c r="R63">
        <v>0.68100000000000005</v>
      </c>
      <c r="S63" t="s">
        <v>360</v>
      </c>
      <c r="T63">
        <v>6</v>
      </c>
      <c r="U63" t="s">
        <v>89</v>
      </c>
    </row>
    <row r="64" spans="1:21" outlineLevel="2" x14ac:dyDescent="0.25">
      <c r="A64" t="s">
        <v>82</v>
      </c>
      <c r="B64" t="s">
        <v>83</v>
      </c>
      <c r="C64">
        <v>30</v>
      </c>
      <c r="D64" t="s">
        <v>84</v>
      </c>
      <c r="E64">
        <v>184</v>
      </c>
      <c r="F64" t="s">
        <v>85</v>
      </c>
      <c r="G64">
        <v>8658</v>
      </c>
      <c r="H64" t="s">
        <v>33</v>
      </c>
      <c r="I64">
        <v>1000008658</v>
      </c>
      <c r="J64">
        <v>28808738</v>
      </c>
      <c r="K64" t="s">
        <v>123</v>
      </c>
      <c r="L64" t="s">
        <v>87</v>
      </c>
      <c r="M64" t="s">
        <v>88</v>
      </c>
      <c r="N64">
        <v>558.5</v>
      </c>
      <c r="O64">
        <v>14.22</v>
      </c>
      <c r="P64">
        <v>2.2799999999999998</v>
      </c>
      <c r="Q64">
        <v>4.2561999999999998</v>
      </c>
      <c r="R64">
        <v>0.68100000000000005</v>
      </c>
      <c r="S64" t="s">
        <v>361</v>
      </c>
      <c r="T64">
        <v>6</v>
      </c>
      <c r="U64" t="s">
        <v>89</v>
      </c>
    </row>
    <row r="65" spans="1:21" outlineLevel="2" x14ac:dyDescent="0.25">
      <c r="A65" t="s">
        <v>82</v>
      </c>
      <c r="B65" t="s">
        <v>83</v>
      </c>
      <c r="C65">
        <v>30</v>
      </c>
      <c r="D65" t="s">
        <v>84</v>
      </c>
      <c r="E65">
        <v>184</v>
      </c>
      <c r="F65" t="s">
        <v>85</v>
      </c>
      <c r="G65">
        <v>8658</v>
      </c>
      <c r="H65" t="s">
        <v>33</v>
      </c>
      <c r="I65">
        <v>1000008658</v>
      </c>
      <c r="J65">
        <v>28809068</v>
      </c>
      <c r="K65" t="s">
        <v>131</v>
      </c>
      <c r="L65" t="s">
        <v>87</v>
      </c>
      <c r="M65" t="s">
        <v>88</v>
      </c>
      <c r="N65">
        <v>84.5</v>
      </c>
      <c r="O65">
        <v>14.22</v>
      </c>
      <c r="P65">
        <v>2.2799999999999998</v>
      </c>
      <c r="Q65">
        <v>4.2561999999999998</v>
      </c>
      <c r="R65">
        <v>0.68100000000000005</v>
      </c>
      <c r="S65" t="s">
        <v>362</v>
      </c>
      <c r="T65">
        <v>6</v>
      </c>
      <c r="U65" t="s">
        <v>89</v>
      </c>
    </row>
    <row r="66" spans="1:21" outlineLevel="2" x14ac:dyDescent="0.25">
      <c r="A66" t="s">
        <v>82</v>
      </c>
      <c r="B66" t="s">
        <v>83</v>
      </c>
      <c r="C66">
        <v>30</v>
      </c>
      <c r="D66" t="s">
        <v>84</v>
      </c>
      <c r="E66">
        <v>184</v>
      </c>
      <c r="F66" t="s">
        <v>85</v>
      </c>
      <c r="G66">
        <v>8658</v>
      </c>
      <c r="H66" t="s">
        <v>33</v>
      </c>
      <c r="I66">
        <v>1000008658</v>
      </c>
      <c r="J66">
        <v>28809142</v>
      </c>
      <c r="K66" t="s">
        <v>132</v>
      </c>
      <c r="L66" t="s">
        <v>87</v>
      </c>
      <c r="M66" t="s">
        <v>88</v>
      </c>
      <c r="N66">
        <v>315.5</v>
      </c>
      <c r="O66">
        <v>14.22</v>
      </c>
      <c r="P66">
        <v>2.2799999999999998</v>
      </c>
      <c r="Q66">
        <v>4.2561999999999998</v>
      </c>
      <c r="R66">
        <v>0.68100000000000005</v>
      </c>
      <c r="S66" t="s">
        <v>363</v>
      </c>
      <c r="T66">
        <v>6</v>
      </c>
      <c r="U66" t="s">
        <v>89</v>
      </c>
    </row>
    <row r="67" spans="1:21" outlineLevel="2" x14ac:dyDescent="0.25">
      <c r="A67" t="s">
        <v>82</v>
      </c>
      <c r="B67" t="s">
        <v>83</v>
      </c>
      <c r="C67">
        <v>30</v>
      </c>
      <c r="D67" t="s">
        <v>84</v>
      </c>
      <c r="E67">
        <v>184</v>
      </c>
      <c r="F67" t="s">
        <v>85</v>
      </c>
      <c r="G67">
        <v>8658</v>
      </c>
      <c r="H67" t="s">
        <v>33</v>
      </c>
      <c r="I67">
        <v>1000008658</v>
      </c>
      <c r="J67">
        <v>28810050</v>
      </c>
      <c r="K67" t="s">
        <v>149</v>
      </c>
      <c r="L67" t="s">
        <v>87</v>
      </c>
      <c r="M67" t="s">
        <v>88</v>
      </c>
      <c r="N67">
        <v>124.5</v>
      </c>
      <c r="O67">
        <v>14.22</v>
      </c>
      <c r="P67">
        <v>2.2799999999999998</v>
      </c>
      <c r="Q67">
        <v>4.2561999999999998</v>
      </c>
      <c r="R67">
        <v>0.68100000000000005</v>
      </c>
      <c r="S67" t="s">
        <v>364</v>
      </c>
      <c r="T67">
        <v>6</v>
      </c>
      <c r="U67" t="s">
        <v>89</v>
      </c>
    </row>
    <row r="68" spans="1:21" outlineLevel="2" x14ac:dyDescent="0.25">
      <c r="A68" t="s">
        <v>82</v>
      </c>
      <c r="B68" t="s">
        <v>83</v>
      </c>
      <c r="C68">
        <v>30</v>
      </c>
      <c r="D68" t="s">
        <v>84</v>
      </c>
      <c r="E68">
        <v>184</v>
      </c>
      <c r="F68" t="s">
        <v>85</v>
      </c>
      <c r="G68">
        <v>8658</v>
      </c>
      <c r="H68" t="s">
        <v>33</v>
      </c>
      <c r="I68">
        <v>1000008658</v>
      </c>
      <c r="J68">
        <v>28810100</v>
      </c>
      <c r="K68" t="s">
        <v>151</v>
      </c>
      <c r="L68" t="s">
        <v>87</v>
      </c>
      <c r="M68" t="s">
        <v>88</v>
      </c>
      <c r="N68">
        <v>252.5</v>
      </c>
      <c r="O68">
        <v>14.22</v>
      </c>
      <c r="P68">
        <v>2.2799999999999998</v>
      </c>
      <c r="Q68">
        <v>4.2561999999999998</v>
      </c>
      <c r="R68">
        <v>0.68100000000000005</v>
      </c>
      <c r="S68" t="s">
        <v>365</v>
      </c>
      <c r="T68">
        <v>6</v>
      </c>
      <c r="U68" t="s">
        <v>89</v>
      </c>
    </row>
    <row r="69" spans="1:21" outlineLevel="2" x14ac:dyDescent="0.25">
      <c r="A69" t="s">
        <v>82</v>
      </c>
      <c r="B69" t="s">
        <v>83</v>
      </c>
      <c r="C69">
        <v>30</v>
      </c>
      <c r="D69" t="s">
        <v>84</v>
      </c>
      <c r="E69">
        <v>184</v>
      </c>
      <c r="F69" t="s">
        <v>85</v>
      </c>
      <c r="G69">
        <v>8658</v>
      </c>
      <c r="H69" t="s">
        <v>33</v>
      </c>
      <c r="I69">
        <v>1000008658</v>
      </c>
      <c r="J69">
        <v>28810740</v>
      </c>
      <c r="K69" t="s">
        <v>161</v>
      </c>
      <c r="L69" t="s">
        <v>87</v>
      </c>
      <c r="M69" t="s">
        <v>88</v>
      </c>
      <c r="N69">
        <v>165.5</v>
      </c>
      <c r="O69">
        <v>14.22</v>
      </c>
      <c r="P69">
        <v>2.2799999999999998</v>
      </c>
      <c r="Q69">
        <v>4.2561999999999998</v>
      </c>
      <c r="R69">
        <v>0.68100000000000005</v>
      </c>
      <c r="S69" t="s">
        <v>366</v>
      </c>
      <c r="T69">
        <v>6</v>
      </c>
      <c r="U69" t="s">
        <v>89</v>
      </c>
    </row>
    <row r="70" spans="1:21" outlineLevel="2" x14ac:dyDescent="0.25">
      <c r="A70" t="s">
        <v>82</v>
      </c>
      <c r="B70" t="s">
        <v>83</v>
      </c>
      <c r="C70">
        <v>30</v>
      </c>
      <c r="D70" t="s">
        <v>84</v>
      </c>
      <c r="E70">
        <v>184</v>
      </c>
      <c r="F70" t="s">
        <v>85</v>
      </c>
      <c r="G70">
        <v>8658</v>
      </c>
      <c r="H70" t="s">
        <v>33</v>
      </c>
      <c r="I70">
        <v>1000008658</v>
      </c>
      <c r="J70">
        <v>28815001</v>
      </c>
      <c r="K70" t="s">
        <v>215</v>
      </c>
      <c r="L70" t="s">
        <v>87</v>
      </c>
      <c r="M70" t="s">
        <v>88</v>
      </c>
      <c r="N70">
        <v>131.5</v>
      </c>
      <c r="O70">
        <v>14.22</v>
      </c>
      <c r="P70">
        <v>2.2799999999999998</v>
      </c>
      <c r="Q70">
        <v>4.2561999999999998</v>
      </c>
      <c r="R70">
        <v>0.68100000000000005</v>
      </c>
      <c r="S70" t="s">
        <v>367</v>
      </c>
      <c r="T70">
        <v>6</v>
      </c>
      <c r="U70" t="s">
        <v>89</v>
      </c>
    </row>
    <row r="71" spans="1:21" outlineLevel="2" x14ac:dyDescent="0.25">
      <c r="A71" t="s">
        <v>82</v>
      </c>
      <c r="B71" t="s">
        <v>83</v>
      </c>
      <c r="C71">
        <v>30</v>
      </c>
      <c r="D71" t="s">
        <v>84</v>
      </c>
      <c r="E71">
        <v>184</v>
      </c>
      <c r="F71" t="s">
        <v>85</v>
      </c>
      <c r="G71">
        <v>8658</v>
      </c>
      <c r="H71" t="s">
        <v>33</v>
      </c>
      <c r="I71">
        <v>1000008658</v>
      </c>
      <c r="J71">
        <v>28819582</v>
      </c>
      <c r="K71" t="s">
        <v>258</v>
      </c>
      <c r="L71" t="s">
        <v>87</v>
      </c>
      <c r="M71" t="s">
        <v>88</v>
      </c>
      <c r="N71">
        <v>145.5</v>
      </c>
      <c r="O71">
        <v>14.22</v>
      </c>
      <c r="P71">
        <v>2.2799999999999998</v>
      </c>
      <c r="Q71">
        <v>4.2561999999999998</v>
      </c>
      <c r="R71">
        <v>0.68100000000000005</v>
      </c>
      <c r="S71" t="s">
        <v>368</v>
      </c>
      <c r="T71">
        <v>6</v>
      </c>
      <c r="U71" t="s">
        <v>89</v>
      </c>
    </row>
    <row r="72" spans="1:21" outlineLevel="2" x14ac:dyDescent="0.25">
      <c r="A72" t="s">
        <v>82</v>
      </c>
      <c r="B72" t="s">
        <v>83</v>
      </c>
      <c r="C72">
        <v>30</v>
      </c>
      <c r="D72" t="s">
        <v>84</v>
      </c>
      <c r="E72">
        <v>184</v>
      </c>
      <c r="F72" t="s">
        <v>85</v>
      </c>
      <c r="G72">
        <v>8658</v>
      </c>
      <c r="H72" t="s">
        <v>33</v>
      </c>
      <c r="I72">
        <v>1000008658</v>
      </c>
      <c r="J72">
        <v>28819592</v>
      </c>
      <c r="K72" t="s">
        <v>259</v>
      </c>
      <c r="L72" t="s">
        <v>87</v>
      </c>
      <c r="M72" t="s">
        <v>88</v>
      </c>
      <c r="N72">
        <v>44.5</v>
      </c>
      <c r="O72">
        <v>14.22</v>
      </c>
      <c r="P72">
        <v>2.2799999999999998</v>
      </c>
      <c r="Q72">
        <v>4.2561999999999998</v>
      </c>
      <c r="R72">
        <v>0.68100000000000005</v>
      </c>
      <c r="S72" t="s">
        <v>369</v>
      </c>
      <c r="T72">
        <v>6</v>
      </c>
      <c r="U72" t="s">
        <v>89</v>
      </c>
    </row>
    <row r="73" spans="1:21" outlineLevel="2" x14ac:dyDescent="0.25">
      <c r="A73" t="s">
        <v>82</v>
      </c>
      <c r="B73" t="s">
        <v>83</v>
      </c>
      <c r="C73">
        <v>30</v>
      </c>
      <c r="D73" t="s">
        <v>84</v>
      </c>
      <c r="E73">
        <v>184</v>
      </c>
      <c r="F73" t="s">
        <v>85</v>
      </c>
      <c r="G73">
        <v>8658</v>
      </c>
      <c r="H73" t="s">
        <v>33</v>
      </c>
      <c r="I73">
        <v>1000008658</v>
      </c>
      <c r="J73">
        <v>28820837</v>
      </c>
      <c r="K73" t="s">
        <v>270</v>
      </c>
      <c r="L73" t="s">
        <v>87</v>
      </c>
      <c r="M73" t="s">
        <v>88</v>
      </c>
      <c r="N73">
        <v>72.5</v>
      </c>
      <c r="O73">
        <v>14.22</v>
      </c>
      <c r="P73">
        <v>2.2799999999999998</v>
      </c>
      <c r="Q73">
        <v>4.2561999999999998</v>
      </c>
      <c r="R73">
        <v>0.68100000000000005</v>
      </c>
      <c r="S73" t="s">
        <v>370</v>
      </c>
      <c r="T73">
        <v>6</v>
      </c>
      <c r="U73" t="s">
        <v>89</v>
      </c>
    </row>
    <row r="74" spans="1:21" outlineLevel="2" x14ac:dyDescent="0.25">
      <c r="A74" t="s">
        <v>82</v>
      </c>
      <c r="B74" t="s">
        <v>83</v>
      </c>
      <c r="C74">
        <v>30</v>
      </c>
      <c r="D74" t="s">
        <v>84</v>
      </c>
      <c r="E74">
        <v>184</v>
      </c>
      <c r="F74" t="s">
        <v>85</v>
      </c>
      <c r="G74">
        <v>8658</v>
      </c>
      <c r="H74" t="s">
        <v>33</v>
      </c>
      <c r="I74">
        <v>1000008658</v>
      </c>
      <c r="J74">
        <v>28823837</v>
      </c>
      <c r="K74" t="s">
        <v>303</v>
      </c>
      <c r="L74" t="s">
        <v>87</v>
      </c>
      <c r="M74" t="s">
        <v>88</v>
      </c>
      <c r="N74">
        <v>80.5</v>
      </c>
      <c r="O74">
        <v>14.22</v>
      </c>
      <c r="P74">
        <v>2.2799999999999998</v>
      </c>
      <c r="Q74">
        <v>4.2561999999999998</v>
      </c>
      <c r="R74">
        <v>0.68100000000000005</v>
      </c>
      <c r="S74" t="s">
        <v>371</v>
      </c>
      <c r="T74">
        <v>6</v>
      </c>
      <c r="U74" t="s">
        <v>89</v>
      </c>
    </row>
    <row r="75" spans="1:21" outlineLevel="2" x14ac:dyDescent="0.25">
      <c r="A75" t="s">
        <v>82</v>
      </c>
      <c r="B75" t="s">
        <v>83</v>
      </c>
      <c r="C75">
        <v>30</v>
      </c>
      <c r="D75" t="s">
        <v>84</v>
      </c>
      <c r="E75">
        <v>184</v>
      </c>
      <c r="F75" t="s">
        <v>85</v>
      </c>
      <c r="G75">
        <v>8658</v>
      </c>
      <c r="H75" t="s">
        <v>33</v>
      </c>
      <c r="I75">
        <v>1000008658</v>
      </c>
      <c r="J75">
        <v>28823964</v>
      </c>
      <c r="K75" t="s">
        <v>304</v>
      </c>
      <c r="L75" t="s">
        <v>87</v>
      </c>
      <c r="M75" t="s">
        <v>88</v>
      </c>
      <c r="N75">
        <v>44.5</v>
      </c>
      <c r="O75">
        <v>14.22</v>
      </c>
      <c r="P75">
        <v>2.2799999999999998</v>
      </c>
      <c r="Q75">
        <v>4.2561999999999998</v>
      </c>
      <c r="R75">
        <v>0.68100000000000005</v>
      </c>
      <c r="S75" t="s">
        <v>372</v>
      </c>
      <c r="T75">
        <v>6</v>
      </c>
      <c r="U75" t="s">
        <v>89</v>
      </c>
    </row>
    <row r="76" spans="1:21" outlineLevel="1" x14ac:dyDescent="0.25">
      <c r="H76" s="9" t="s">
        <v>538</v>
      </c>
      <c r="N76">
        <f>SUBTOTAL(9,N60:N75)</f>
        <v>2724</v>
      </c>
    </row>
    <row r="77" spans="1:21" outlineLevel="2" x14ac:dyDescent="0.25">
      <c r="A77" t="s">
        <v>82</v>
      </c>
      <c r="B77" t="s">
        <v>83</v>
      </c>
      <c r="C77">
        <v>30</v>
      </c>
      <c r="D77" t="s">
        <v>84</v>
      </c>
      <c r="E77">
        <v>184</v>
      </c>
      <c r="F77" t="s">
        <v>85</v>
      </c>
      <c r="G77">
        <v>8659</v>
      </c>
      <c r="H77" t="s">
        <v>32</v>
      </c>
      <c r="I77">
        <v>1000008659</v>
      </c>
      <c r="J77">
        <v>28808138</v>
      </c>
      <c r="K77" t="s">
        <v>109</v>
      </c>
      <c r="L77" t="s">
        <v>87</v>
      </c>
      <c r="M77" t="s">
        <v>88</v>
      </c>
      <c r="N77">
        <v>158.5</v>
      </c>
      <c r="O77">
        <v>14.22</v>
      </c>
      <c r="P77">
        <v>2.2799999999999998</v>
      </c>
      <c r="Q77">
        <v>4.2561999999999998</v>
      </c>
      <c r="R77">
        <v>0.68100000000000005</v>
      </c>
      <c r="S77" t="s">
        <v>373</v>
      </c>
      <c r="T77">
        <v>6</v>
      </c>
      <c r="U77" t="s">
        <v>89</v>
      </c>
    </row>
    <row r="78" spans="1:21" outlineLevel="2" x14ac:dyDescent="0.25">
      <c r="A78" t="s">
        <v>82</v>
      </c>
      <c r="B78" t="s">
        <v>83</v>
      </c>
      <c r="C78">
        <v>30</v>
      </c>
      <c r="D78" t="s">
        <v>84</v>
      </c>
      <c r="E78">
        <v>184</v>
      </c>
      <c r="F78" t="s">
        <v>85</v>
      </c>
      <c r="G78">
        <v>8659</v>
      </c>
      <c r="H78" t="s">
        <v>32</v>
      </c>
      <c r="I78">
        <v>1000008659</v>
      </c>
      <c r="J78">
        <v>28809418</v>
      </c>
      <c r="K78" t="s">
        <v>136</v>
      </c>
      <c r="L78" t="s">
        <v>87</v>
      </c>
      <c r="M78" t="s">
        <v>88</v>
      </c>
      <c r="N78">
        <v>161.5</v>
      </c>
      <c r="O78">
        <v>14.22</v>
      </c>
      <c r="P78">
        <v>2.2799999999999998</v>
      </c>
      <c r="Q78">
        <v>4.2561999999999998</v>
      </c>
      <c r="R78">
        <v>0.68100000000000005</v>
      </c>
      <c r="S78" t="s">
        <v>374</v>
      </c>
      <c r="T78">
        <v>6</v>
      </c>
      <c r="U78" t="s">
        <v>89</v>
      </c>
    </row>
    <row r="79" spans="1:21" outlineLevel="2" x14ac:dyDescent="0.25">
      <c r="A79" t="s">
        <v>82</v>
      </c>
      <c r="B79" t="s">
        <v>83</v>
      </c>
      <c r="C79">
        <v>30</v>
      </c>
      <c r="D79" t="s">
        <v>84</v>
      </c>
      <c r="E79">
        <v>184</v>
      </c>
      <c r="F79" t="s">
        <v>85</v>
      </c>
      <c r="G79">
        <v>8659</v>
      </c>
      <c r="H79" t="s">
        <v>32</v>
      </c>
      <c r="I79">
        <v>1000008659</v>
      </c>
      <c r="J79">
        <v>28809531</v>
      </c>
      <c r="K79" t="s">
        <v>138</v>
      </c>
      <c r="L79" t="s">
        <v>87</v>
      </c>
      <c r="M79" t="s">
        <v>88</v>
      </c>
      <c r="N79">
        <v>312.5</v>
      </c>
      <c r="O79">
        <v>14.22</v>
      </c>
      <c r="P79">
        <v>2.2799999999999998</v>
      </c>
      <c r="Q79">
        <v>4.2561999999999998</v>
      </c>
      <c r="R79">
        <v>0.68100000000000005</v>
      </c>
      <c r="S79" t="s">
        <v>375</v>
      </c>
      <c r="T79">
        <v>6</v>
      </c>
      <c r="U79" t="s">
        <v>89</v>
      </c>
    </row>
    <row r="80" spans="1:21" outlineLevel="2" x14ac:dyDescent="0.25">
      <c r="A80" t="s">
        <v>82</v>
      </c>
      <c r="B80" t="s">
        <v>83</v>
      </c>
      <c r="C80">
        <v>30</v>
      </c>
      <c r="D80" t="s">
        <v>84</v>
      </c>
      <c r="E80">
        <v>184</v>
      </c>
      <c r="F80" t="s">
        <v>85</v>
      </c>
      <c r="G80">
        <v>8659</v>
      </c>
      <c r="H80" t="s">
        <v>32</v>
      </c>
      <c r="I80">
        <v>1000008659</v>
      </c>
      <c r="J80">
        <v>28809939</v>
      </c>
      <c r="K80" t="s">
        <v>144</v>
      </c>
      <c r="L80" t="s">
        <v>87</v>
      </c>
      <c r="M80" t="s">
        <v>88</v>
      </c>
      <c r="N80">
        <v>138.5</v>
      </c>
      <c r="O80">
        <v>14.22</v>
      </c>
      <c r="P80">
        <v>2.2799999999999998</v>
      </c>
      <c r="Q80">
        <v>4.2561999999999998</v>
      </c>
      <c r="R80">
        <v>0.68100000000000005</v>
      </c>
      <c r="S80" t="s">
        <v>376</v>
      </c>
      <c r="T80">
        <v>6</v>
      </c>
      <c r="U80" t="s">
        <v>89</v>
      </c>
    </row>
    <row r="81" spans="1:22" outlineLevel="2" x14ac:dyDescent="0.25">
      <c r="A81" t="s">
        <v>82</v>
      </c>
      <c r="B81" t="s">
        <v>83</v>
      </c>
      <c r="C81">
        <v>30</v>
      </c>
      <c r="D81" t="s">
        <v>84</v>
      </c>
      <c r="E81">
        <v>184</v>
      </c>
      <c r="F81" t="s">
        <v>85</v>
      </c>
      <c r="G81">
        <v>8659</v>
      </c>
      <c r="H81" t="s">
        <v>32</v>
      </c>
      <c r="I81">
        <v>1000008659</v>
      </c>
      <c r="J81">
        <v>28810481</v>
      </c>
      <c r="K81" t="s">
        <v>157</v>
      </c>
      <c r="L81" t="s">
        <v>87</v>
      </c>
      <c r="M81" t="s">
        <v>88</v>
      </c>
      <c r="N81">
        <v>104.5</v>
      </c>
      <c r="O81">
        <v>14.22</v>
      </c>
      <c r="P81">
        <v>2.2799999999999998</v>
      </c>
      <c r="Q81">
        <v>4.2561999999999998</v>
      </c>
      <c r="R81">
        <v>0.68100000000000005</v>
      </c>
      <c r="S81" t="s">
        <v>377</v>
      </c>
      <c r="T81">
        <v>6</v>
      </c>
      <c r="U81" t="s">
        <v>89</v>
      </c>
    </row>
    <row r="82" spans="1:22" outlineLevel="2" x14ac:dyDescent="0.25">
      <c r="A82" t="s">
        <v>82</v>
      </c>
      <c r="B82" t="s">
        <v>83</v>
      </c>
      <c r="C82">
        <v>30</v>
      </c>
      <c r="D82" t="s">
        <v>84</v>
      </c>
      <c r="E82">
        <v>184</v>
      </c>
      <c r="F82" t="s">
        <v>85</v>
      </c>
      <c r="G82">
        <v>8659</v>
      </c>
      <c r="H82" t="s">
        <v>32</v>
      </c>
      <c r="I82">
        <v>1000008659</v>
      </c>
      <c r="J82">
        <v>28810580</v>
      </c>
      <c r="K82" t="s">
        <v>160</v>
      </c>
      <c r="L82" t="s">
        <v>87</v>
      </c>
      <c r="M82" t="s">
        <v>88</v>
      </c>
      <c r="N82">
        <v>535.5</v>
      </c>
      <c r="O82">
        <v>14.22</v>
      </c>
      <c r="P82">
        <v>2.2799999999999998</v>
      </c>
      <c r="Q82">
        <v>4.2561999999999998</v>
      </c>
      <c r="R82">
        <v>0.68100000000000005</v>
      </c>
      <c r="S82" t="s">
        <v>378</v>
      </c>
      <c r="T82">
        <v>6</v>
      </c>
      <c r="U82" t="s">
        <v>89</v>
      </c>
    </row>
    <row r="83" spans="1:22" outlineLevel="2" x14ac:dyDescent="0.25">
      <c r="A83" t="s">
        <v>82</v>
      </c>
      <c r="B83" t="s">
        <v>83</v>
      </c>
      <c r="C83">
        <v>30</v>
      </c>
      <c r="D83" t="s">
        <v>84</v>
      </c>
      <c r="E83">
        <v>184</v>
      </c>
      <c r="F83" t="s">
        <v>85</v>
      </c>
      <c r="G83">
        <v>8659</v>
      </c>
      <c r="H83" t="s">
        <v>32</v>
      </c>
      <c r="I83">
        <v>1000008659</v>
      </c>
      <c r="J83">
        <v>28810931</v>
      </c>
      <c r="K83" t="s">
        <v>164</v>
      </c>
      <c r="L83" t="s">
        <v>87</v>
      </c>
      <c r="M83" t="s">
        <v>88</v>
      </c>
      <c r="N83">
        <v>110.5</v>
      </c>
      <c r="O83">
        <v>14.22</v>
      </c>
      <c r="P83">
        <v>2.2799999999999998</v>
      </c>
      <c r="Q83">
        <v>4.2561999999999998</v>
      </c>
      <c r="R83">
        <v>0.68100000000000005</v>
      </c>
      <c r="S83" t="s">
        <v>379</v>
      </c>
      <c r="T83">
        <v>6</v>
      </c>
      <c r="U83" t="s">
        <v>89</v>
      </c>
    </row>
    <row r="84" spans="1:22" outlineLevel="2" x14ac:dyDescent="0.25">
      <c r="A84" t="s">
        <v>82</v>
      </c>
      <c r="B84" t="s">
        <v>83</v>
      </c>
      <c r="C84">
        <v>30</v>
      </c>
      <c r="D84" t="s">
        <v>84</v>
      </c>
      <c r="E84">
        <v>184</v>
      </c>
      <c r="F84" t="s">
        <v>85</v>
      </c>
      <c r="G84">
        <v>8659</v>
      </c>
      <c r="H84" t="s">
        <v>32</v>
      </c>
      <c r="I84">
        <v>1000008659</v>
      </c>
      <c r="J84">
        <v>28811228</v>
      </c>
      <c r="K84" t="s">
        <v>166</v>
      </c>
      <c r="L84" t="s">
        <v>87</v>
      </c>
      <c r="M84" t="s">
        <v>88</v>
      </c>
      <c r="N84">
        <v>61.5</v>
      </c>
      <c r="O84">
        <v>14.22</v>
      </c>
      <c r="P84">
        <v>2.2799999999999998</v>
      </c>
      <c r="Q84">
        <v>4.2561999999999998</v>
      </c>
      <c r="R84">
        <v>0.68100000000000005</v>
      </c>
      <c r="S84" t="s">
        <v>380</v>
      </c>
      <c r="T84">
        <v>6</v>
      </c>
      <c r="U84" t="s">
        <v>89</v>
      </c>
    </row>
    <row r="85" spans="1:22" outlineLevel="2" x14ac:dyDescent="0.25">
      <c r="A85" t="s">
        <v>82</v>
      </c>
      <c r="B85" t="s">
        <v>83</v>
      </c>
      <c r="C85">
        <v>30</v>
      </c>
      <c r="D85" t="s">
        <v>84</v>
      </c>
      <c r="E85">
        <v>184</v>
      </c>
      <c r="F85" t="s">
        <v>85</v>
      </c>
      <c r="G85">
        <v>8659</v>
      </c>
      <c r="H85" t="s">
        <v>32</v>
      </c>
      <c r="I85">
        <v>1000008659</v>
      </c>
      <c r="J85">
        <v>28811724</v>
      </c>
      <c r="K85" t="s">
        <v>177</v>
      </c>
      <c r="L85" t="s">
        <v>87</v>
      </c>
      <c r="M85" t="s">
        <v>88</v>
      </c>
      <c r="N85">
        <v>182.5</v>
      </c>
      <c r="O85">
        <v>14.22</v>
      </c>
      <c r="P85">
        <v>2.2799999999999998</v>
      </c>
      <c r="Q85">
        <v>4.2561999999999998</v>
      </c>
      <c r="R85">
        <v>0.68100000000000005</v>
      </c>
      <c r="S85" t="s">
        <v>381</v>
      </c>
      <c r="T85">
        <v>6</v>
      </c>
      <c r="U85" t="s">
        <v>89</v>
      </c>
    </row>
    <row r="86" spans="1:22" outlineLevel="2" x14ac:dyDescent="0.25">
      <c r="A86" t="s">
        <v>82</v>
      </c>
      <c r="B86" t="s">
        <v>83</v>
      </c>
      <c r="C86">
        <v>30</v>
      </c>
      <c r="D86" t="s">
        <v>84</v>
      </c>
      <c r="E86">
        <v>184</v>
      </c>
      <c r="F86" t="s">
        <v>85</v>
      </c>
      <c r="G86">
        <v>8659</v>
      </c>
      <c r="H86" t="s">
        <v>32</v>
      </c>
      <c r="I86">
        <v>1000008659</v>
      </c>
      <c r="J86">
        <v>28812362</v>
      </c>
      <c r="K86" t="s">
        <v>181</v>
      </c>
      <c r="L86" t="s">
        <v>87</v>
      </c>
      <c r="M86" t="s">
        <v>88</v>
      </c>
      <c r="N86">
        <v>388.5</v>
      </c>
      <c r="O86">
        <v>14.22</v>
      </c>
      <c r="P86">
        <v>2.2799999999999998</v>
      </c>
      <c r="Q86">
        <v>4.2561999999999998</v>
      </c>
      <c r="R86">
        <v>0.68100000000000005</v>
      </c>
      <c r="S86" t="s">
        <v>382</v>
      </c>
      <c r="T86">
        <v>6</v>
      </c>
      <c r="U86" t="s">
        <v>89</v>
      </c>
    </row>
    <row r="87" spans="1:22" outlineLevel="2" x14ac:dyDescent="0.25">
      <c r="A87" t="s">
        <v>82</v>
      </c>
      <c r="B87" t="s">
        <v>83</v>
      </c>
      <c r="C87">
        <v>30</v>
      </c>
      <c r="D87" t="s">
        <v>84</v>
      </c>
      <c r="E87">
        <v>184</v>
      </c>
      <c r="F87" t="s">
        <v>85</v>
      </c>
      <c r="G87">
        <v>8659</v>
      </c>
      <c r="H87" t="s">
        <v>32</v>
      </c>
      <c r="I87">
        <v>1000008659</v>
      </c>
      <c r="J87">
        <v>28813330</v>
      </c>
      <c r="K87" t="s">
        <v>201</v>
      </c>
      <c r="L87" t="s">
        <v>87</v>
      </c>
      <c r="M87" t="s">
        <v>88</v>
      </c>
      <c r="N87">
        <v>140.5</v>
      </c>
      <c r="O87">
        <v>14.22</v>
      </c>
      <c r="P87">
        <v>2.2799999999999998</v>
      </c>
      <c r="Q87">
        <v>4.2561999999999998</v>
      </c>
      <c r="R87">
        <v>0.68100000000000005</v>
      </c>
      <c r="S87" t="s">
        <v>383</v>
      </c>
      <c r="T87">
        <v>6</v>
      </c>
      <c r="U87" t="s">
        <v>89</v>
      </c>
    </row>
    <row r="88" spans="1:22" outlineLevel="2" x14ac:dyDescent="0.25">
      <c r="A88" t="s">
        <v>82</v>
      </c>
      <c r="B88" t="s">
        <v>83</v>
      </c>
      <c r="C88">
        <v>30</v>
      </c>
      <c r="D88" t="s">
        <v>84</v>
      </c>
      <c r="E88">
        <v>184</v>
      </c>
      <c r="F88" t="s">
        <v>85</v>
      </c>
      <c r="G88">
        <v>8659</v>
      </c>
      <c r="H88" t="s">
        <v>32</v>
      </c>
      <c r="I88">
        <v>1000008659</v>
      </c>
      <c r="J88">
        <v>28813756</v>
      </c>
      <c r="K88" t="s">
        <v>205</v>
      </c>
      <c r="L88" t="s">
        <v>87</v>
      </c>
      <c r="M88" t="s">
        <v>88</v>
      </c>
      <c r="N88">
        <v>48.5</v>
      </c>
      <c r="O88">
        <v>14.22</v>
      </c>
      <c r="P88">
        <v>2.2799999999999998</v>
      </c>
      <c r="Q88">
        <v>4.2561999999999998</v>
      </c>
      <c r="R88">
        <v>0.68100000000000005</v>
      </c>
      <c r="S88" t="s">
        <v>384</v>
      </c>
      <c r="T88">
        <v>6</v>
      </c>
      <c r="U88" t="s">
        <v>89</v>
      </c>
    </row>
    <row r="89" spans="1:22" outlineLevel="2" x14ac:dyDescent="0.25">
      <c r="A89" t="s">
        <v>82</v>
      </c>
      <c r="B89" t="s">
        <v>83</v>
      </c>
      <c r="C89">
        <v>30</v>
      </c>
      <c r="D89" t="s">
        <v>84</v>
      </c>
      <c r="E89">
        <v>184</v>
      </c>
      <c r="F89" t="s">
        <v>85</v>
      </c>
      <c r="G89">
        <v>8659</v>
      </c>
      <c r="H89" t="s">
        <v>32</v>
      </c>
      <c r="I89">
        <v>1000008659</v>
      </c>
      <c r="J89">
        <v>28813950</v>
      </c>
      <c r="K89" t="s">
        <v>207</v>
      </c>
      <c r="L89" t="s">
        <v>87</v>
      </c>
      <c r="M89" t="s">
        <v>88</v>
      </c>
      <c r="N89">
        <v>57.5</v>
      </c>
      <c r="O89">
        <v>14.22</v>
      </c>
      <c r="P89">
        <v>2.2799999999999998</v>
      </c>
      <c r="Q89">
        <v>4.2561999999999998</v>
      </c>
      <c r="R89">
        <v>0.68100000000000005</v>
      </c>
      <c r="S89" t="s">
        <v>385</v>
      </c>
      <c r="T89">
        <v>6</v>
      </c>
      <c r="U89" t="s">
        <v>89</v>
      </c>
    </row>
    <row r="90" spans="1:22" outlineLevel="2" x14ac:dyDescent="0.25">
      <c r="A90" t="s">
        <v>82</v>
      </c>
      <c r="B90" t="s">
        <v>83</v>
      </c>
      <c r="C90">
        <v>30</v>
      </c>
      <c r="D90" t="s">
        <v>84</v>
      </c>
      <c r="E90">
        <v>184</v>
      </c>
      <c r="F90" t="s">
        <v>85</v>
      </c>
      <c r="G90">
        <v>8659</v>
      </c>
      <c r="H90" t="s">
        <v>32</v>
      </c>
      <c r="I90">
        <v>1000008659</v>
      </c>
      <c r="J90">
        <v>28814459</v>
      </c>
      <c r="K90" t="s">
        <v>209</v>
      </c>
      <c r="L90" t="s">
        <v>87</v>
      </c>
      <c r="M90" t="s">
        <v>88</v>
      </c>
      <c r="N90">
        <v>224.5</v>
      </c>
      <c r="O90">
        <v>14.22</v>
      </c>
      <c r="P90">
        <v>2.2799999999999998</v>
      </c>
      <c r="Q90">
        <v>4.2561999999999998</v>
      </c>
      <c r="R90">
        <v>0.68100000000000005</v>
      </c>
      <c r="S90" t="s">
        <v>386</v>
      </c>
      <c r="T90">
        <v>6</v>
      </c>
      <c r="U90" t="s">
        <v>89</v>
      </c>
    </row>
    <row r="91" spans="1:22" outlineLevel="2" x14ac:dyDescent="0.25">
      <c r="A91" t="s">
        <v>82</v>
      </c>
      <c r="B91" t="s">
        <v>83</v>
      </c>
      <c r="C91">
        <v>30</v>
      </c>
      <c r="D91" t="s">
        <v>84</v>
      </c>
      <c r="E91">
        <v>184</v>
      </c>
      <c r="F91" t="s">
        <v>85</v>
      </c>
      <c r="G91">
        <v>8659</v>
      </c>
      <c r="H91" t="s">
        <v>32</v>
      </c>
      <c r="I91">
        <v>1000008659</v>
      </c>
      <c r="J91">
        <v>28815054</v>
      </c>
      <c r="K91" t="s">
        <v>217</v>
      </c>
      <c r="L91" t="s">
        <v>87</v>
      </c>
      <c r="M91" t="s">
        <v>88</v>
      </c>
      <c r="N91">
        <v>339.5</v>
      </c>
      <c r="O91">
        <v>14.22</v>
      </c>
      <c r="P91">
        <v>2.2799999999999998</v>
      </c>
      <c r="Q91">
        <v>4.2561999999999998</v>
      </c>
      <c r="R91">
        <v>0.68100000000000005</v>
      </c>
      <c r="S91" t="s">
        <v>387</v>
      </c>
      <c r="T91">
        <v>6</v>
      </c>
      <c r="U91" t="s">
        <v>89</v>
      </c>
    </row>
    <row r="92" spans="1:22" outlineLevel="2" x14ac:dyDescent="0.25">
      <c r="A92" t="s">
        <v>82</v>
      </c>
      <c r="B92" t="s">
        <v>83</v>
      </c>
      <c r="C92">
        <v>30</v>
      </c>
      <c r="D92" t="s">
        <v>84</v>
      </c>
      <c r="E92">
        <v>184</v>
      </c>
      <c r="F92" t="s">
        <v>85</v>
      </c>
      <c r="G92">
        <v>8659</v>
      </c>
      <c r="H92" t="s">
        <v>32</v>
      </c>
      <c r="I92">
        <v>1000008659</v>
      </c>
      <c r="J92">
        <v>28817244</v>
      </c>
      <c r="K92" t="s">
        <v>230</v>
      </c>
      <c r="L92" t="s">
        <v>87</v>
      </c>
      <c r="M92" t="s">
        <v>88</v>
      </c>
      <c r="N92">
        <v>43.5</v>
      </c>
      <c r="O92">
        <v>14.22</v>
      </c>
      <c r="P92">
        <v>2.2799999999999998</v>
      </c>
      <c r="Q92">
        <v>4.2561999999999998</v>
      </c>
      <c r="R92">
        <v>0.68100000000000005</v>
      </c>
      <c r="S92" t="s">
        <v>388</v>
      </c>
      <c r="T92">
        <v>6</v>
      </c>
      <c r="U92" t="s">
        <v>89</v>
      </c>
    </row>
    <row r="93" spans="1:22" outlineLevel="2" x14ac:dyDescent="0.25">
      <c r="A93" t="s">
        <v>82</v>
      </c>
      <c r="B93" t="s">
        <v>83</v>
      </c>
      <c r="C93">
        <v>30</v>
      </c>
      <c r="D93" t="s">
        <v>84</v>
      </c>
      <c r="E93">
        <v>184</v>
      </c>
      <c r="F93" t="s">
        <v>85</v>
      </c>
      <c r="G93">
        <v>8659</v>
      </c>
      <c r="H93" t="s">
        <v>32</v>
      </c>
      <c r="I93">
        <v>1000008659</v>
      </c>
      <c r="J93">
        <v>28817811</v>
      </c>
      <c r="K93" t="s">
        <v>239</v>
      </c>
      <c r="L93" t="s">
        <v>87</v>
      </c>
      <c r="M93" t="s">
        <v>88</v>
      </c>
      <c r="N93">
        <v>76.5</v>
      </c>
      <c r="O93">
        <v>14.22</v>
      </c>
      <c r="P93">
        <v>2.2799999999999998</v>
      </c>
      <c r="Q93">
        <v>4.2561999999999998</v>
      </c>
      <c r="R93">
        <v>0.68100000000000005</v>
      </c>
      <c r="S93" t="s">
        <v>389</v>
      </c>
      <c r="T93">
        <v>6</v>
      </c>
      <c r="U93" t="s">
        <v>89</v>
      </c>
    </row>
    <row r="94" spans="1:22" outlineLevel="2" x14ac:dyDescent="0.25">
      <c r="A94" t="s">
        <v>82</v>
      </c>
      <c r="B94" t="s">
        <v>83</v>
      </c>
      <c r="C94">
        <v>30</v>
      </c>
      <c r="D94" t="s">
        <v>84</v>
      </c>
      <c r="E94">
        <v>184</v>
      </c>
      <c r="F94" t="s">
        <v>85</v>
      </c>
      <c r="G94">
        <v>8659</v>
      </c>
      <c r="H94" t="s">
        <v>32</v>
      </c>
      <c r="I94">
        <v>1000008659</v>
      </c>
      <c r="J94">
        <v>28819115</v>
      </c>
      <c r="K94" t="s">
        <v>248</v>
      </c>
      <c r="L94" t="s">
        <v>87</v>
      </c>
      <c r="M94" t="s">
        <v>88</v>
      </c>
      <c r="N94">
        <v>44.5</v>
      </c>
      <c r="O94">
        <v>14.22</v>
      </c>
      <c r="P94">
        <v>2.2799999999999998</v>
      </c>
      <c r="Q94">
        <v>4.2561999999999998</v>
      </c>
      <c r="R94">
        <v>0.68100000000000005</v>
      </c>
      <c r="S94" t="s">
        <v>390</v>
      </c>
      <c r="T94">
        <v>6</v>
      </c>
      <c r="U94" t="s">
        <v>89</v>
      </c>
    </row>
    <row r="95" spans="1:22" outlineLevel="2" x14ac:dyDescent="0.25">
      <c r="A95" s="7" t="s">
        <v>82</v>
      </c>
      <c r="B95" s="7" t="s">
        <v>83</v>
      </c>
      <c r="C95" s="7">
        <v>30</v>
      </c>
      <c r="D95" s="7" t="s">
        <v>84</v>
      </c>
      <c r="E95" s="7">
        <v>184</v>
      </c>
      <c r="F95" s="7" t="s">
        <v>85</v>
      </c>
      <c r="G95" s="7">
        <v>8659</v>
      </c>
      <c r="H95" s="7" t="s">
        <v>32</v>
      </c>
      <c r="I95" s="7">
        <v>1000008659</v>
      </c>
      <c r="J95" s="7">
        <v>28820201</v>
      </c>
      <c r="K95" s="7" t="s">
        <v>266</v>
      </c>
      <c r="L95" s="7" t="s">
        <v>87</v>
      </c>
      <c r="M95" s="7" t="s">
        <v>88</v>
      </c>
      <c r="N95" s="7">
        <v>20.5</v>
      </c>
      <c r="O95" s="7">
        <v>14.22</v>
      </c>
      <c r="P95" s="7">
        <v>2.2799999999999998</v>
      </c>
      <c r="Q95" s="7">
        <v>4.2561999999999998</v>
      </c>
      <c r="R95" s="7">
        <v>0.68100000000000005</v>
      </c>
      <c r="S95" s="7" t="s">
        <v>391</v>
      </c>
      <c r="T95" s="7">
        <v>6</v>
      </c>
      <c r="U95" s="7" t="s">
        <v>89</v>
      </c>
      <c r="V95" s="7"/>
    </row>
    <row r="96" spans="1:22" outlineLevel="1" x14ac:dyDescent="0.25">
      <c r="A96" s="7"/>
      <c r="B96" s="7"/>
      <c r="C96" s="7"/>
      <c r="D96" s="7"/>
      <c r="E96" s="7"/>
      <c r="F96" s="7"/>
      <c r="G96" s="7"/>
      <c r="H96" s="11" t="s">
        <v>539</v>
      </c>
      <c r="I96" s="7"/>
      <c r="J96" s="7"/>
      <c r="K96" s="7"/>
      <c r="L96" s="7"/>
      <c r="M96" s="7"/>
      <c r="N96" s="7">
        <f>SUBTOTAL(9,N77:N95)</f>
        <v>3149.5</v>
      </c>
      <c r="O96" s="7"/>
      <c r="P96" s="7"/>
      <c r="Q96" s="7"/>
      <c r="R96" s="7"/>
      <c r="S96" s="7"/>
      <c r="T96" s="7"/>
      <c r="U96" s="7"/>
      <c r="V96" s="7"/>
    </row>
    <row r="97" spans="1:21" outlineLevel="2" x14ac:dyDescent="0.25">
      <c r="A97" t="s">
        <v>82</v>
      </c>
      <c r="B97" t="s">
        <v>83</v>
      </c>
      <c r="C97">
        <v>30</v>
      </c>
      <c r="D97" t="s">
        <v>84</v>
      </c>
      <c r="E97">
        <v>184</v>
      </c>
      <c r="F97" t="s">
        <v>85</v>
      </c>
      <c r="G97">
        <v>8660</v>
      </c>
      <c r="H97" t="s">
        <v>35</v>
      </c>
      <c r="I97">
        <v>1000008660</v>
      </c>
      <c r="J97">
        <v>28808098</v>
      </c>
      <c r="K97" t="s">
        <v>107</v>
      </c>
      <c r="L97" t="s">
        <v>87</v>
      </c>
      <c r="M97" t="s">
        <v>88</v>
      </c>
      <c r="N97">
        <v>66.5</v>
      </c>
      <c r="O97">
        <v>14.22</v>
      </c>
      <c r="P97">
        <v>2.2799999999999998</v>
      </c>
      <c r="Q97">
        <v>4.2561999999999998</v>
      </c>
      <c r="R97">
        <v>0.68100000000000005</v>
      </c>
      <c r="S97" t="s">
        <v>392</v>
      </c>
      <c r="T97">
        <v>6</v>
      </c>
      <c r="U97" t="s">
        <v>89</v>
      </c>
    </row>
    <row r="98" spans="1:21" outlineLevel="2" x14ac:dyDescent="0.25">
      <c r="A98" t="s">
        <v>82</v>
      </c>
      <c r="B98" t="s">
        <v>83</v>
      </c>
      <c r="C98">
        <v>30</v>
      </c>
      <c r="D98" t="s">
        <v>84</v>
      </c>
      <c r="E98">
        <v>184</v>
      </c>
      <c r="F98" t="s">
        <v>85</v>
      </c>
      <c r="G98">
        <v>8660</v>
      </c>
      <c r="H98" t="s">
        <v>35</v>
      </c>
      <c r="I98">
        <v>1000008660</v>
      </c>
      <c r="J98">
        <v>28809284</v>
      </c>
      <c r="K98" t="s">
        <v>134</v>
      </c>
      <c r="L98" t="s">
        <v>87</v>
      </c>
      <c r="M98" t="s">
        <v>88</v>
      </c>
      <c r="N98">
        <v>159.5</v>
      </c>
      <c r="O98">
        <v>14.22</v>
      </c>
      <c r="P98">
        <v>2.2799999999999998</v>
      </c>
      <c r="Q98">
        <v>4.2561999999999998</v>
      </c>
      <c r="R98">
        <v>0.68100000000000005</v>
      </c>
      <c r="S98" t="s">
        <v>393</v>
      </c>
      <c r="T98">
        <v>6</v>
      </c>
      <c r="U98" t="s">
        <v>89</v>
      </c>
    </row>
    <row r="99" spans="1:21" outlineLevel="2" x14ac:dyDescent="0.25">
      <c r="A99" t="s">
        <v>82</v>
      </c>
      <c r="B99" t="s">
        <v>83</v>
      </c>
      <c r="C99">
        <v>30</v>
      </c>
      <c r="D99" t="s">
        <v>84</v>
      </c>
      <c r="E99">
        <v>184</v>
      </c>
      <c r="F99" t="s">
        <v>85</v>
      </c>
      <c r="G99">
        <v>8660</v>
      </c>
      <c r="H99" t="s">
        <v>35</v>
      </c>
      <c r="I99">
        <v>1000008660</v>
      </c>
      <c r="J99">
        <v>28818310</v>
      </c>
      <c r="K99" t="s">
        <v>241</v>
      </c>
      <c r="L99" t="s">
        <v>87</v>
      </c>
      <c r="M99" t="s">
        <v>88</v>
      </c>
      <c r="N99">
        <v>88.5</v>
      </c>
      <c r="O99">
        <v>14.22</v>
      </c>
      <c r="P99">
        <v>2.2799999999999998</v>
      </c>
      <c r="Q99">
        <v>4.2561999999999998</v>
      </c>
      <c r="R99">
        <v>0.68100000000000005</v>
      </c>
      <c r="S99" t="s">
        <v>394</v>
      </c>
      <c r="T99">
        <v>6</v>
      </c>
      <c r="U99" t="s">
        <v>89</v>
      </c>
    </row>
    <row r="100" spans="1:21" outlineLevel="2" x14ac:dyDescent="0.25">
      <c r="A100" t="s">
        <v>82</v>
      </c>
      <c r="B100" t="s">
        <v>83</v>
      </c>
      <c r="C100">
        <v>30</v>
      </c>
      <c r="D100" t="s">
        <v>84</v>
      </c>
      <c r="E100">
        <v>184</v>
      </c>
      <c r="F100" t="s">
        <v>85</v>
      </c>
      <c r="G100">
        <v>8660</v>
      </c>
      <c r="H100" t="s">
        <v>35</v>
      </c>
      <c r="I100">
        <v>1000008660</v>
      </c>
      <c r="J100">
        <v>28819160</v>
      </c>
      <c r="K100" t="s">
        <v>250</v>
      </c>
      <c r="L100" t="s">
        <v>87</v>
      </c>
      <c r="M100" t="s">
        <v>88</v>
      </c>
      <c r="N100">
        <v>85.5</v>
      </c>
      <c r="O100">
        <v>14.22</v>
      </c>
      <c r="P100">
        <v>2.2799999999999998</v>
      </c>
      <c r="Q100">
        <v>4.2561999999999998</v>
      </c>
      <c r="R100">
        <v>0.68100000000000005</v>
      </c>
      <c r="S100" t="s">
        <v>395</v>
      </c>
      <c r="T100">
        <v>6</v>
      </c>
      <c r="U100" t="s">
        <v>89</v>
      </c>
    </row>
    <row r="101" spans="1:21" outlineLevel="2" x14ac:dyDescent="0.25">
      <c r="A101" t="s">
        <v>82</v>
      </c>
      <c r="B101" t="s">
        <v>83</v>
      </c>
      <c r="C101">
        <v>30</v>
      </c>
      <c r="D101" t="s">
        <v>84</v>
      </c>
      <c r="E101">
        <v>184</v>
      </c>
      <c r="F101" t="s">
        <v>85</v>
      </c>
      <c r="G101">
        <v>8660</v>
      </c>
      <c r="H101" t="s">
        <v>35</v>
      </c>
      <c r="I101">
        <v>1000008660</v>
      </c>
      <c r="J101">
        <v>28821286</v>
      </c>
      <c r="K101" t="s">
        <v>277</v>
      </c>
      <c r="L101" t="s">
        <v>87</v>
      </c>
      <c r="M101" t="s">
        <v>88</v>
      </c>
      <c r="N101">
        <v>56.5</v>
      </c>
      <c r="O101">
        <v>14.22</v>
      </c>
      <c r="P101">
        <v>2.2799999999999998</v>
      </c>
      <c r="Q101">
        <v>4.2561999999999998</v>
      </c>
      <c r="R101">
        <v>0.68100000000000005</v>
      </c>
      <c r="S101" t="s">
        <v>396</v>
      </c>
      <c r="T101">
        <v>6</v>
      </c>
      <c r="U101" t="s">
        <v>89</v>
      </c>
    </row>
    <row r="102" spans="1:21" outlineLevel="2" x14ac:dyDescent="0.25">
      <c r="A102" t="s">
        <v>82</v>
      </c>
      <c r="B102" t="s">
        <v>83</v>
      </c>
      <c r="C102">
        <v>30</v>
      </c>
      <c r="D102" t="s">
        <v>84</v>
      </c>
      <c r="E102">
        <v>184</v>
      </c>
      <c r="F102" t="s">
        <v>85</v>
      </c>
      <c r="G102">
        <v>8660</v>
      </c>
      <c r="H102" t="s">
        <v>35</v>
      </c>
      <c r="I102">
        <v>1000008660</v>
      </c>
      <c r="J102">
        <v>28822784</v>
      </c>
      <c r="K102" t="s">
        <v>291</v>
      </c>
      <c r="L102" t="s">
        <v>87</v>
      </c>
      <c r="M102" t="s">
        <v>88</v>
      </c>
      <c r="N102">
        <v>85.5</v>
      </c>
      <c r="O102">
        <v>14.22</v>
      </c>
      <c r="P102">
        <v>2.2799999999999998</v>
      </c>
      <c r="Q102">
        <v>4.2561999999999998</v>
      </c>
      <c r="R102">
        <v>0.68100000000000005</v>
      </c>
      <c r="S102" t="s">
        <v>397</v>
      </c>
      <c r="T102">
        <v>6</v>
      </c>
      <c r="U102" t="s">
        <v>89</v>
      </c>
    </row>
    <row r="103" spans="1:21" outlineLevel="2" x14ac:dyDescent="0.25">
      <c r="A103" t="s">
        <v>82</v>
      </c>
      <c r="B103" t="s">
        <v>83</v>
      </c>
      <c r="C103">
        <v>30</v>
      </c>
      <c r="D103" t="s">
        <v>84</v>
      </c>
      <c r="E103">
        <v>184</v>
      </c>
      <c r="F103" t="s">
        <v>85</v>
      </c>
      <c r="G103">
        <v>8660</v>
      </c>
      <c r="H103" t="s">
        <v>35</v>
      </c>
      <c r="I103">
        <v>1000008660</v>
      </c>
      <c r="J103">
        <v>28822813</v>
      </c>
      <c r="K103" t="s">
        <v>294</v>
      </c>
      <c r="L103" t="s">
        <v>87</v>
      </c>
      <c r="M103" t="s">
        <v>88</v>
      </c>
      <c r="N103">
        <v>74.5</v>
      </c>
      <c r="O103">
        <v>14.22</v>
      </c>
      <c r="P103">
        <v>2.2799999999999998</v>
      </c>
      <c r="Q103">
        <v>4.2561999999999998</v>
      </c>
      <c r="R103">
        <v>0.68100000000000005</v>
      </c>
      <c r="S103" t="s">
        <v>398</v>
      </c>
      <c r="T103">
        <v>6</v>
      </c>
      <c r="U103" t="s">
        <v>89</v>
      </c>
    </row>
    <row r="104" spans="1:21" outlineLevel="1" x14ac:dyDescent="0.25">
      <c r="H104" s="9" t="s">
        <v>540</v>
      </c>
      <c r="N104">
        <f>SUBTOTAL(9,N97:N103)</f>
        <v>616.5</v>
      </c>
    </row>
    <row r="105" spans="1:21" outlineLevel="2" x14ac:dyDescent="0.25">
      <c r="A105" t="s">
        <v>82</v>
      </c>
      <c r="B105" t="s">
        <v>83</v>
      </c>
      <c r="C105">
        <v>30</v>
      </c>
      <c r="D105" t="s">
        <v>84</v>
      </c>
      <c r="E105">
        <v>184</v>
      </c>
      <c r="F105" t="s">
        <v>85</v>
      </c>
      <c r="G105">
        <v>8661</v>
      </c>
      <c r="H105" t="s">
        <v>39</v>
      </c>
      <c r="I105">
        <v>1000008661</v>
      </c>
      <c r="J105">
        <v>28807350</v>
      </c>
      <c r="K105" t="s">
        <v>91</v>
      </c>
      <c r="L105" t="s">
        <v>87</v>
      </c>
      <c r="M105" t="s">
        <v>88</v>
      </c>
      <c r="N105">
        <v>78.5</v>
      </c>
      <c r="O105">
        <v>14.22</v>
      </c>
      <c r="P105">
        <v>2.2799999999999998</v>
      </c>
      <c r="Q105">
        <v>4.2561999999999998</v>
      </c>
      <c r="R105">
        <v>0.68100000000000005</v>
      </c>
      <c r="S105" t="s">
        <v>399</v>
      </c>
      <c r="T105">
        <v>6</v>
      </c>
      <c r="U105" t="s">
        <v>89</v>
      </c>
    </row>
    <row r="106" spans="1:21" outlineLevel="2" x14ac:dyDescent="0.25">
      <c r="A106" t="s">
        <v>82</v>
      </c>
      <c r="B106" t="s">
        <v>83</v>
      </c>
      <c r="C106">
        <v>30</v>
      </c>
      <c r="D106" t="s">
        <v>84</v>
      </c>
      <c r="E106">
        <v>184</v>
      </c>
      <c r="F106" t="s">
        <v>85</v>
      </c>
      <c r="G106">
        <v>8661</v>
      </c>
      <c r="H106" t="s">
        <v>39</v>
      </c>
      <c r="I106">
        <v>1000008661</v>
      </c>
      <c r="J106">
        <v>28807498</v>
      </c>
      <c r="K106" t="s">
        <v>95</v>
      </c>
      <c r="L106" t="s">
        <v>87</v>
      </c>
      <c r="M106" t="s">
        <v>88</v>
      </c>
      <c r="N106">
        <v>129.5</v>
      </c>
      <c r="O106">
        <v>14.22</v>
      </c>
      <c r="P106">
        <v>2.2799999999999998</v>
      </c>
      <c r="Q106">
        <v>4.2561999999999998</v>
      </c>
      <c r="R106">
        <v>0.68100000000000005</v>
      </c>
      <c r="S106" t="s">
        <v>400</v>
      </c>
      <c r="T106">
        <v>6</v>
      </c>
      <c r="U106" t="s">
        <v>89</v>
      </c>
    </row>
    <row r="107" spans="1:21" outlineLevel="2" x14ac:dyDescent="0.25">
      <c r="A107" t="s">
        <v>82</v>
      </c>
      <c r="B107" t="s">
        <v>83</v>
      </c>
      <c r="C107">
        <v>30</v>
      </c>
      <c r="D107" t="s">
        <v>84</v>
      </c>
      <c r="E107">
        <v>184</v>
      </c>
      <c r="F107" t="s">
        <v>85</v>
      </c>
      <c r="G107">
        <v>8661</v>
      </c>
      <c r="H107" t="s">
        <v>39</v>
      </c>
      <c r="I107">
        <v>1000008661</v>
      </c>
      <c r="J107">
        <v>28807639</v>
      </c>
      <c r="K107" t="s">
        <v>99</v>
      </c>
      <c r="L107" t="s">
        <v>87</v>
      </c>
      <c r="M107" t="s">
        <v>88</v>
      </c>
      <c r="N107">
        <v>132.5</v>
      </c>
      <c r="O107">
        <v>14.22</v>
      </c>
      <c r="P107">
        <v>2.2799999999999998</v>
      </c>
      <c r="Q107">
        <v>4.2561999999999998</v>
      </c>
      <c r="R107">
        <v>0.68100000000000005</v>
      </c>
      <c r="S107" t="s">
        <v>401</v>
      </c>
      <c r="T107">
        <v>6</v>
      </c>
      <c r="U107" t="s">
        <v>89</v>
      </c>
    </row>
    <row r="108" spans="1:21" outlineLevel="2" x14ac:dyDescent="0.25">
      <c r="A108" t="s">
        <v>82</v>
      </c>
      <c r="B108" t="s">
        <v>83</v>
      </c>
      <c r="C108">
        <v>30</v>
      </c>
      <c r="D108" t="s">
        <v>84</v>
      </c>
      <c r="E108">
        <v>184</v>
      </c>
      <c r="F108" t="s">
        <v>85</v>
      </c>
      <c r="G108">
        <v>8661</v>
      </c>
      <c r="H108" t="s">
        <v>39</v>
      </c>
      <c r="I108">
        <v>1000008661</v>
      </c>
      <c r="J108">
        <v>28808105</v>
      </c>
      <c r="K108" t="s">
        <v>108</v>
      </c>
      <c r="L108" t="s">
        <v>87</v>
      </c>
      <c r="M108" t="s">
        <v>88</v>
      </c>
      <c r="N108">
        <v>178.5</v>
      </c>
      <c r="O108">
        <v>14.22</v>
      </c>
      <c r="P108">
        <v>2.2799999999999998</v>
      </c>
      <c r="Q108">
        <v>4.2561999999999998</v>
      </c>
      <c r="R108">
        <v>0.68100000000000005</v>
      </c>
      <c r="S108" t="s">
        <v>402</v>
      </c>
      <c r="T108">
        <v>6</v>
      </c>
      <c r="U108" t="s">
        <v>89</v>
      </c>
    </row>
    <row r="109" spans="1:21" outlineLevel="2" x14ac:dyDescent="0.25">
      <c r="A109" t="s">
        <v>82</v>
      </c>
      <c r="B109" t="s">
        <v>83</v>
      </c>
      <c r="C109">
        <v>30</v>
      </c>
      <c r="D109" t="s">
        <v>84</v>
      </c>
      <c r="E109">
        <v>184</v>
      </c>
      <c r="F109" t="s">
        <v>85</v>
      </c>
      <c r="G109">
        <v>8661</v>
      </c>
      <c r="H109" t="s">
        <v>39</v>
      </c>
      <c r="I109">
        <v>1000008661</v>
      </c>
      <c r="J109">
        <v>28811639</v>
      </c>
      <c r="K109" t="s">
        <v>175</v>
      </c>
      <c r="L109" t="s">
        <v>87</v>
      </c>
      <c r="M109" t="s">
        <v>88</v>
      </c>
      <c r="N109">
        <v>428.5</v>
      </c>
      <c r="O109">
        <v>14.22</v>
      </c>
      <c r="P109">
        <v>2.2799999999999998</v>
      </c>
      <c r="Q109">
        <v>4.2561999999999998</v>
      </c>
      <c r="R109">
        <v>0.68100000000000005</v>
      </c>
      <c r="S109" t="s">
        <v>403</v>
      </c>
      <c r="T109">
        <v>6</v>
      </c>
      <c r="U109" t="s">
        <v>89</v>
      </c>
    </row>
    <row r="110" spans="1:21" outlineLevel="2" x14ac:dyDescent="0.25">
      <c r="A110" t="s">
        <v>82</v>
      </c>
      <c r="B110" t="s">
        <v>83</v>
      </c>
      <c r="C110">
        <v>30</v>
      </c>
      <c r="D110" t="s">
        <v>84</v>
      </c>
      <c r="E110">
        <v>184</v>
      </c>
      <c r="F110" t="s">
        <v>85</v>
      </c>
      <c r="G110">
        <v>8661</v>
      </c>
      <c r="H110" t="s">
        <v>39</v>
      </c>
      <c r="I110">
        <v>1000008661</v>
      </c>
      <c r="J110">
        <v>28812501</v>
      </c>
      <c r="K110" t="s">
        <v>183</v>
      </c>
      <c r="L110" t="s">
        <v>87</v>
      </c>
      <c r="M110" t="s">
        <v>88</v>
      </c>
      <c r="N110">
        <v>82.5</v>
      </c>
      <c r="O110">
        <v>14.22</v>
      </c>
      <c r="P110">
        <v>2.2799999999999998</v>
      </c>
      <c r="Q110">
        <v>4.2561999999999998</v>
      </c>
      <c r="R110">
        <v>0.68100000000000005</v>
      </c>
      <c r="S110" t="s">
        <v>404</v>
      </c>
      <c r="T110">
        <v>6</v>
      </c>
      <c r="U110" t="s">
        <v>89</v>
      </c>
    </row>
    <row r="111" spans="1:21" outlineLevel="2" x14ac:dyDescent="0.25">
      <c r="A111" t="s">
        <v>82</v>
      </c>
      <c r="B111" t="s">
        <v>83</v>
      </c>
      <c r="C111">
        <v>30</v>
      </c>
      <c r="D111" t="s">
        <v>84</v>
      </c>
      <c r="E111">
        <v>184</v>
      </c>
      <c r="F111" t="s">
        <v>85</v>
      </c>
      <c r="G111">
        <v>8661</v>
      </c>
      <c r="H111" t="s">
        <v>39</v>
      </c>
      <c r="I111">
        <v>1000008661</v>
      </c>
      <c r="J111">
        <v>28813104</v>
      </c>
      <c r="K111" t="s">
        <v>197</v>
      </c>
      <c r="L111" t="s">
        <v>87</v>
      </c>
      <c r="M111" t="s">
        <v>88</v>
      </c>
      <c r="N111">
        <v>420.5</v>
      </c>
      <c r="O111">
        <v>14.22</v>
      </c>
      <c r="P111">
        <v>2.2799999999999998</v>
      </c>
      <c r="Q111">
        <v>4.2561999999999998</v>
      </c>
      <c r="R111">
        <v>0.68100000000000005</v>
      </c>
      <c r="S111" t="s">
        <v>405</v>
      </c>
      <c r="T111">
        <v>6</v>
      </c>
      <c r="U111" t="s">
        <v>89</v>
      </c>
    </row>
    <row r="112" spans="1:21" outlineLevel="2" x14ac:dyDescent="0.25">
      <c r="A112" t="s">
        <v>82</v>
      </c>
      <c r="B112" t="s">
        <v>83</v>
      </c>
      <c r="C112">
        <v>30</v>
      </c>
      <c r="D112" t="s">
        <v>84</v>
      </c>
      <c r="E112">
        <v>184</v>
      </c>
      <c r="F112" t="s">
        <v>85</v>
      </c>
      <c r="G112">
        <v>8661</v>
      </c>
      <c r="H112" t="s">
        <v>39</v>
      </c>
      <c r="I112">
        <v>1000008661</v>
      </c>
      <c r="J112">
        <v>28813663</v>
      </c>
      <c r="K112" t="s">
        <v>203</v>
      </c>
      <c r="L112" t="s">
        <v>87</v>
      </c>
      <c r="M112" t="s">
        <v>88</v>
      </c>
      <c r="N112">
        <v>150.5</v>
      </c>
      <c r="O112">
        <v>14.22</v>
      </c>
      <c r="P112">
        <v>2.2799999999999998</v>
      </c>
      <c r="Q112">
        <v>4.2561999999999998</v>
      </c>
      <c r="R112">
        <v>0.68100000000000005</v>
      </c>
      <c r="S112" t="s">
        <v>406</v>
      </c>
      <c r="T112">
        <v>6</v>
      </c>
      <c r="U112" t="s">
        <v>89</v>
      </c>
    </row>
    <row r="113" spans="1:21" outlineLevel="2" x14ac:dyDescent="0.25">
      <c r="A113" t="s">
        <v>82</v>
      </c>
      <c r="B113" t="s">
        <v>83</v>
      </c>
      <c r="C113">
        <v>30</v>
      </c>
      <c r="D113" t="s">
        <v>84</v>
      </c>
      <c r="E113">
        <v>184</v>
      </c>
      <c r="F113" t="s">
        <v>85</v>
      </c>
      <c r="G113">
        <v>8661</v>
      </c>
      <c r="H113" t="s">
        <v>39</v>
      </c>
      <c r="I113">
        <v>1000008661</v>
      </c>
      <c r="J113">
        <v>28814518</v>
      </c>
      <c r="K113" t="s">
        <v>210</v>
      </c>
      <c r="L113" t="s">
        <v>87</v>
      </c>
      <c r="M113" t="s">
        <v>88</v>
      </c>
      <c r="N113">
        <v>90.5</v>
      </c>
      <c r="O113">
        <v>14.22</v>
      </c>
      <c r="P113">
        <v>2.2799999999999998</v>
      </c>
      <c r="Q113">
        <v>4.2561999999999998</v>
      </c>
      <c r="R113">
        <v>0.68100000000000005</v>
      </c>
      <c r="S113" t="s">
        <v>407</v>
      </c>
      <c r="T113">
        <v>6</v>
      </c>
      <c r="U113" t="s">
        <v>89</v>
      </c>
    </row>
    <row r="114" spans="1:21" outlineLevel="2" x14ac:dyDescent="0.25">
      <c r="A114" t="s">
        <v>82</v>
      </c>
      <c r="B114" t="s">
        <v>83</v>
      </c>
      <c r="C114">
        <v>30</v>
      </c>
      <c r="D114" t="s">
        <v>84</v>
      </c>
      <c r="E114">
        <v>184</v>
      </c>
      <c r="F114" t="s">
        <v>85</v>
      </c>
      <c r="G114">
        <v>8661</v>
      </c>
      <c r="H114" t="s">
        <v>39</v>
      </c>
      <c r="I114">
        <v>1000008661</v>
      </c>
      <c r="J114">
        <v>28817307</v>
      </c>
      <c r="K114" t="s">
        <v>231</v>
      </c>
      <c r="L114" t="s">
        <v>87</v>
      </c>
      <c r="M114" t="s">
        <v>88</v>
      </c>
      <c r="N114">
        <v>150.5</v>
      </c>
      <c r="O114">
        <v>14.22</v>
      </c>
      <c r="P114">
        <v>2.2799999999999998</v>
      </c>
      <c r="Q114">
        <v>4.2561999999999998</v>
      </c>
      <c r="R114">
        <v>0.68100000000000005</v>
      </c>
      <c r="S114" t="s">
        <v>408</v>
      </c>
      <c r="T114">
        <v>6</v>
      </c>
      <c r="U114" t="s">
        <v>89</v>
      </c>
    </row>
    <row r="115" spans="1:21" outlineLevel="2" x14ac:dyDescent="0.25">
      <c r="A115" t="s">
        <v>82</v>
      </c>
      <c r="B115" t="s">
        <v>83</v>
      </c>
      <c r="C115">
        <v>30</v>
      </c>
      <c r="D115" t="s">
        <v>84</v>
      </c>
      <c r="E115">
        <v>184</v>
      </c>
      <c r="F115" t="s">
        <v>85</v>
      </c>
      <c r="G115">
        <v>8661</v>
      </c>
      <c r="H115" t="s">
        <v>39</v>
      </c>
      <c r="I115">
        <v>1000008661</v>
      </c>
      <c r="J115">
        <v>28819899</v>
      </c>
      <c r="K115" t="s">
        <v>264</v>
      </c>
      <c r="L115" t="s">
        <v>87</v>
      </c>
      <c r="M115" t="s">
        <v>88</v>
      </c>
      <c r="N115">
        <v>163.5</v>
      </c>
      <c r="O115">
        <v>14.22</v>
      </c>
      <c r="P115">
        <v>2.2799999999999998</v>
      </c>
      <c r="Q115">
        <v>4.2561999999999998</v>
      </c>
      <c r="R115">
        <v>0.68100000000000005</v>
      </c>
      <c r="S115" t="s">
        <v>409</v>
      </c>
      <c r="T115">
        <v>6</v>
      </c>
      <c r="U115" t="s">
        <v>89</v>
      </c>
    </row>
    <row r="116" spans="1:21" outlineLevel="2" x14ac:dyDescent="0.25">
      <c r="A116" t="s">
        <v>82</v>
      </c>
      <c r="B116" t="s">
        <v>83</v>
      </c>
      <c r="C116">
        <v>30</v>
      </c>
      <c r="D116" t="s">
        <v>84</v>
      </c>
      <c r="E116">
        <v>184</v>
      </c>
      <c r="F116" t="s">
        <v>85</v>
      </c>
      <c r="G116">
        <v>8661</v>
      </c>
      <c r="H116" t="s">
        <v>39</v>
      </c>
      <c r="I116">
        <v>1000008661</v>
      </c>
      <c r="J116">
        <v>28819966</v>
      </c>
      <c r="K116" t="s">
        <v>265</v>
      </c>
      <c r="L116" t="s">
        <v>87</v>
      </c>
      <c r="M116" t="s">
        <v>88</v>
      </c>
      <c r="N116">
        <v>114.5</v>
      </c>
      <c r="O116">
        <v>14.22</v>
      </c>
      <c r="P116">
        <v>2.2799999999999998</v>
      </c>
      <c r="Q116">
        <v>4.2561999999999998</v>
      </c>
      <c r="R116">
        <v>0.68100000000000005</v>
      </c>
      <c r="S116" t="s">
        <v>410</v>
      </c>
      <c r="T116">
        <v>6</v>
      </c>
      <c r="U116" t="s">
        <v>89</v>
      </c>
    </row>
    <row r="117" spans="1:21" outlineLevel="2" x14ac:dyDescent="0.25">
      <c r="A117" t="s">
        <v>82</v>
      </c>
      <c r="B117" t="s">
        <v>83</v>
      </c>
      <c r="C117">
        <v>30</v>
      </c>
      <c r="D117" t="s">
        <v>84</v>
      </c>
      <c r="E117">
        <v>184</v>
      </c>
      <c r="F117" t="s">
        <v>85</v>
      </c>
      <c r="G117">
        <v>8661</v>
      </c>
      <c r="H117" t="s">
        <v>39</v>
      </c>
      <c r="I117">
        <v>1000008661</v>
      </c>
      <c r="J117">
        <v>28821215</v>
      </c>
      <c r="K117" t="s">
        <v>275</v>
      </c>
      <c r="L117" t="s">
        <v>87</v>
      </c>
      <c r="M117" t="s">
        <v>88</v>
      </c>
      <c r="N117">
        <v>149.5</v>
      </c>
      <c r="O117">
        <v>14.22</v>
      </c>
      <c r="P117">
        <v>2.2799999999999998</v>
      </c>
      <c r="Q117">
        <v>4.2561999999999998</v>
      </c>
      <c r="R117">
        <v>0.68100000000000005</v>
      </c>
      <c r="S117" t="s">
        <v>411</v>
      </c>
      <c r="T117">
        <v>6</v>
      </c>
      <c r="U117" t="s">
        <v>89</v>
      </c>
    </row>
    <row r="118" spans="1:21" outlineLevel="2" x14ac:dyDescent="0.25">
      <c r="A118" t="s">
        <v>82</v>
      </c>
      <c r="B118" t="s">
        <v>83</v>
      </c>
      <c r="C118">
        <v>30</v>
      </c>
      <c r="D118" t="s">
        <v>84</v>
      </c>
      <c r="E118">
        <v>184</v>
      </c>
      <c r="F118" t="s">
        <v>85</v>
      </c>
      <c r="G118">
        <v>8661</v>
      </c>
      <c r="H118" t="s">
        <v>39</v>
      </c>
      <c r="I118">
        <v>1000008661</v>
      </c>
      <c r="J118">
        <v>28822923</v>
      </c>
      <c r="K118" t="s">
        <v>297</v>
      </c>
      <c r="L118" t="s">
        <v>87</v>
      </c>
      <c r="M118" t="s">
        <v>88</v>
      </c>
      <c r="N118">
        <v>126.5</v>
      </c>
      <c r="O118">
        <v>14.22</v>
      </c>
      <c r="P118">
        <v>2.2799999999999998</v>
      </c>
      <c r="Q118">
        <v>4.2561999999999998</v>
      </c>
      <c r="R118">
        <v>0.68100000000000005</v>
      </c>
      <c r="S118" t="s">
        <v>412</v>
      </c>
      <c r="T118">
        <v>6</v>
      </c>
      <c r="U118" t="s">
        <v>89</v>
      </c>
    </row>
    <row r="119" spans="1:21" outlineLevel="2" x14ac:dyDescent="0.25">
      <c r="A119" t="s">
        <v>82</v>
      </c>
      <c r="B119" t="s">
        <v>83</v>
      </c>
      <c r="C119">
        <v>30</v>
      </c>
      <c r="D119" t="s">
        <v>84</v>
      </c>
      <c r="E119">
        <v>184</v>
      </c>
      <c r="F119" t="s">
        <v>85</v>
      </c>
      <c r="G119">
        <v>8661</v>
      </c>
      <c r="H119" t="s">
        <v>39</v>
      </c>
      <c r="I119">
        <v>1000008661</v>
      </c>
      <c r="J119">
        <v>28824469</v>
      </c>
      <c r="K119" t="s">
        <v>309</v>
      </c>
      <c r="L119" t="s">
        <v>87</v>
      </c>
      <c r="M119" t="s">
        <v>88</v>
      </c>
      <c r="N119">
        <v>116.5</v>
      </c>
      <c r="O119">
        <v>14.22</v>
      </c>
      <c r="P119">
        <v>2.2799999999999998</v>
      </c>
      <c r="Q119">
        <v>4.2561999999999998</v>
      </c>
      <c r="R119">
        <v>0.68100000000000005</v>
      </c>
      <c r="S119" t="s">
        <v>413</v>
      </c>
      <c r="T119">
        <v>6</v>
      </c>
      <c r="U119" t="s">
        <v>89</v>
      </c>
    </row>
    <row r="120" spans="1:21" outlineLevel="1" x14ac:dyDescent="0.25">
      <c r="H120" s="9" t="s">
        <v>541</v>
      </c>
      <c r="N120">
        <f>SUBTOTAL(9,N105:N119)</f>
        <v>2512.5</v>
      </c>
    </row>
    <row r="121" spans="1:21" outlineLevel="2" x14ac:dyDescent="0.25">
      <c r="A121" t="s">
        <v>82</v>
      </c>
      <c r="B121" t="s">
        <v>83</v>
      </c>
      <c r="C121">
        <v>30</v>
      </c>
      <c r="D121" t="s">
        <v>84</v>
      </c>
      <c r="E121">
        <v>184</v>
      </c>
      <c r="F121" t="s">
        <v>85</v>
      </c>
      <c r="G121">
        <v>8662</v>
      </c>
      <c r="H121" t="s">
        <v>36</v>
      </c>
      <c r="I121">
        <v>1000008662</v>
      </c>
      <c r="J121">
        <v>28807352</v>
      </c>
      <c r="K121" t="s">
        <v>92</v>
      </c>
      <c r="L121" t="s">
        <v>87</v>
      </c>
      <c r="M121" t="s">
        <v>88</v>
      </c>
      <c r="N121">
        <v>130.5</v>
      </c>
      <c r="O121">
        <v>14.22</v>
      </c>
      <c r="P121">
        <v>2.2799999999999998</v>
      </c>
      <c r="Q121">
        <v>4.2561999999999998</v>
      </c>
      <c r="R121">
        <v>0.68100000000000005</v>
      </c>
      <c r="S121" t="s">
        <v>414</v>
      </c>
      <c r="T121">
        <v>6</v>
      </c>
      <c r="U121" t="s">
        <v>89</v>
      </c>
    </row>
    <row r="122" spans="1:21" outlineLevel="2" x14ac:dyDescent="0.25">
      <c r="A122" t="s">
        <v>82</v>
      </c>
      <c r="B122" t="s">
        <v>83</v>
      </c>
      <c r="C122">
        <v>30</v>
      </c>
      <c r="D122" t="s">
        <v>84</v>
      </c>
      <c r="E122">
        <v>184</v>
      </c>
      <c r="F122" t="s">
        <v>85</v>
      </c>
      <c r="G122">
        <v>8662</v>
      </c>
      <c r="H122" t="s">
        <v>36</v>
      </c>
      <c r="I122">
        <v>1000008662</v>
      </c>
      <c r="J122">
        <v>28807531</v>
      </c>
      <c r="K122" t="s">
        <v>96</v>
      </c>
      <c r="L122" t="s">
        <v>87</v>
      </c>
      <c r="M122" t="s">
        <v>88</v>
      </c>
      <c r="N122">
        <v>132.5</v>
      </c>
      <c r="O122">
        <v>14.22</v>
      </c>
      <c r="P122">
        <v>2.2799999999999998</v>
      </c>
      <c r="Q122">
        <v>4.2561999999999998</v>
      </c>
      <c r="R122">
        <v>0.68100000000000005</v>
      </c>
      <c r="S122" t="s">
        <v>415</v>
      </c>
      <c r="T122">
        <v>6</v>
      </c>
      <c r="U122" t="s">
        <v>89</v>
      </c>
    </row>
    <row r="123" spans="1:21" outlineLevel="2" x14ac:dyDescent="0.25">
      <c r="A123" t="s">
        <v>82</v>
      </c>
      <c r="B123" t="s">
        <v>83</v>
      </c>
      <c r="C123">
        <v>30</v>
      </c>
      <c r="D123" t="s">
        <v>84</v>
      </c>
      <c r="E123">
        <v>184</v>
      </c>
      <c r="F123" t="s">
        <v>85</v>
      </c>
      <c r="G123">
        <v>8662</v>
      </c>
      <c r="H123" t="s">
        <v>36</v>
      </c>
      <c r="I123">
        <v>1000008662</v>
      </c>
      <c r="J123">
        <v>28807666</v>
      </c>
      <c r="K123" t="s">
        <v>101</v>
      </c>
      <c r="L123" t="s">
        <v>87</v>
      </c>
      <c r="M123" t="s">
        <v>88</v>
      </c>
      <c r="N123">
        <v>2154.5</v>
      </c>
      <c r="O123">
        <v>14.22</v>
      </c>
      <c r="P123">
        <v>2.2799999999999998</v>
      </c>
      <c r="Q123">
        <v>4.2561999999999998</v>
      </c>
      <c r="R123">
        <v>0.68100000000000005</v>
      </c>
      <c r="S123" t="s">
        <v>416</v>
      </c>
      <c r="T123">
        <v>6</v>
      </c>
      <c r="U123" t="s">
        <v>89</v>
      </c>
    </row>
    <row r="124" spans="1:21" outlineLevel="2" x14ac:dyDescent="0.25">
      <c r="A124" t="s">
        <v>82</v>
      </c>
      <c r="B124" t="s">
        <v>83</v>
      </c>
      <c r="C124">
        <v>30</v>
      </c>
      <c r="D124" t="s">
        <v>84</v>
      </c>
      <c r="E124">
        <v>184</v>
      </c>
      <c r="F124" t="s">
        <v>85</v>
      </c>
      <c r="G124">
        <v>8662</v>
      </c>
      <c r="H124" t="s">
        <v>36</v>
      </c>
      <c r="I124">
        <v>1000008662</v>
      </c>
      <c r="J124">
        <v>28807718</v>
      </c>
      <c r="K124" t="s">
        <v>102</v>
      </c>
      <c r="L124" t="s">
        <v>87</v>
      </c>
      <c r="M124" t="s">
        <v>88</v>
      </c>
      <c r="N124">
        <v>154.5</v>
      </c>
      <c r="O124">
        <v>14.22</v>
      </c>
      <c r="P124">
        <v>2.2799999999999998</v>
      </c>
      <c r="Q124">
        <v>4.2561999999999998</v>
      </c>
      <c r="R124">
        <v>0.68100000000000005</v>
      </c>
      <c r="S124" t="s">
        <v>417</v>
      </c>
      <c r="T124">
        <v>6</v>
      </c>
      <c r="U124" t="s">
        <v>89</v>
      </c>
    </row>
    <row r="125" spans="1:21" outlineLevel="2" x14ac:dyDescent="0.25">
      <c r="A125" t="s">
        <v>82</v>
      </c>
      <c r="B125" t="s">
        <v>83</v>
      </c>
      <c r="C125">
        <v>30</v>
      </c>
      <c r="D125" t="s">
        <v>84</v>
      </c>
      <c r="E125">
        <v>184</v>
      </c>
      <c r="F125" t="s">
        <v>85</v>
      </c>
      <c r="G125">
        <v>8662</v>
      </c>
      <c r="H125" t="s">
        <v>36</v>
      </c>
      <c r="I125">
        <v>1000008662</v>
      </c>
      <c r="J125">
        <v>28807976</v>
      </c>
      <c r="K125" t="s">
        <v>104</v>
      </c>
      <c r="L125" t="s">
        <v>87</v>
      </c>
      <c r="M125" t="s">
        <v>88</v>
      </c>
      <c r="N125">
        <v>111.5</v>
      </c>
      <c r="O125">
        <v>14.22</v>
      </c>
      <c r="P125">
        <v>2.2799999999999998</v>
      </c>
      <c r="Q125">
        <v>4.2561999999999998</v>
      </c>
      <c r="R125">
        <v>0.68100000000000005</v>
      </c>
      <c r="S125" t="s">
        <v>418</v>
      </c>
      <c r="T125">
        <v>6</v>
      </c>
      <c r="U125" t="s">
        <v>89</v>
      </c>
    </row>
    <row r="126" spans="1:21" outlineLevel="2" x14ac:dyDescent="0.25">
      <c r="A126" t="s">
        <v>82</v>
      </c>
      <c r="B126" t="s">
        <v>83</v>
      </c>
      <c r="C126">
        <v>30</v>
      </c>
      <c r="D126" t="s">
        <v>84</v>
      </c>
      <c r="E126">
        <v>184</v>
      </c>
      <c r="F126" t="s">
        <v>85</v>
      </c>
      <c r="G126">
        <v>8662</v>
      </c>
      <c r="H126" t="s">
        <v>36</v>
      </c>
      <c r="I126">
        <v>1000008662</v>
      </c>
      <c r="J126">
        <v>28808242</v>
      </c>
      <c r="K126" t="s">
        <v>111</v>
      </c>
      <c r="L126" t="s">
        <v>87</v>
      </c>
      <c r="M126" t="s">
        <v>88</v>
      </c>
      <c r="N126">
        <v>78.5</v>
      </c>
      <c r="O126">
        <v>14.22</v>
      </c>
      <c r="P126">
        <v>2.2799999999999998</v>
      </c>
      <c r="Q126">
        <v>4.2561999999999998</v>
      </c>
      <c r="R126">
        <v>0.68100000000000005</v>
      </c>
      <c r="S126" t="s">
        <v>419</v>
      </c>
      <c r="T126">
        <v>6</v>
      </c>
      <c r="U126" t="s">
        <v>89</v>
      </c>
    </row>
    <row r="127" spans="1:21" outlineLevel="2" x14ac:dyDescent="0.25">
      <c r="A127" t="s">
        <v>82</v>
      </c>
      <c r="B127" t="s">
        <v>83</v>
      </c>
      <c r="C127">
        <v>30</v>
      </c>
      <c r="D127" t="s">
        <v>84</v>
      </c>
      <c r="E127">
        <v>184</v>
      </c>
      <c r="F127" t="s">
        <v>85</v>
      </c>
      <c r="G127">
        <v>8662</v>
      </c>
      <c r="H127" t="s">
        <v>36</v>
      </c>
      <c r="I127">
        <v>1000008662</v>
      </c>
      <c r="J127">
        <v>28808376</v>
      </c>
      <c r="K127" t="s">
        <v>114</v>
      </c>
      <c r="L127" t="s">
        <v>87</v>
      </c>
      <c r="M127" t="s">
        <v>88</v>
      </c>
      <c r="N127">
        <v>1206.5</v>
      </c>
      <c r="O127">
        <v>14.22</v>
      </c>
      <c r="P127">
        <v>2.2799999999999998</v>
      </c>
      <c r="Q127">
        <v>4.2561999999999998</v>
      </c>
      <c r="R127">
        <v>0.68100000000000005</v>
      </c>
      <c r="S127" t="s">
        <v>420</v>
      </c>
      <c r="T127">
        <v>6</v>
      </c>
      <c r="U127" t="s">
        <v>89</v>
      </c>
    </row>
    <row r="128" spans="1:21" outlineLevel="2" x14ac:dyDescent="0.25">
      <c r="A128" t="s">
        <v>82</v>
      </c>
      <c r="B128" t="s">
        <v>83</v>
      </c>
      <c r="C128">
        <v>30</v>
      </c>
      <c r="D128" t="s">
        <v>84</v>
      </c>
      <c r="E128">
        <v>184</v>
      </c>
      <c r="F128" t="s">
        <v>85</v>
      </c>
      <c r="G128">
        <v>8662</v>
      </c>
      <c r="H128" t="s">
        <v>36</v>
      </c>
      <c r="I128">
        <v>1000008662</v>
      </c>
      <c r="J128">
        <v>28808705</v>
      </c>
      <c r="K128" t="s">
        <v>122</v>
      </c>
      <c r="L128" t="s">
        <v>87</v>
      </c>
      <c r="M128" t="s">
        <v>88</v>
      </c>
      <c r="N128">
        <v>180.5</v>
      </c>
      <c r="O128">
        <v>14.22</v>
      </c>
      <c r="P128">
        <v>2.2799999999999998</v>
      </c>
      <c r="Q128">
        <v>4.2561999999999998</v>
      </c>
      <c r="R128">
        <v>0.68100000000000005</v>
      </c>
      <c r="S128" t="s">
        <v>421</v>
      </c>
      <c r="T128">
        <v>6</v>
      </c>
      <c r="U128" t="s">
        <v>89</v>
      </c>
    </row>
    <row r="129" spans="1:22" outlineLevel="2" x14ac:dyDescent="0.25">
      <c r="A129" t="s">
        <v>82</v>
      </c>
      <c r="B129" t="s">
        <v>83</v>
      </c>
      <c r="C129">
        <v>30</v>
      </c>
      <c r="D129" t="s">
        <v>84</v>
      </c>
      <c r="E129">
        <v>184</v>
      </c>
      <c r="F129" t="s">
        <v>85</v>
      </c>
      <c r="G129">
        <v>8662</v>
      </c>
      <c r="H129" t="s">
        <v>36</v>
      </c>
      <c r="I129">
        <v>1000008662</v>
      </c>
      <c r="J129">
        <v>28808848</v>
      </c>
      <c r="K129" t="s">
        <v>129</v>
      </c>
      <c r="L129" t="s">
        <v>87</v>
      </c>
      <c r="M129" t="s">
        <v>88</v>
      </c>
      <c r="N129">
        <v>127.5</v>
      </c>
      <c r="O129">
        <v>14.22</v>
      </c>
      <c r="P129">
        <v>2.2799999999999998</v>
      </c>
      <c r="Q129">
        <v>4.2561999999999998</v>
      </c>
      <c r="R129">
        <v>0.68100000000000005</v>
      </c>
      <c r="S129" t="s">
        <v>422</v>
      </c>
      <c r="T129">
        <v>6</v>
      </c>
      <c r="U129" t="s">
        <v>89</v>
      </c>
    </row>
    <row r="130" spans="1:22" outlineLevel="2" x14ac:dyDescent="0.25">
      <c r="A130" t="s">
        <v>82</v>
      </c>
      <c r="B130" t="s">
        <v>83</v>
      </c>
      <c r="C130">
        <v>30</v>
      </c>
      <c r="D130" t="s">
        <v>84</v>
      </c>
      <c r="E130">
        <v>184</v>
      </c>
      <c r="F130" t="s">
        <v>85</v>
      </c>
      <c r="G130">
        <v>8662</v>
      </c>
      <c r="H130" t="s">
        <v>36</v>
      </c>
      <c r="I130">
        <v>1000008662</v>
      </c>
      <c r="J130">
        <v>28809642</v>
      </c>
      <c r="K130" t="s">
        <v>140</v>
      </c>
      <c r="L130" t="s">
        <v>87</v>
      </c>
      <c r="M130" t="s">
        <v>88</v>
      </c>
      <c r="N130">
        <v>113.5</v>
      </c>
      <c r="O130">
        <v>14.22</v>
      </c>
      <c r="P130">
        <v>2.2799999999999998</v>
      </c>
      <c r="Q130">
        <v>4.2561999999999998</v>
      </c>
      <c r="R130">
        <v>0.68100000000000005</v>
      </c>
      <c r="S130" t="s">
        <v>423</v>
      </c>
      <c r="T130">
        <v>6</v>
      </c>
      <c r="U130" t="s">
        <v>89</v>
      </c>
    </row>
    <row r="131" spans="1:22" outlineLevel="2" x14ac:dyDescent="0.25">
      <c r="A131" t="s">
        <v>82</v>
      </c>
      <c r="B131" t="s">
        <v>83</v>
      </c>
      <c r="C131">
        <v>30</v>
      </c>
      <c r="D131" t="s">
        <v>84</v>
      </c>
      <c r="E131">
        <v>184</v>
      </c>
      <c r="F131" t="s">
        <v>85</v>
      </c>
      <c r="G131">
        <v>8662</v>
      </c>
      <c r="H131" t="s">
        <v>36</v>
      </c>
      <c r="I131">
        <v>1000008662</v>
      </c>
      <c r="J131">
        <v>28809952</v>
      </c>
      <c r="K131" t="s">
        <v>145</v>
      </c>
      <c r="L131" t="s">
        <v>87</v>
      </c>
      <c r="M131" t="s">
        <v>88</v>
      </c>
      <c r="N131">
        <v>142.5</v>
      </c>
      <c r="O131">
        <v>14.22</v>
      </c>
      <c r="P131">
        <v>2.2799999999999998</v>
      </c>
      <c r="Q131">
        <v>4.2561999999999998</v>
      </c>
      <c r="R131">
        <v>0.68100000000000005</v>
      </c>
      <c r="S131" t="s">
        <v>424</v>
      </c>
      <c r="T131">
        <v>6</v>
      </c>
      <c r="U131" t="s">
        <v>89</v>
      </c>
    </row>
    <row r="132" spans="1:22" outlineLevel="2" x14ac:dyDescent="0.25">
      <c r="A132" t="s">
        <v>82</v>
      </c>
      <c r="B132" t="s">
        <v>83</v>
      </c>
      <c r="C132">
        <v>30</v>
      </c>
      <c r="D132" t="s">
        <v>84</v>
      </c>
      <c r="E132">
        <v>184</v>
      </c>
      <c r="F132" t="s">
        <v>85</v>
      </c>
      <c r="G132">
        <v>8662</v>
      </c>
      <c r="H132" t="s">
        <v>36</v>
      </c>
      <c r="I132">
        <v>1000008662</v>
      </c>
      <c r="J132">
        <v>28810316</v>
      </c>
      <c r="K132" t="s">
        <v>154</v>
      </c>
      <c r="L132" t="s">
        <v>87</v>
      </c>
      <c r="M132" t="s">
        <v>88</v>
      </c>
      <c r="N132">
        <v>109.5</v>
      </c>
      <c r="O132">
        <v>14.22</v>
      </c>
      <c r="P132">
        <v>2.2799999999999998</v>
      </c>
      <c r="Q132">
        <v>4.2561999999999998</v>
      </c>
      <c r="R132">
        <v>0.68100000000000005</v>
      </c>
      <c r="S132" t="s">
        <v>425</v>
      </c>
      <c r="T132">
        <v>6</v>
      </c>
      <c r="U132" t="s">
        <v>89</v>
      </c>
    </row>
    <row r="133" spans="1:22" outlineLevel="2" x14ac:dyDescent="0.25">
      <c r="A133" t="s">
        <v>82</v>
      </c>
      <c r="B133" t="s">
        <v>83</v>
      </c>
      <c r="C133">
        <v>30</v>
      </c>
      <c r="D133" t="s">
        <v>84</v>
      </c>
      <c r="E133">
        <v>184</v>
      </c>
      <c r="F133" t="s">
        <v>85</v>
      </c>
      <c r="G133">
        <v>8662</v>
      </c>
      <c r="H133" t="s">
        <v>36</v>
      </c>
      <c r="I133">
        <v>1000008662</v>
      </c>
      <c r="J133">
        <v>28811089</v>
      </c>
      <c r="K133" t="s">
        <v>165</v>
      </c>
      <c r="L133" t="s">
        <v>87</v>
      </c>
      <c r="M133" t="s">
        <v>88</v>
      </c>
      <c r="N133">
        <v>147.5</v>
      </c>
      <c r="O133">
        <v>14.22</v>
      </c>
      <c r="P133">
        <v>2.2799999999999998</v>
      </c>
      <c r="Q133">
        <v>4.2561999999999998</v>
      </c>
      <c r="R133">
        <v>0.68100000000000005</v>
      </c>
      <c r="S133" t="s">
        <v>426</v>
      </c>
      <c r="T133">
        <v>6</v>
      </c>
      <c r="U133" t="s">
        <v>89</v>
      </c>
    </row>
    <row r="134" spans="1:22" outlineLevel="2" x14ac:dyDescent="0.25">
      <c r="A134" s="8" t="s">
        <v>82</v>
      </c>
      <c r="B134" s="8" t="s">
        <v>83</v>
      </c>
      <c r="C134" s="8">
        <v>30</v>
      </c>
      <c r="D134" s="8" t="s">
        <v>84</v>
      </c>
      <c r="E134" s="8">
        <v>184</v>
      </c>
      <c r="F134" s="8" t="s">
        <v>85</v>
      </c>
      <c r="G134" s="8">
        <v>8662</v>
      </c>
      <c r="H134" s="8" t="s">
        <v>36</v>
      </c>
      <c r="I134" s="8">
        <v>1000008662</v>
      </c>
      <c r="J134" s="8">
        <v>28811526</v>
      </c>
      <c r="K134" s="8" t="s">
        <v>172</v>
      </c>
      <c r="L134" s="8" t="s">
        <v>87</v>
      </c>
      <c r="M134" s="8" t="s">
        <v>88</v>
      </c>
      <c r="N134" s="8">
        <v>494.5</v>
      </c>
      <c r="O134" s="8">
        <v>14.22</v>
      </c>
      <c r="P134" s="8">
        <v>2.2799999999999998</v>
      </c>
      <c r="Q134" s="8">
        <v>4.2561999999999998</v>
      </c>
      <c r="R134" s="8">
        <v>0.68100000000000005</v>
      </c>
      <c r="S134" s="8" t="s">
        <v>528</v>
      </c>
      <c r="T134" s="8">
        <v>6</v>
      </c>
      <c r="U134" s="8" t="s">
        <v>89</v>
      </c>
      <c r="V134" s="8"/>
    </row>
    <row r="135" spans="1:22" outlineLevel="2" x14ac:dyDescent="0.25">
      <c r="A135" t="s">
        <v>82</v>
      </c>
      <c r="B135" t="s">
        <v>83</v>
      </c>
      <c r="C135">
        <v>30</v>
      </c>
      <c r="D135" t="s">
        <v>84</v>
      </c>
      <c r="E135">
        <v>184</v>
      </c>
      <c r="F135" t="s">
        <v>85</v>
      </c>
      <c r="G135">
        <v>8662</v>
      </c>
      <c r="H135" t="s">
        <v>36</v>
      </c>
      <c r="I135">
        <v>1000008662</v>
      </c>
      <c r="J135">
        <v>28811610</v>
      </c>
      <c r="K135" t="s">
        <v>173</v>
      </c>
      <c r="L135" t="s">
        <v>87</v>
      </c>
      <c r="M135" t="s">
        <v>88</v>
      </c>
      <c r="N135">
        <v>488.5</v>
      </c>
      <c r="O135">
        <v>14.22</v>
      </c>
      <c r="P135">
        <v>2.2799999999999998</v>
      </c>
      <c r="Q135">
        <v>4.2561999999999998</v>
      </c>
      <c r="R135">
        <v>0.68100000000000005</v>
      </c>
      <c r="S135" t="s">
        <v>427</v>
      </c>
      <c r="T135">
        <v>6</v>
      </c>
      <c r="U135" t="s">
        <v>89</v>
      </c>
    </row>
    <row r="136" spans="1:22" outlineLevel="2" x14ac:dyDescent="0.25">
      <c r="A136" t="s">
        <v>82</v>
      </c>
      <c r="B136" t="s">
        <v>83</v>
      </c>
      <c r="C136">
        <v>30</v>
      </c>
      <c r="D136" t="s">
        <v>84</v>
      </c>
      <c r="E136">
        <v>184</v>
      </c>
      <c r="F136" t="s">
        <v>85</v>
      </c>
      <c r="G136">
        <v>8662</v>
      </c>
      <c r="H136" t="s">
        <v>36</v>
      </c>
      <c r="I136">
        <v>1000008662</v>
      </c>
      <c r="J136">
        <v>28812774</v>
      </c>
      <c r="K136" t="s">
        <v>190</v>
      </c>
      <c r="L136" t="s">
        <v>87</v>
      </c>
      <c r="M136" t="s">
        <v>88</v>
      </c>
      <c r="N136">
        <v>177.5</v>
      </c>
      <c r="O136">
        <v>14.22</v>
      </c>
      <c r="P136">
        <v>2.2799999999999998</v>
      </c>
      <c r="Q136">
        <v>4.2561999999999998</v>
      </c>
      <c r="R136">
        <v>0.68100000000000005</v>
      </c>
      <c r="S136" t="s">
        <v>428</v>
      </c>
      <c r="T136">
        <v>6</v>
      </c>
      <c r="U136" t="s">
        <v>89</v>
      </c>
    </row>
    <row r="137" spans="1:22" outlineLevel="2" x14ac:dyDescent="0.25">
      <c r="A137" t="s">
        <v>82</v>
      </c>
      <c r="B137" t="s">
        <v>83</v>
      </c>
      <c r="C137">
        <v>30</v>
      </c>
      <c r="D137" t="s">
        <v>84</v>
      </c>
      <c r="E137">
        <v>184</v>
      </c>
      <c r="F137" t="s">
        <v>85</v>
      </c>
      <c r="G137">
        <v>8662</v>
      </c>
      <c r="H137" t="s">
        <v>36</v>
      </c>
      <c r="I137">
        <v>1000008662</v>
      </c>
      <c r="J137">
        <v>28812828</v>
      </c>
      <c r="K137" t="s">
        <v>191</v>
      </c>
      <c r="L137" t="s">
        <v>87</v>
      </c>
      <c r="M137" t="s">
        <v>88</v>
      </c>
      <c r="N137">
        <v>159.5</v>
      </c>
      <c r="O137">
        <v>14.22</v>
      </c>
      <c r="P137">
        <v>2.2799999999999998</v>
      </c>
      <c r="Q137">
        <v>4.2561999999999998</v>
      </c>
      <c r="R137">
        <v>0.68100000000000005</v>
      </c>
      <c r="S137" t="s">
        <v>429</v>
      </c>
      <c r="T137">
        <v>6</v>
      </c>
      <c r="U137" t="s">
        <v>89</v>
      </c>
    </row>
    <row r="138" spans="1:22" outlineLevel="2" x14ac:dyDescent="0.25">
      <c r="A138" t="s">
        <v>82</v>
      </c>
      <c r="B138" t="s">
        <v>83</v>
      </c>
      <c r="C138">
        <v>30</v>
      </c>
      <c r="D138" t="s">
        <v>84</v>
      </c>
      <c r="E138">
        <v>184</v>
      </c>
      <c r="F138" t="s">
        <v>85</v>
      </c>
      <c r="G138">
        <v>8662</v>
      </c>
      <c r="H138" t="s">
        <v>36</v>
      </c>
      <c r="I138">
        <v>1000008662</v>
      </c>
      <c r="J138">
        <v>28813984</v>
      </c>
      <c r="K138" t="s">
        <v>208</v>
      </c>
      <c r="L138" t="s">
        <v>87</v>
      </c>
      <c r="M138" t="s">
        <v>88</v>
      </c>
      <c r="N138">
        <v>328.5</v>
      </c>
      <c r="O138">
        <v>14.22</v>
      </c>
      <c r="P138">
        <v>2.2799999999999998</v>
      </c>
      <c r="Q138">
        <v>4.2561999999999998</v>
      </c>
      <c r="R138">
        <v>0.68100000000000005</v>
      </c>
      <c r="S138" t="s">
        <v>430</v>
      </c>
      <c r="T138">
        <v>6</v>
      </c>
      <c r="U138" t="s">
        <v>89</v>
      </c>
    </row>
    <row r="139" spans="1:22" outlineLevel="2" x14ac:dyDescent="0.25">
      <c r="A139" t="s">
        <v>82</v>
      </c>
      <c r="B139" t="s">
        <v>83</v>
      </c>
      <c r="C139">
        <v>30</v>
      </c>
      <c r="D139" t="s">
        <v>84</v>
      </c>
      <c r="E139">
        <v>184</v>
      </c>
      <c r="F139" t="s">
        <v>85</v>
      </c>
      <c r="G139">
        <v>8662</v>
      </c>
      <c r="H139" t="s">
        <v>36</v>
      </c>
      <c r="I139">
        <v>1000008662</v>
      </c>
      <c r="J139">
        <v>28815174</v>
      </c>
      <c r="K139" t="s">
        <v>219</v>
      </c>
      <c r="L139" t="s">
        <v>87</v>
      </c>
      <c r="M139" t="s">
        <v>88</v>
      </c>
      <c r="N139">
        <v>44.5</v>
      </c>
      <c r="O139">
        <v>14.22</v>
      </c>
      <c r="P139">
        <v>2.2799999999999998</v>
      </c>
      <c r="Q139">
        <v>4.2561999999999998</v>
      </c>
      <c r="R139">
        <v>0.68100000000000005</v>
      </c>
      <c r="S139" t="s">
        <v>431</v>
      </c>
      <c r="T139">
        <v>6</v>
      </c>
      <c r="U139" t="s">
        <v>89</v>
      </c>
    </row>
    <row r="140" spans="1:22" outlineLevel="2" x14ac:dyDescent="0.25">
      <c r="A140" t="s">
        <v>82</v>
      </c>
      <c r="B140" t="s">
        <v>83</v>
      </c>
      <c r="C140">
        <v>30</v>
      </c>
      <c r="D140" t="s">
        <v>84</v>
      </c>
      <c r="E140">
        <v>184</v>
      </c>
      <c r="F140" t="s">
        <v>85</v>
      </c>
      <c r="G140">
        <v>8662</v>
      </c>
      <c r="H140" t="s">
        <v>36</v>
      </c>
      <c r="I140">
        <v>1000008662</v>
      </c>
      <c r="J140">
        <v>28816038</v>
      </c>
      <c r="K140" t="s">
        <v>222</v>
      </c>
      <c r="L140" t="s">
        <v>87</v>
      </c>
      <c r="M140" t="s">
        <v>88</v>
      </c>
      <c r="N140">
        <v>91.5</v>
      </c>
      <c r="O140">
        <v>14.22</v>
      </c>
      <c r="P140">
        <v>2.2799999999999998</v>
      </c>
      <c r="Q140">
        <v>4.2561999999999998</v>
      </c>
      <c r="R140">
        <v>0.68100000000000005</v>
      </c>
      <c r="S140" t="s">
        <v>432</v>
      </c>
      <c r="T140">
        <v>6</v>
      </c>
      <c r="U140" t="s">
        <v>89</v>
      </c>
    </row>
    <row r="141" spans="1:22" outlineLevel="2" x14ac:dyDescent="0.25">
      <c r="A141" t="s">
        <v>82</v>
      </c>
      <c r="B141" t="s">
        <v>83</v>
      </c>
      <c r="C141">
        <v>30</v>
      </c>
      <c r="D141" t="s">
        <v>84</v>
      </c>
      <c r="E141">
        <v>184</v>
      </c>
      <c r="F141" t="s">
        <v>85</v>
      </c>
      <c r="G141">
        <v>8662</v>
      </c>
      <c r="H141" t="s">
        <v>36</v>
      </c>
      <c r="I141">
        <v>1000008662</v>
      </c>
      <c r="J141">
        <v>28816181</v>
      </c>
      <c r="K141" t="s">
        <v>223</v>
      </c>
      <c r="L141" t="s">
        <v>87</v>
      </c>
      <c r="M141" t="s">
        <v>88</v>
      </c>
      <c r="N141">
        <v>143.5</v>
      </c>
      <c r="O141">
        <v>14.22</v>
      </c>
      <c r="P141">
        <v>2.2799999999999998</v>
      </c>
      <c r="Q141">
        <v>4.2561999999999998</v>
      </c>
      <c r="R141">
        <v>0.68100000000000005</v>
      </c>
      <c r="S141" t="s">
        <v>433</v>
      </c>
      <c r="T141">
        <v>6</v>
      </c>
      <c r="U141" t="s">
        <v>89</v>
      </c>
    </row>
    <row r="142" spans="1:22" outlineLevel="2" x14ac:dyDescent="0.25">
      <c r="A142" t="s">
        <v>82</v>
      </c>
      <c r="B142" t="s">
        <v>83</v>
      </c>
      <c r="C142">
        <v>30</v>
      </c>
      <c r="D142" t="s">
        <v>84</v>
      </c>
      <c r="E142">
        <v>184</v>
      </c>
      <c r="F142" t="s">
        <v>85</v>
      </c>
      <c r="G142">
        <v>8662</v>
      </c>
      <c r="H142" t="s">
        <v>36</v>
      </c>
      <c r="I142">
        <v>1000008662</v>
      </c>
      <c r="J142">
        <v>28817074</v>
      </c>
      <c r="K142" t="s">
        <v>228</v>
      </c>
      <c r="L142" t="s">
        <v>87</v>
      </c>
      <c r="M142" t="s">
        <v>88</v>
      </c>
      <c r="N142">
        <v>184.5</v>
      </c>
      <c r="O142">
        <v>14.22</v>
      </c>
      <c r="P142">
        <v>2.2799999999999998</v>
      </c>
      <c r="Q142">
        <v>4.2561999999999998</v>
      </c>
      <c r="R142">
        <v>0.68100000000000005</v>
      </c>
      <c r="S142" t="s">
        <v>434</v>
      </c>
      <c r="T142">
        <v>6</v>
      </c>
      <c r="U142" t="s">
        <v>89</v>
      </c>
    </row>
    <row r="143" spans="1:22" outlineLevel="2" x14ac:dyDescent="0.25">
      <c r="A143" t="s">
        <v>82</v>
      </c>
      <c r="B143" t="s">
        <v>83</v>
      </c>
      <c r="C143">
        <v>30</v>
      </c>
      <c r="D143" t="s">
        <v>84</v>
      </c>
      <c r="E143">
        <v>184</v>
      </c>
      <c r="F143" t="s">
        <v>85</v>
      </c>
      <c r="G143">
        <v>8662</v>
      </c>
      <c r="H143" t="s">
        <v>36</v>
      </c>
      <c r="I143">
        <v>1000008662</v>
      </c>
      <c r="J143">
        <v>28817383</v>
      </c>
      <c r="K143" t="s">
        <v>232</v>
      </c>
      <c r="L143" t="s">
        <v>87</v>
      </c>
      <c r="M143" t="s">
        <v>88</v>
      </c>
      <c r="N143">
        <v>94.5</v>
      </c>
      <c r="O143">
        <v>14.22</v>
      </c>
      <c r="P143">
        <v>2.2799999999999998</v>
      </c>
      <c r="Q143">
        <v>4.2561999999999998</v>
      </c>
      <c r="R143">
        <v>0.68100000000000005</v>
      </c>
      <c r="S143" t="s">
        <v>435</v>
      </c>
      <c r="T143">
        <v>6</v>
      </c>
      <c r="U143" t="s">
        <v>89</v>
      </c>
    </row>
    <row r="144" spans="1:22" outlineLevel="2" x14ac:dyDescent="0.25">
      <c r="A144" t="s">
        <v>82</v>
      </c>
      <c r="B144" t="s">
        <v>83</v>
      </c>
      <c r="C144">
        <v>30</v>
      </c>
      <c r="D144" t="s">
        <v>84</v>
      </c>
      <c r="E144">
        <v>184</v>
      </c>
      <c r="F144" t="s">
        <v>85</v>
      </c>
      <c r="G144">
        <v>8662</v>
      </c>
      <c r="H144" t="s">
        <v>36</v>
      </c>
      <c r="I144">
        <v>1000008662</v>
      </c>
      <c r="J144">
        <v>28817447</v>
      </c>
      <c r="K144" t="s">
        <v>233</v>
      </c>
      <c r="L144" t="s">
        <v>87</v>
      </c>
      <c r="M144" t="s">
        <v>88</v>
      </c>
      <c r="N144">
        <v>137.5</v>
      </c>
      <c r="O144">
        <v>14.22</v>
      </c>
      <c r="P144">
        <v>2.2799999999999998</v>
      </c>
      <c r="Q144">
        <v>4.2561999999999998</v>
      </c>
      <c r="R144">
        <v>0.68100000000000005</v>
      </c>
      <c r="S144" t="s">
        <v>436</v>
      </c>
      <c r="T144">
        <v>6</v>
      </c>
      <c r="U144" t="s">
        <v>89</v>
      </c>
    </row>
    <row r="145" spans="1:22" outlineLevel="2" x14ac:dyDescent="0.25">
      <c r="A145" t="s">
        <v>82</v>
      </c>
      <c r="B145" t="s">
        <v>83</v>
      </c>
      <c r="C145">
        <v>30</v>
      </c>
      <c r="D145" t="s">
        <v>84</v>
      </c>
      <c r="E145">
        <v>184</v>
      </c>
      <c r="F145" t="s">
        <v>85</v>
      </c>
      <c r="G145">
        <v>8662</v>
      </c>
      <c r="H145" t="s">
        <v>36</v>
      </c>
      <c r="I145">
        <v>1000008662</v>
      </c>
      <c r="J145">
        <v>28818331</v>
      </c>
      <c r="K145" t="s">
        <v>242</v>
      </c>
      <c r="L145" t="s">
        <v>87</v>
      </c>
      <c r="M145" t="s">
        <v>88</v>
      </c>
      <c r="N145">
        <v>54.5</v>
      </c>
      <c r="O145">
        <v>14.22</v>
      </c>
      <c r="P145">
        <v>2.2799999999999998</v>
      </c>
      <c r="Q145">
        <v>4.2561999999999998</v>
      </c>
      <c r="R145">
        <v>0.68100000000000005</v>
      </c>
      <c r="S145" t="s">
        <v>437</v>
      </c>
      <c r="T145">
        <v>6</v>
      </c>
      <c r="U145" t="s">
        <v>89</v>
      </c>
    </row>
    <row r="146" spans="1:22" outlineLevel="2" x14ac:dyDescent="0.25">
      <c r="A146" t="s">
        <v>82</v>
      </c>
      <c r="B146" t="s">
        <v>83</v>
      </c>
      <c r="C146">
        <v>30</v>
      </c>
      <c r="D146" t="s">
        <v>84</v>
      </c>
      <c r="E146">
        <v>184</v>
      </c>
      <c r="F146" t="s">
        <v>85</v>
      </c>
      <c r="G146">
        <v>8662</v>
      </c>
      <c r="H146" t="s">
        <v>36</v>
      </c>
      <c r="I146">
        <v>1000008662</v>
      </c>
      <c r="J146">
        <v>28819361</v>
      </c>
      <c r="K146" t="s">
        <v>254</v>
      </c>
      <c r="L146" t="s">
        <v>87</v>
      </c>
      <c r="M146" t="s">
        <v>88</v>
      </c>
      <c r="N146">
        <v>171.5</v>
      </c>
      <c r="O146">
        <v>14.22</v>
      </c>
      <c r="P146">
        <v>2.2799999999999998</v>
      </c>
      <c r="Q146">
        <v>4.2561999999999998</v>
      </c>
      <c r="R146">
        <v>0.68100000000000005</v>
      </c>
      <c r="S146" t="s">
        <v>438</v>
      </c>
      <c r="T146">
        <v>6</v>
      </c>
      <c r="U146" t="s">
        <v>89</v>
      </c>
    </row>
    <row r="147" spans="1:22" outlineLevel="2" x14ac:dyDescent="0.25">
      <c r="A147" t="s">
        <v>82</v>
      </c>
      <c r="B147" t="s">
        <v>83</v>
      </c>
      <c r="C147">
        <v>30</v>
      </c>
      <c r="D147" t="s">
        <v>84</v>
      </c>
      <c r="E147">
        <v>184</v>
      </c>
      <c r="F147" t="s">
        <v>85</v>
      </c>
      <c r="G147">
        <v>8662</v>
      </c>
      <c r="H147" t="s">
        <v>36</v>
      </c>
      <c r="I147">
        <v>1000008662</v>
      </c>
      <c r="J147">
        <v>28821248</v>
      </c>
      <c r="K147" t="s">
        <v>276</v>
      </c>
      <c r="L147" t="s">
        <v>87</v>
      </c>
      <c r="M147" t="s">
        <v>88</v>
      </c>
      <c r="N147">
        <v>638.5</v>
      </c>
      <c r="O147">
        <v>14.22</v>
      </c>
      <c r="P147">
        <v>2.2799999999999998</v>
      </c>
      <c r="Q147">
        <v>4.2561999999999998</v>
      </c>
      <c r="R147">
        <v>0.68100000000000005</v>
      </c>
      <c r="S147" t="s">
        <v>439</v>
      </c>
      <c r="T147">
        <v>6</v>
      </c>
      <c r="U147" t="s">
        <v>89</v>
      </c>
    </row>
    <row r="148" spans="1:22" outlineLevel="2" x14ac:dyDescent="0.25">
      <c r="A148" s="7" t="s">
        <v>82</v>
      </c>
      <c r="B148" s="7" t="s">
        <v>83</v>
      </c>
      <c r="C148" s="7">
        <v>30</v>
      </c>
      <c r="D148" s="7" t="s">
        <v>84</v>
      </c>
      <c r="E148" s="7">
        <v>184</v>
      </c>
      <c r="F148" s="7" t="s">
        <v>85</v>
      </c>
      <c r="G148" s="7">
        <v>8662</v>
      </c>
      <c r="H148" s="7" t="s">
        <v>36</v>
      </c>
      <c r="I148" s="7">
        <v>1000008662</v>
      </c>
      <c r="J148" s="7">
        <v>28822394</v>
      </c>
      <c r="K148" s="7" t="s">
        <v>287</v>
      </c>
      <c r="L148" s="7" t="s">
        <v>87</v>
      </c>
      <c r="M148" s="7" t="s">
        <v>88</v>
      </c>
      <c r="N148" s="7">
        <v>143.5</v>
      </c>
      <c r="O148" s="7">
        <v>14.22</v>
      </c>
      <c r="P148" s="7">
        <v>2.2799999999999998</v>
      </c>
      <c r="Q148" s="7">
        <v>4.2561999999999998</v>
      </c>
      <c r="R148" s="7">
        <v>0.68100000000000005</v>
      </c>
      <c r="S148" s="7" t="s">
        <v>440</v>
      </c>
      <c r="T148" s="7">
        <v>6</v>
      </c>
      <c r="U148" s="7" t="s">
        <v>89</v>
      </c>
      <c r="V148" s="7"/>
    </row>
    <row r="149" spans="1:22" outlineLevel="2" x14ac:dyDescent="0.25">
      <c r="A149" t="s">
        <v>82</v>
      </c>
      <c r="B149" t="s">
        <v>83</v>
      </c>
      <c r="C149">
        <v>30</v>
      </c>
      <c r="D149" t="s">
        <v>84</v>
      </c>
      <c r="E149">
        <v>184</v>
      </c>
      <c r="F149" t="s">
        <v>85</v>
      </c>
      <c r="G149">
        <v>8662</v>
      </c>
      <c r="H149" t="s">
        <v>36</v>
      </c>
      <c r="I149">
        <v>1000008662</v>
      </c>
      <c r="J149">
        <v>28824142</v>
      </c>
      <c r="K149" t="s">
        <v>305</v>
      </c>
      <c r="L149" t="s">
        <v>87</v>
      </c>
      <c r="M149" t="s">
        <v>88</v>
      </c>
      <c r="N149">
        <v>46.5</v>
      </c>
      <c r="O149">
        <v>14.22</v>
      </c>
      <c r="P149">
        <v>2.2799999999999998</v>
      </c>
      <c r="Q149">
        <v>4.2561999999999998</v>
      </c>
      <c r="R149">
        <v>0.68100000000000005</v>
      </c>
      <c r="S149" t="s">
        <v>441</v>
      </c>
      <c r="T149">
        <v>6</v>
      </c>
      <c r="U149" t="s">
        <v>89</v>
      </c>
    </row>
    <row r="150" spans="1:22" outlineLevel="1" x14ac:dyDescent="0.25">
      <c r="H150" s="9" t="s">
        <v>542</v>
      </c>
      <c r="N150">
        <f>SUBTOTAL(9,N121:N149)</f>
        <v>8188.5</v>
      </c>
    </row>
    <row r="151" spans="1:22" outlineLevel="2" x14ac:dyDescent="0.25">
      <c r="A151" t="s">
        <v>82</v>
      </c>
      <c r="B151" t="s">
        <v>83</v>
      </c>
      <c r="C151">
        <v>30</v>
      </c>
      <c r="D151" t="s">
        <v>84</v>
      </c>
      <c r="E151">
        <v>184</v>
      </c>
      <c r="F151" t="s">
        <v>85</v>
      </c>
      <c r="G151">
        <v>8663</v>
      </c>
      <c r="H151" t="s">
        <v>42</v>
      </c>
      <c r="I151">
        <v>1000008663</v>
      </c>
      <c r="J151">
        <v>28808421</v>
      </c>
      <c r="K151" t="s">
        <v>115</v>
      </c>
      <c r="L151" t="s">
        <v>87</v>
      </c>
      <c r="M151" t="s">
        <v>88</v>
      </c>
      <c r="N151">
        <v>109.5</v>
      </c>
      <c r="O151">
        <v>14.22</v>
      </c>
      <c r="P151">
        <v>2.2799999999999998</v>
      </c>
      <c r="Q151">
        <v>4.2561999999999998</v>
      </c>
      <c r="R151">
        <v>0.68100000000000005</v>
      </c>
      <c r="S151" t="s">
        <v>442</v>
      </c>
      <c r="T151">
        <v>6</v>
      </c>
      <c r="U151" t="s">
        <v>89</v>
      </c>
    </row>
    <row r="152" spans="1:22" outlineLevel="2" x14ac:dyDescent="0.25">
      <c r="A152" t="s">
        <v>82</v>
      </c>
      <c r="B152" t="s">
        <v>83</v>
      </c>
      <c r="C152">
        <v>30</v>
      </c>
      <c r="D152" t="s">
        <v>84</v>
      </c>
      <c r="E152">
        <v>184</v>
      </c>
      <c r="F152" t="s">
        <v>85</v>
      </c>
      <c r="G152">
        <v>8663</v>
      </c>
      <c r="H152" t="s">
        <v>42</v>
      </c>
      <c r="I152">
        <v>1000008663</v>
      </c>
      <c r="J152">
        <v>28811628</v>
      </c>
      <c r="K152" t="s">
        <v>174</v>
      </c>
      <c r="L152" t="s">
        <v>87</v>
      </c>
      <c r="M152" t="s">
        <v>88</v>
      </c>
      <c r="N152">
        <v>1187.5</v>
      </c>
      <c r="O152">
        <v>14.22</v>
      </c>
      <c r="P152">
        <v>2.2799999999999998</v>
      </c>
      <c r="Q152">
        <v>4.2561999999999998</v>
      </c>
      <c r="R152">
        <v>0.68100000000000005</v>
      </c>
      <c r="S152" t="s">
        <v>443</v>
      </c>
      <c r="T152">
        <v>6</v>
      </c>
      <c r="U152" t="s">
        <v>89</v>
      </c>
    </row>
    <row r="153" spans="1:22" outlineLevel="2" x14ac:dyDescent="0.25">
      <c r="A153" t="s">
        <v>82</v>
      </c>
      <c r="B153" t="s">
        <v>83</v>
      </c>
      <c r="C153">
        <v>30</v>
      </c>
      <c r="D153" t="s">
        <v>84</v>
      </c>
      <c r="E153">
        <v>184</v>
      </c>
      <c r="F153" t="s">
        <v>85</v>
      </c>
      <c r="G153">
        <v>8663</v>
      </c>
      <c r="H153" t="s">
        <v>42</v>
      </c>
      <c r="I153">
        <v>1000008663</v>
      </c>
      <c r="J153">
        <v>28811694</v>
      </c>
      <c r="K153" t="s">
        <v>176</v>
      </c>
      <c r="L153" t="s">
        <v>87</v>
      </c>
      <c r="M153" t="s">
        <v>88</v>
      </c>
      <c r="N153">
        <v>105.5</v>
      </c>
      <c r="O153">
        <v>14.22</v>
      </c>
      <c r="P153">
        <v>2.2799999999999998</v>
      </c>
      <c r="Q153">
        <v>4.2561999999999998</v>
      </c>
      <c r="R153">
        <v>0.68100000000000005</v>
      </c>
      <c r="S153" t="s">
        <v>444</v>
      </c>
      <c r="T153">
        <v>6</v>
      </c>
      <c r="U153" t="s">
        <v>89</v>
      </c>
    </row>
    <row r="154" spans="1:22" outlineLevel="2" x14ac:dyDescent="0.25">
      <c r="A154" t="s">
        <v>82</v>
      </c>
      <c r="B154" t="s">
        <v>83</v>
      </c>
      <c r="C154">
        <v>30</v>
      </c>
      <c r="D154" t="s">
        <v>84</v>
      </c>
      <c r="E154">
        <v>184</v>
      </c>
      <c r="F154" t="s">
        <v>85</v>
      </c>
      <c r="G154">
        <v>8663</v>
      </c>
      <c r="H154" t="s">
        <v>42</v>
      </c>
      <c r="I154">
        <v>1000008663</v>
      </c>
      <c r="J154">
        <v>28813173</v>
      </c>
      <c r="K154" t="s">
        <v>198</v>
      </c>
      <c r="L154" t="s">
        <v>87</v>
      </c>
      <c r="M154" t="s">
        <v>88</v>
      </c>
      <c r="N154">
        <v>291.5</v>
      </c>
      <c r="O154">
        <v>14.22</v>
      </c>
      <c r="P154">
        <v>2.2799999999999998</v>
      </c>
      <c r="Q154">
        <v>4.2561999999999998</v>
      </c>
      <c r="R154">
        <v>0.68100000000000005</v>
      </c>
      <c r="S154" t="s">
        <v>445</v>
      </c>
      <c r="T154">
        <v>6</v>
      </c>
      <c r="U154" t="s">
        <v>89</v>
      </c>
    </row>
    <row r="155" spans="1:22" outlineLevel="2" x14ac:dyDescent="0.25">
      <c r="A155" t="s">
        <v>82</v>
      </c>
      <c r="B155" t="s">
        <v>83</v>
      </c>
      <c r="C155">
        <v>30</v>
      </c>
      <c r="D155" t="s">
        <v>84</v>
      </c>
      <c r="E155">
        <v>184</v>
      </c>
      <c r="F155" t="s">
        <v>85</v>
      </c>
      <c r="G155">
        <v>8663</v>
      </c>
      <c r="H155" t="s">
        <v>42</v>
      </c>
      <c r="I155">
        <v>1000008663</v>
      </c>
      <c r="J155">
        <v>28814969</v>
      </c>
      <c r="K155" t="s">
        <v>214</v>
      </c>
      <c r="L155" t="s">
        <v>87</v>
      </c>
      <c r="M155" t="s">
        <v>88</v>
      </c>
      <c r="N155">
        <v>174.5</v>
      </c>
      <c r="O155">
        <v>14.22</v>
      </c>
      <c r="P155">
        <v>2.2799999999999998</v>
      </c>
      <c r="Q155">
        <v>4.2561999999999998</v>
      </c>
      <c r="R155">
        <v>0.68100000000000005</v>
      </c>
      <c r="S155" t="s">
        <v>446</v>
      </c>
      <c r="T155">
        <v>6</v>
      </c>
      <c r="U155" t="s">
        <v>89</v>
      </c>
    </row>
    <row r="156" spans="1:22" outlineLevel="2" x14ac:dyDescent="0.25">
      <c r="A156" t="s">
        <v>82</v>
      </c>
      <c r="B156" t="s">
        <v>83</v>
      </c>
      <c r="C156">
        <v>30</v>
      </c>
      <c r="D156" t="s">
        <v>84</v>
      </c>
      <c r="E156">
        <v>184</v>
      </c>
      <c r="F156" t="s">
        <v>85</v>
      </c>
      <c r="G156">
        <v>8663</v>
      </c>
      <c r="H156" t="s">
        <v>42</v>
      </c>
      <c r="I156">
        <v>1000008663</v>
      </c>
      <c r="J156">
        <v>28815742</v>
      </c>
      <c r="K156" t="s">
        <v>221</v>
      </c>
      <c r="L156" t="s">
        <v>87</v>
      </c>
      <c r="M156" t="s">
        <v>88</v>
      </c>
      <c r="N156">
        <v>86.5</v>
      </c>
      <c r="O156">
        <v>14.22</v>
      </c>
      <c r="P156">
        <v>2.2799999999999998</v>
      </c>
      <c r="Q156">
        <v>4.2561999999999998</v>
      </c>
      <c r="R156">
        <v>0.68100000000000005</v>
      </c>
      <c r="S156" t="s">
        <v>447</v>
      </c>
      <c r="T156">
        <v>6</v>
      </c>
      <c r="U156" t="s">
        <v>89</v>
      </c>
    </row>
    <row r="157" spans="1:22" outlineLevel="2" x14ac:dyDescent="0.25">
      <c r="A157" t="s">
        <v>82</v>
      </c>
      <c r="B157" t="s">
        <v>83</v>
      </c>
      <c r="C157">
        <v>30</v>
      </c>
      <c r="D157" t="s">
        <v>84</v>
      </c>
      <c r="E157">
        <v>184</v>
      </c>
      <c r="F157" t="s">
        <v>85</v>
      </c>
      <c r="G157">
        <v>8663</v>
      </c>
      <c r="H157" t="s">
        <v>42</v>
      </c>
      <c r="I157">
        <v>1000008663</v>
      </c>
      <c r="J157">
        <v>28816596</v>
      </c>
      <c r="K157" t="s">
        <v>226</v>
      </c>
      <c r="L157" t="s">
        <v>87</v>
      </c>
      <c r="M157" t="s">
        <v>88</v>
      </c>
      <c r="N157">
        <v>166.5</v>
      </c>
      <c r="O157">
        <v>14.22</v>
      </c>
      <c r="P157">
        <v>2.2799999999999998</v>
      </c>
      <c r="Q157">
        <v>4.2561999999999998</v>
      </c>
      <c r="R157">
        <v>0.68100000000000005</v>
      </c>
      <c r="S157" t="s">
        <v>448</v>
      </c>
      <c r="T157">
        <v>6</v>
      </c>
      <c r="U157" t="s">
        <v>89</v>
      </c>
    </row>
    <row r="158" spans="1:22" outlineLevel="2" x14ac:dyDescent="0.25">
      <c r="A158" t="s">
        <v>82</v>
      </c>
      <c r="B158" t="s">
        <v>83</v>
      </c>
      <c r="C158">
        <v>30</v>
      </c>
      <c r="D158" t="s">
        <v>84</v>
      </c>
      <c r="E158">
        <v>184</v>
      </c>
      <c r="F158" t="s">
        <v>85</v>
      </c>
      <c r="G158">
        <v>8663</v>
      </c>
      <c r="H158" t="s">
        <v>42</v>
      </c>
      <c r="I158">
        <v>1000008663</v>
      </c>
      <c r="J158">
        <v>28818614</v>
      </c>
      <c r="K158" t="s">
        <v>243</v>
      </c>
      <c r="L158" t="s">
        <v>87</v>
      </c>
      <c r="M158" t="s">
        <v>88</v>
      </c>
      <c r="N158">
        <v>88.5</v>
      </c>
      <c r="O158">
        <v>14.22</v>
      </c>
      <c r="P158">
        <v>2.2799999999999998</v>
      </c>
      <c r="Q158">
        <v>4.2561999999999998</v>
      </c>
      <c r="R158">
        <v>0.68100000000000005</v>
      </c>
      <c r="S158" t="s">
        <v>449</v>
      </c>
      <c r="T158">
        <v>6</v>
      </c>
      <c r="U158" t="s">
        <v>89</v>
      </c>
    </row>
    <row r="159" spans="1:22" outlineLevel="2" x14ac:dyDescent="0.25">
      <c r="A159" t="s">
        <v>82</v>
      </c>
      <c r="B159" t="s">
        <v>83</v>
      </c>
      <c r="C159">
        <v>30</v>
      </c>
      <c r="D159" t="s">
        <v>84</v>
      </c>
      <c r="E159">
        <v>184</v>
      </c>
      <c r="F159" t="s">
        <v>85</v>
      </c>
      <c r="G159">
        <v>8663</v>
      </c>
      <c r="H159" t="s">
        <v>42</v>
      </c>
      <c r="I159">
        <v>1000008663</v>
      </c>
      <c r="J159">
        <v>28818898</v>
      </c>
      <c r="K159" t="s">
        <v>247</v>
      </c>
      <c r="L159" t="s">
        <v>87</v>
      </c>
      <c r="M159" t="s">
        <v>88</v>
      </c>
      <c r="N159">
        <v>167.5</v>
      </c>
      <c r="O159">
        <v>14.22</v>
      </c>
      <c r="P159">
        <v>2.2799999999999998</v>
      </c>
      <c r="Q159">
        <v>4.2561999999999998</v>
      </c>
      <c r="R159">
        <v>0.68100000000000005</v>
      </c>
      <c r="S159" t="s">
        <v>450</v>
      </c>
      <c r="T159">
        <v>6</v>
      </c>
      <c r="U159" t="s">
        <v>89</v>
      </c>
    </row>
    <row r="160" spans="1:22" outlineLevel="2" x14ac:dyDescent="0.25">
      <c r="A160" t="s">
        <v>82</v>
      </c>
      <c r="B160" t="s">
        <v>83</v>
      </c>
      <c r="C160">
        <v>30</v>
      </c>
      <c r="D160" t="s">
        <v>84</v>
      </c>
      <c r="E160">
        <v>184</v>
      </c>
      <c r="F160" t="s">
        <v>85</v>
      </c>
      <c r="G160">
        <v>8663</v>
      </c>
      <c r="H160" t="s">
        <v>42</v>
      </c>
      <c r="I160">
        <v>1000008663</v>
      </c>
      <c r="J160">
        <v>28819329</v>
      </c>
      <c r="K160" t="s">
        <v>251</v>
      </c>
      <c r="L160" t="s">
        <v>87</v>
      </c>
      <c r="M160" t="s">
        <v>88</v>
      </c>
      <c r="N160">
        <v>58.5</v>
      </c>
      <c r="O160">
        <v>14.22</v>
      </c>
      <c r="P160">
        <v>2.2799999999999998</v>
      </c>
      <c r="Q160">
        <v>4.2561999999999998</v>
      </c>
      <c r="R160">
        <v>0.68100000000000005</v>
      </c>
      <c r="S160" t="s">
        <v>451</v>
      </c>
      <c r="T160">
        <v>6</v>
      </c>
      <c r="U160" t="s">
        <v>89</v>
      </c>
    </row>
    <row r="161" spans="1:22" outlineLevel="2" x14ac:dyDescent="0.25">
      <c r="A161" t="s">
        <v>82</v>
      </c>
      <c r="B161" t="s">
        <v>83</v>
      </c>
      <c r="C161">
        <v>30</v>
      </c>
      <c r="D161" t="s">
        <v>84</v>
      </c>
      <c r="E161">
        <v>184</v>
      </c>
      <c r="F161" t="s">
        <v>85</v>
      </c>
      <c r="G161">
        <v>8663</v>
      </c>
      <c r="H161" t="s">
        <v>42</v>
      </c>
      <c r="I161">
        <v>1000008663</v>
      </c>
      <c r="J161">
        <v>28819439</v>
      </c>
      <c r="K161" t="s">
        <v>256</v>
      </c>
      <c r="L161" t="s">
        <v>87</v>
      </c>
      <c r="M161" t="s">
        <v>88</v>
      </c>
      <c r="N161">
        <v>103.5</v>
      </c>
      <c r="O161">
        <v>14.22</v>
      </c>
      <c r="P161">
        <v>2.2799999999999998</v>
      </c>
      <c r="Q161">
        <v>4.2561999999999998</v>
      </c>
      <c r="R161">
        <v>0.68100000000000005</v>
      </c>
      <c r="S161" t="s">
        <v>452</v>
      </c>
      <c r="T161">
        <v>6</v>
      </c>
      <c r="U161" t="s">
        <v>89</v>
      </c>
    </row>
    <row r="162" spans="1:22" outlineLevel="2" x14ac:dyDescent="0.25">
      <c r="A162" t="s">
        <v>82</v>
      </c>
      <c r="B162" t="s">
        <v>83</v>
      </c>
      <c r="C162">
        <v>30</v>
      </c>
      <c r="D162" t="s">
        <v>84</v>
      </c>
      <c r="E162">
        <v>184</v>
      </c>
      <c r="F162" t="s">
        <v>85</v>
      </c>
      <c r="G162">
        <v>8663</v>
      </c>
      <c r="H162" t="s">
        <v>42</v>
      </c>
      <c r="I162">
        <v>1000008663</v>
      </c>
      <c r="J162">
        <v>28819702</v>
      </c>
      <c r="K162" t="s">
        <v>261</v>
      </c>
      <c r="L162" t="s">
        <v>87</v>
      </c>
      <c r="M162" t="s">
        <v>88</v>
      </c>
      <c r="N162">
        <v>61.5</v>
      </c>
      <c r="O162">
        <v>14.22</v>
      </c>
      <c r="P162">
        <v>2.2799999999999998</v>
      </c>
      <c r="Q162">
        <v>4.2561999999999998</v>
      </c>
      <c r="R162">
        <v>0.68100000000000005</v>
      </c>
      <c r="S162" t="s">
        <v>453</v>
      </c>
      <c r="T162">
        <v>6</v>
      </c>
      <c r="U162" t="s">
        <v>89</v>
      </c>
    </row>
    <row r="163" spans="1:22" outlineLevel="2" x14ac:dyDescent="0.25">
      <c r="A163" t="s">
        <v>82</v>
      </c>
      <c r="B163" t="s">
        <v>83</v>
      </c>
      <c r="C163">
        <v>30</v>
      </c>
      <c r="D163" t="s">
        <v>84</v>
      </c>
      <c r="E163">
        <v>184</v>
      </c>
      <c r="F163" t="s">
        <v>85</v>
      </c>
      <c r="G163">
        <v>8663</v>
      </c>
      <c r="H163" t="s">
        <v>42</v>
      </c>
      <c r="I163">
        <v>1000008663</v>
      </c>
      <c r="J163">
        <v>28820230</v>
      </c>
      <c r="K163" t="s">
        <v>267</v>
      </c>
      <c r="L163" t="s">
        <v>87</v>
      </c>
      <c r="M163" t="s">
        <v>88</v>
      </c>
      <c r="N163">
        <v>44.5</v>
      </c>
      <c r="O163">
        <v>14.22</v>
      </c>
      <c r="P163">
        <v>2.2799999999999998</v>
      </c>
      <c r="Q163">
        <v>4.2561999999999998</v>
      </c>
      <c r="R163">
        <v>0.68100000000000005</v>
      </c>
      <c r="S163" t="s">
        <v>454</v>
      </c>
      <c r="T163">
        <v>6</v>
      </c>
      <c r="U163" t="s">
        <v>89</v>
      </c>
    </row>
    <row r="164" spans="1:22" outlineLevel="2" x14ac:dyDescent="0.25">
      <c r="A164" s="8" t="s">
        <v>82</v>
      </c>
      <c r="B164" s="8" t="s">
        <v>83</v>
      </c>
      <c r="C164" s="8">
        <v>30</v>
      </c>
      <c r="D164" s="8" t="s">
        <v>84</v>
      </c>
      <c r="E164" s="8">
        <v>184</v>
      </c>
      <c r="F164" s="8" t="s">
        <v>85</v>
      </c>
      <c r="G164" s="8">
        <v>8663</v>
      </c>
      <c r="H164" s="8" t="s">
        <v>42</v>
      </c>
      <c r="I164" s="8">
        <v>1000008663</v>
      </c>
      <c r="J164" s="8">
        <v>28821131</v>
      </c>
      <c r="K164" s="8" t="s">
        <v>274</v>
      </c>
      <c r="L164" s="8" t="s">
        <v>87</v>
      </c>
      <c r="M164" s="8" t="s">
        <v>88</v>
      </c>
      <c r="N164" s="8">
        <v>68.5</v>
      </c>
      <c r="O164" s="8">
        <v>14.22</v>
      </c>
      <c r="P164" s="8">
        <v>2.2799999999999998</v>
      </c>
      <c r="Q164" s="8">
        <v>4.2561999999999998</v>
      </c>
      <c r="R164" s="8">
        <v>0.68100000000000005</v>
      </c>
      <c r="S164" s="8" t="s">
        <v>529</v>
      </c>
      <c r="T164" s="8">
        <v>6</v>
      </c>
      <c r="U164" s="8" t="s">
        <v>89</v>
      </c>
      <c r="V164" s="8"/>
    </row>
    <row r="165" spans="1:22" outlineLevel="2" x14ac:dyDescent="0.25">
      <c r="A165" t="s">
        <v>82</v>
      </c>
      <c r="B165" t="s">
        <v>83</v>
      </c>
      <c r="C165">
        <v>30</v>
      </c>
      <c r="D165" t="s">
        <v>84</v>
      </c>
      <c r="E165">
        <v>184</v>
      </c>
      <c r="F165" t="s">
        <v>85</v>
      </c>
      <c r="G165">
        <v>8663</v>
      </c>
      <c r="H165" t="s">
        <v>42</v>
      </c>
      <c r="I165">
        <v>1000008663</v>
      </c>
      <c r="J165">
        <v>28822798</v>
      </c>
      <c r="K165" t="s">
        <v>292</v>
      </c>
      <c r="L165" t="s">
        <v>87</v>
      </c>
      <c r="M165" t="s">
        <v>88</v>
      </c>
      <c r="N165">
        <v>91.5</v>
      </c>
      <c r="O165">
        <v>14.22</v>
      </c>
      <c r="P165">
        <v>2.2799999999999998</v>
      </c>
      <c r="Q165">
        <v>4.2561999999999998</v>
      </c>
      <c r="R165">
        <v>0.68100000000000005</v>
      </c>
      <c r="S165" t="s">
        <v>455</v>
      </c>
      <c r="T165">
        <v>6</v>
      </c>
      <c r="U165" t="s">
        <v>89</v>
      </c>
    </row>
    <row r="166" spans="1:22" outlineLevel="2" x14ac:dyDescent="0.25">
      <c r="A166" t="s">
        <v>82</v>
      </c>
      <c r="B166" t="s">
        <v>83</v>
      </c>
      <c r="C166">
        <v>30</v>
      </c>
      <c r="D166" t="s">
        <v>84</v>
      </c>
      <c r="E166">
        <v>184</v>
      </c>
      <c r="F166" t="s">
        <v>85</v>
      </c>
      <c r="G166">
        <v>8663</v>
      </c>
      <c r="H166" t="s">
        <v>42</v>
      </c>
      <c r="I166">
        <v>1000008663</v>
      </c>
      <c r="J166">
        <v>28822865</v>
      </c>
      <c r="K166" t="s">
        <v>295</v>
      </c>
      <c r="L166" t="s">
        <v>87</v>
      </c>
      <c r="M166" t="s">
        <v>88</v>
      </c>
      <c r="N166">
        <v>77.5</v>
      </c>
      <c r="O166">
        <v>14.22</v>
      </c>
      <c r="P166">
        <v>2.2799999999999998</v>
      </c>
      <c r="Q166">
        <v>4.2561999999999998</v>
      </c>
      <c r="R166">
        <v>0.68100000000000005</v>
      </c>
      <c r="S166" t="s">
        <v>456</v>
      </c>
      <c r="T166">
        <v>6</v>
      </c>
      <c r="U166" t="s">
        <v>89</v>
      </c>
    </row>
    <row r="167" spans="1:22" outlineLevel="1" x14ac:dyDescent="0.25">
      <c r="H167" s="9" t="s">
        <v>543</v>
      </c>
      <c r="N167">
        <f>SUBTOTAL(9,N151:N166)</f>
        <v>2883</v>
      </c>
    </row>
    <row r="168" spans="1:22" outlineLevel="2" x14ac:dyDescent="0.25">
      <c r="A168" t="s">
        <v>82</v>
      </c>
      <c r="B168" t="s">
        <v>83</v>
      </c>
      <c r="C168">
        <v>30</v>
      </c>
      <c r="D168" t="s">
        <v>84</v>
      </c>
      <c r="E168">
        <v>184</v>
      </c>
      <c r="F168" t="s">
        <v>85</v>
      </c>
      <c r="G168">
        <v>8664</v>
      </c>
      <c r="H168" t="s">
        <v>27</v>
      </c>
      <c r="I168">
        <v>1000008664</v>
      </c>
      <c r="J168">
        <v>28807565</v>
      </c>
      <c r="K168" t="s">
        <v>97</v>
      </c>
      <c r="L168" t="s">
        <v>87</v>
      </c>
      <c r="M168" t="s">
        <v>88</v>
      </c>
      <c r="N168">
        <v>89.5</v>
      </c>
      <c r="O168">
        <v>14.22</v>
      </c>
      <c r="P168">
        <v>2.2799999999999998</v>
      </c>
      <c r="Q168">
        <v>4.2561999999999998</v>
      </c>
      <c r="R168">
        <v>0.68100000000000005</v>
      </c>
      <c r="S168" t="s">
        <v>457</v>
      </c>
      <c r="T168">
        <v>6</v>
      </c>
      <c r="U168" t="s">
        <v>89</v>
      </c>
    </row>
    <row r="169" spans="1:22" outlineLevel="2" x14ac:dyDescent="0.25">
      <c r="A169" t="s">
        <v>82</v>
      </c>
      <c r="B169" t="s">
        <v>83</v>
      </c>
      <c r="C169">
        <v>30</v>
      </c>
      <c r="D169" t="s">
        <v>84</v>
      </c>
      <c r="E169">
        <v>184</v>
      </c>
      <c r="F169" t="s">
        <v>85</v>
      </c>
      <c r="G169">
        <v>8664</v>
      </c>
      <c r="H169" t="s">
        <v>27</v>
      </c>
      <c r="I169">
        <v>1000008664</v>
      </c>
      <c r="J169">
        <v>28808800</v>
      </c>
      <c r="K169" t="s">
        <v>126</v>
      </c>
      <c r="L169" t="s">
        <v>87</v>
      </c>
      <c r="M169" t="s">
        <v>88</v>
      </c>
      <c r="N169">
        <v>148.5</v>
      </c>
      <c r="O169">
        <v>14.22</v>
      </c>
      <c r="P169">
        <v>2.2799999999999998</v>
      </c>
      <c r="Q169">
        <v>4.2561999999999998</v>
      </c>
      <c r="R169">
        <v>0.68100000000000005</v>
      </c>
      <c r="S169" t="s">
        <v>458</v>
      </c>
      <c r="T169">
        <v>6</v>
      </c>
      <c r="U169" t="s">
        <v>89</v>
      </c>
    </row>
    <row r="170" spans="1:22" outlineLevel="2" x14ac:dyDescent="0.25">
      <c r="A170" t="s">
        <v>82</v>
      </c>
      <c r="B170" t="s">
        <v>83</v>
      </c>
      <c r="C170">
        <v>30</v>
      </c>
      <c r="D170" t="s">
        <v>84</v>
      </c>
      <c r="E170">
        <v>184</v>
      </c>
      <c r="F170" t="s">
        <v>85</v>
      </c>
      <c r="G170">
        <v>8664</v>
      </c>
      <c r="H170" t="s">
        <v>27</v>
      </c>
      <c r="I170">
        <v>1000008664</v>
      </c>
      <c r="J170">
        <v>28809999</v>
      </c>
      <c r="K170" t="s">
        <v>148</v>
      </c>
      <c r="L170" t="s">
        <v>87</v>
      </c>
      <c r="M170" t="s">
        <v>88</v>
      </c>
      <c r="N170">
        <v>53.5</v>
      </c>
      <c r="O170">
        <v>14.22</v>
      </c>
      <c r="P170">
        <v>2.2799999999999998</v>
      </c>
      <c r="Q170">
        <v>4.2561999999999998</v>
      </c>
      <c r="R170">
        <v>0.68100000000000005</v>
      </c>
      <c r="S170" t="s">
        <v>459</v>
      </c>
      <c r="T170">
        <v>6</v>
      </c>
      <c r="U170" t="s">
        <v>89</v>
      </c>
    </row>
    <row r="171" spans="1:22" outlineLevel="2" x14ac:dyDescent="0.25">
      <c r="A171" t="s">
        <v>82</v>
      </c>
      <c r="B171" t="s">
        <v>83</v>
      </c>
      <c r="C171">
        <v>30</v>
      </c>
      <c r="D171" t="s">
        <v>84</v>
      </c>
      <c r="E171">
        <v>184</v>
      </c>
      <c r="F171" t="s">
        <v>85</v>
      </c>
      <c r="G171">
        <v>8664</v>
      </c>
      <c r="H171" t="s">
        <v>27</v>
      </c>
      <c r="I171">
        <v>1000008664</v>
      </c>
      <c r="J171">
        <v>28810438</v>
      </c>
      <c r="K171" t="s">
        <v>156</v>
      </c>
      <c r="L171" t="s">
        <v>87</v>
      </c>
      <c r="M171" t="s">
        <v>88</v>
      </c>
      <c r="N171">
        <v>96.5</v>
      </c>
      <c r="O171">
        <v>14.22</v>
      </c>
      <c r="P171">
        <v>2.2799999999999998</v>
      </c>
      <c r="Q171">
        <v>4.2561999999999998</v>
      </c>
      <c r="R171">
        <v>0.68100000000000005</v>
      </c>
      <c r="S171" t="s">
        <v>460</v>
      </c>
      <c r="T171">
        <v>6</v>
      </c>
      <c r="U171" t="s">
        <v>89</v>
      </c>
    </row>
    <row r="172" spans="1:22" outlineLevel="2" x14ac:dyDescent="0.25">
      <c r="A172" t="s">
        <v>82</v>
      </c>
      <c r="B172" t="s">
        <v>83</v>
      </c>
      <c r="C172">
        <v>30</v>
      </c>
      <c r="D172" t="s">
        <v>84</v>
      </c>
      <c r="E172">
        <v>184</v>
      </c>
      <c r="F172" t="s">
        <v>85</v>
      </c>
      <c r="G172">
        <v>8664</v>
      </c>
      <c r="H172" t="s">
        <v>27</v>
      </c>
      <c r="I172">
        <v>1000008664</v>
      </c>
      <c r="J172">
        <v>28812340</v>
      </c>
      <c r="K172" t="s">
        <v>180</v>
      </c>
      <c r="L172" t="s">
        <v>87</v>
      </c>
      <c r="M172" t="s">
        <v>88</v>
      </c>
      <c r="N172">
        <v>622.5</v>
      </c>
      <c r="O172">
        <v>14.22</v>
      </c>
      <c r="P172">
        <v>2.2799999999999998</v>
      </c>
      <c r="Q172">
        <v>4.2561999999999998</v>
      </c>
      <c r="R172">
        <v>0.68100000000000005</v>
      </c>
      <c r="S172" t="s">
        <v>461</v>
      </c>
      <c r="T172">
        <v>6</v>
      </c>
      <c r="U172" t="s">
        <v>89</v>
      </c>
    </row>
    <row r="173" spans="1:22" outlineLevel="2" x14ac:dyDescent="0.25">
      <c r="A173" t="s">
        <v>82</v>
      </c>
      <c r="B173" t="s">
        <v>83</v>
      </c>
      <c r="C173">
        <v>30</v>
      </c>
      <c r="D173" t="s">
        <v>84</v>
      </c>
      <c r="E173">
        <v>184</v>
      </c>
      <c r="F173" t="s">
        <v>85</v>
      </c>
      <c r="G173">
        <v>8664</v>
      </c>
      <c r="H173" t="s">
        <v>27</v>
      </c>
      <c r="I173">
        <v>1000008664</v>
      </c>
      <c r="J173">
        <v>28812439</v>
      </c>
      <c r="K173" t="s">
        <v>182</v>
      </c>
      <c r="L173" t="s">
        <v>87</v>
      </c>
      <c r="M173" t="s">
        <v>88</v>
      </c>
      <c r="N173">
        <v>129.5</v>
      </c>
      <c r="O173">
        <v>14.22</v>
      </c>
      <c r="P173">
        <v>2.2799999999999998</v>
      </c>
      <c r="Q173">
        <v>4.2561999999999998</v>
      </c>
      <c r="R173">
        <v>0.68100000000000005</v>
      </c>
      <c r="S173" t="s">
        <v>462</v>
      </c>
      <c r="T173">
        <v>6</v>
      </c>
      <c r="U173" t="s">
        <v>89</v>
      </c>
    </row>
    <row r="174" spans="1:22" outlineLevel="2" x14ac:dyDescent="0.25">
      <c r="A174" t="s">
        <v>82</v>
      </c>
      <c r="B174" t="s">
        <v>83</v>
      </c>
      <c r="C174">
        <v>30</v>
      </c>
      <c r="D174" t="s">
        <v>84</v>
      </c>
      <c r="E174">
        <v>184</v>
      </c>
      <c r="F174" t="s">
        <v>85</v>
      </c>
      <c r="G174">
        <v>8664</v>
      </c>
      <c r="H174" t="s">
        <v>27</v>
      </c>
      <c r="I174">
        <v>1000008664</v>
      </c>
      <c r="J174">
        <v>28812526</v>
      </c>
      <c r="K174" t="s">
        <v>184</v>
      </c>
      <c r="L174" t="s">
        <v>87</v>
      </c>
      <c r="M174" t="s">
        <v>88</v>
      </c>
      <c r="N174">
        <v>645.5</v>
      </c>
      <c r="O174">
        <v>14.22</v>
      </c>
      <c r="P174">
        <v>2.2799999999999998</v>
      </c>
      <c r="Q174">
        <v>4.2561999999999998</v>
      </c>
      <c r="R174">
        <v>0.68100000000000005</v>
      </c>
      <c r="S174" t="s">
        <v>463</v>
      </c>
      <c r="T174">
        <v>6</v>
      </c>
      <c r="U174" t="s">
        <v>89</v>
      </c>
    </row>
    <row r="175" spans="1:22" outlineLevel="2" x14ac:dyDescent="0.25">
      <c r="A175" t="s">
        <v>82</v>
      </c>
      <c r="B175" t="s">
        <v>83</v>
      </c>
      <c r="C175">
        <v>30</v>
      </c>
      <c r="D175" t="s">
        <v>84</v>
      </c>
      <c r="E175">
        <v>184</v>
      </c>
      <c r="F175" t="s">
        <v>85</v>
      </c>
      <c r="G175">
        <v>8664</v>
      </c>
      <c r="H175" t="s">
        <v>27</v>
      </c>
      <c r="I175">
        <v>1000008664</v>
      </c>
      <c r="J175">
        <v>28812607</v>
      </c>
      <c r="K175" t="s">
        <v>185</v>
      </c>
      <c r="L175" t="s">
        <v>87</v>
      </c>
      <c r="M175" t="s">
        <v>88</v>
      </c>
      <c r="N175">
        <v>355.5</v>
      </c>
      <c r="O175">
        <v>14.22</v>
      </c>
      <c r="P175">
        <v>2.2799999999999998</v>
      </c>
      <c r="Q175">
        <v>4.2561999999999998</v>
      </c>
      <c r="R175">
        <v>0.68100000000000005</v>
      </c>
      <c r="S175" t="s">
        <v>464</v>
      </c>
      <c r="T175">
        <v>6</v>
      </c>
      <c r="U175" t="s">
        <v>89</v>
      </c>
    </row>
    <row r="176" spans="1:22" outlineLevel="2" x14ac:dyDescent="0.25">
      <c r="A176" t="s">
        <v>82</v>
      </c>
      <c r="B176" t="s">
        <v>83</v>
      </c>
      <c r="C176">
        <v>30</v>
      </c>
      <c r="D176" t="s">
        <v>84</v>
      </c>
      <c r="E176">
        <v>184</v>
      </c>
      <c r="F176" t="s">
        <v>85</v>
      </c>
      <c r="G176">
        <v>8664</v>
      </c>
      <c r="H176" t="s">
        <v>27</v>
      </c>
      <c r="I176">
        <v>1000008664</v>
      </c>
      <c r="J176">
        <v>28812706</v>
      </c>
      <c r="K176" t="s">
        <v>189</v>
      </c>
      <c r="L176" t="s">
        <v>87</v>
      </c>
      <c r="M176" t="s">
        <v>88</v>
      </c>
      <c r="N176">
        <v>125.5</v>
      </c>
      <c r="O176">
        <v>14.22</v>
      </c>
      <c r="P176">
        <v>2.2799999999999998</v>
      </c>
      <c r="Q176">
        <v>4.2561999999999998</v>
      </c>
      <c r="R176">
        <v>0.68100000000000005</v>
      </c>
      <c r="S176" t="s">
        <v>465</v>
      </c>
      <c r="T176">
        <v>6</v>
      </c>
      <c r="U176" t="s">
        <v>89</v>
      </c>
    </row>
    <row r="177" spans="1:21" outlineLevel="2" x14ac:dyDescent="0.25">
      <c r="A177" t="s">
        <v>82</v>
      </c>
      <c r="B177" t="s">
        <v>83</v>
      </c>
      <c r="C177">
        <v>30</v>
      </c>
      <c r="D177" t="s">
        <v>84</v>
      </c>
      <c r="E177">
        <v>184</v>
      </c>
      <c r="F177" t="s">
        <v>85</v>
      </c>
      <c r="G177">
        <v>8664</v>
      </c>
      <c r="H177" t="s">
        <v>27</v>
      </c>
      <c r="I177">
        <v>1000008664</v>
      </c>
      <c r="J177">
        <v>28812862</v>
      </c>
      <c r="K177" t="s">
        <v>192</v>
      </c>
      <c r="L177" t="s">
        <v>87</v>
      </c>
      <c r="M177" t="s">
        <v>88</v>
      </c>
      <c r="N177">
        <v>484.5</v>
      </c>
      <c r="O177">
        <v>14.22</v>
      </c>
      <c r="P177">
        <v>2.2799999999999998</v>
      </c>
      <c r="Q177">
        <v>4.2561999999999998</v>
      </c>
      <c r="R177">
        <v>0.68100000000000005</v>
      </c>
      <c r="S177" t="s">
        <v>466</v>
      </c>
      <c r="T177">
        <v>6</v>
      </c>
      <c r="U177" t="s">
        <v>89</v>
      </c>
    </row>
    <row r="178" spans="1:21" outlineLevel="2" x14ac:dyDescent="0.25">
      <c r="A178" t="s">
        <v>82</v>
      </c>
      <c r="B178" t="s">
        <v>83</v>
      </c>
      <c r="C178">
        <v>30</v>
      </c>
      <c r="D178" t="s">
        <v>84</v>
      </c>
      <c r="E178">
        <v>184</v>
      </c>
      <c r="F178" t="s">
        <v>85</v>
      </c>
      <c r="G178">
        <v>8664</v>
      </c>
      <c r="H178" t="s">
        <v>27</v>
      </c>
      <c r="I178">
        <v>1000008664</v>
      </c>
      <c r="J178">
        <v>28812985</v>
      </c>
      <c r="K178" t="s">
        <v>193</v>
      </c>
      <c r="L178" t="s">
        <v>87</v>
      </c>
      <c r="M178" t="s">
        <v>88</v>
      </c>
      <c r="N178">
        <v>62.5</v>
      </c>
      <c r="O178">
        <v>14.22</v>
      </c>
      <c r="P178">
        <v>2.2799999999999998</v>
      </c>
      <c r="Q178">
        <v>4.2561999999999998</v>
      </c>
      <c r="R178">
        <v>0.68100000000000005</v>
      </c>
      <c r="S178" t="s">
        <v>467</v>
      </c>
      <c r="T178">
        <v>6</v>
      </c>
      <c r="U178" t="s">
        <v>89</v>
      </c>
    </row>
    <row r="179" spans="1:21" outlineLevel="2" x14ac:dyDescent="0.25">
      <c r="A179" t="s">
        <v>82</v>
      </c>
      <c r="B179" t="s">
        <v>83</v>
      </c>
      <c r="C179">
        <v>30</v>
      </c>
      <c r="D179" t="s">
        <v>84</v>
      </c>
      <c r="E179">
        <v>184</v>
      </c>
      <c r="F179" t="s">
        <v>85</v>
      </c>
      <c r="G179">
        <v>8664</v>
      </c>
      <c r="H179" t="s">
        <v>27</v>
      </c>
      <c r="I179">
        <v>1000008664</v>
      </c>
      <c r="J179">
        <v>28815027</v>
      </c>
      <c r="K179" t="s">
        <v>216</v>
      </c>
      <c r="L179" t="s">
        <v>87</v>
      </c>
      <c r="M179" t="s">
        <v>88</v>
      </c>
      <c r="N179">
        <v>158.5</v>
      </c>
      <c r="O179">
        <v>14.22</v>
      </c>
      <c r="P179">
        <v>2.2799999999999998</v>
      </c>
      <c r="Q179">
        <v>4.2561999999999998</v>
      </c>
      <c r="R179">
        <v>0.68100000000000005</v>
      </c>
      <c r="S179" t="s">
        <v>468</v>
      </c>
      <c r="T179">
        <v>6</v>
      </c>
      <c r="U179" t="s">
        <v>89</v>
      </c>
    </row>
    <row r="180" spans="1:21" outlineLevel="2" x14ac:dyDescent="0.25">
      <c r="A180" t="s">
        <v>82</v>
      </c>
      <c r="B180" t="s">
        <v>83</v>
      </c>
      <c r="C180">
        <v>30</v>
      </c>
      <c r="D180" t="s">
        <v>84</v>
      </c>
      <c r="E180">
        <v>184</v>
      </c>
      <c r="F180" t="s">
        <v>85</v>
      </c>
      <c r="G180">
        <v>8664</v>
      </c>
      <c r="H180" t="s">
        <v>27</v>
      </c>
      <c r="I180">
        <v>1000008664</v>
      </c>
      <c r="J180">
        <v>28815104</v>
      </c>
      <c r="K180" t="s">
        <v>218</v>
      </c>
      <c r="L180" t="s">
        <v>87</v>
      </c>
      <c r="M180" t="s">
        <v>88</v>
      </c>
      <c r="N180">
        <v>374.5</v>
      </c>
      <c r="O180">
        <v>14.22</v>
      </c>
      <c r="P180">
        <v>2.2799999999999998</v>
      </c>
      <c r="Q180">
        <v>4.2561999999999998</v>
      </c>
      <c r="R180">
        <v>0.68100000000000005</v>
      </c>
      <c r="S180" t="s">
        <v>469</v>
      </c>
      <c r="T180">
        <v>6</v>
      </c>
      <c r="U180" t="s">
        <v>89</v>
      </c>
    </row>
    <row r="181" spans="1:21" outlineLevel="2" x14ac:dyDescent="0.25">
      <c r="A181" t="s">
        <v>82</v>
      </c>
      <c r="B181" t="s">
        <v>83</v>
      </c>
      <c r="C181">
        <v>30</v>
      </c>
      <c r="D181" t="s">
        <v>84</v>
      </c>
      <c r="E181">
        <v>184</v>
      </c>
      <c r="F181" t="s">
        <v>85</v>
      </c>
      <c r="G181">
        <v>8664</v>
      </c>
      <c r="H181" t="s">
        <v>27</v>
      </c>
      <c r="I181">
        <v>1000008664</v>
      </c>
      <c r="J181">
        <v>28815498</v>
      </c>
      <c r="K181" t="s">
        <v>220</v>
      </c>
      <c r="L181" t="s">
        <v>87</v>
      </c>
      <c r="M181" t="s">
        <v>88</v>
      </c>
      <c r="N181">
        <v>62.5</v>
      </c>
      <c r="O181">
        <v>14.22</v>
      </c>
      <c r="P181">
        <v>2.2799999999999998</v>
      </c>
      <c r="Q181">
        <v>4.2561999999999998</v>
      </c>
      <c r="R181">
        <v>0.68100000000000005</v>
      </c>
      <c r="S181" t="s">
        <v>470</v>
      </c>
      <c r="T181">
        <v>6</v>
      </c>
      <c r="U181" t="s">
        <v>89</v>
      </c>
    </row>
    <row r="182" spans="1:21" outlineLevel="2" x14ac:dyDescent="0.25">
      <c r="A182" t="s">
        <v>82</v>
      </c>
      <c r="B182" t="s">
        <v>83</v>
      </c>
      <c r="C182">
        <v>30</v>
      </c>
      <c r="D182" t="s">
        <v>84</v>
      </c>
      <c r="E182">
        <v>184</v>
      </c>
      <c r="F182" t="s">
        <v>85</v>
      </c>
      <c r="G182">
        <v>8664</v>
      </c>
      <c r="H182" t="s">
        <v>27</v>
      </c>
      <c r="I182">
        <v>1000008664</v>
      </c>
      <c r="J182">
        <v>28817237</v>
      </c>
      <c r="K182" t="s">
        <v>229</v>
      </c>
      <c r="L182" t="s">
        <v>87</v>
      </c>
      <c r="M182" t="s">
        <v>88</v>
      </c>
      <c r="N182">
        <v>44.5</v>
      </c>
      <c r="O182">
        <v>14.22</v>
      </c>
      <c r="P182">
        <v>2.2799999999999998</v>
      </c>
      <c r="Q182">
        <v>4.2561999999999998</v>
      </c>
      <c r="R182">
        <v>0.68100000000000005</v>
      </c>
      <c r="S182" t="s">
        <v>471</v>
      </c>
      <c r="T182">
        <v>6</v>
      </c>
      <c r="U182" t="s">
        <v>89</v>
      </c>
    </row>
    <row r="183" spans="1:21" outlineLevel="2" x14ac:dyDescent="0.25">
      <c r="A183" t="s">
        <v>82</v>
      </c>
      <c r="B183" t="s">
        <v>83</v>
      </c>
      <c r="C183">
        <v>30</v>
      </c>
      <c r="D183" t="s">
        <v>84</v>
      </c>
      <c r="E183">
        <v>184</v>
      </c>
      <c r="F183" t="s">
        <v>85</v>
      </c>
      <c r="G183">
        <v>8664</v>
      </c>
      <c r="H183" t="s">
        <v>27</v>
      </c>
      <c r="I183">
        <v>1000008664</v>
      </c>
      <c r="J183">
        <v>28817643</v>
      </c>
      <c r="K183" t="s">
        <v>234</v>
      </c>
      <c r="L183" t="s">
        <v>87</v>
      </c>
      <c r="M183" t="s">
        <v>88</v>
      </c>
      <c r="N183">
        <v>1017.5</v>
      </c>
      <c r="O183">
        <v>14.22</v>
      </c>
      <c r="P183">
        <v>2.2799999999999998</v>
      </c>
      <c r="Q183">
        <v>4.2561999999999998</v>
      </c>
      <c r="R183">
        <v>0.68100000000000005</v>
      </c>
      <c r="S183" t="s">
        <v>472</v>
      </c>
      <c r="T183">
        <v>6</v>
      </c>
      <c r="U183" t="s">
        <v>89</v>
      </c>
    </row>
    <row r="184" spans="1:21" outlineLevel="2" x14ac:dyDescent="0.25">
      <c r="A184" t="s">
        <v>82</v>
      </c>
      <c r="B184" t="s">
        <v>83</v>
      </c>
      <c r="C184">
        <v>30</v>
      </c>
      <c r="D184" t="s">
        <v>84</v>
      </c>
      <c r="E184">
        <v>184</v>
      </c>
      <c r="F184" t="s">
        <v>85</v>
      </c>
      <c r="G184">
        <v>8664</v>
      </c>
      <c r="H184" t="s">
        <v>27</v>
      </c>
      <c r="I184">
        <v>1000008664</v>
      </c>
      <c r="J184">
        <v>28817732</v>
      </c>
      <c r="K184" t="s">
        <v>237</v>
      </c>
      <c r="L184" t="s">
        <v>87</v>
      </c>
      <c r="M184" t="s">
        <v>88</v>
      </c>
      <c r="N184">
        <v>314.5</v>
      </c>
      <c r="O184">
        <v>14.22</v>
      </c>
      <c r="P184">
        <v>2.2799999999999998</v>
      </c>
      <c r="Q184">
        <v>4.2561999999999998</v>
      </c>
      <c r="R184">
        <v>0.68100000000000005</v>
      </c>
      <c r="S184" t="s">
        <v>473</v>
      </c>
      <c r="T184">
        <v>6</v>
      </c>
      <c r="U184" t="s">
        <v>89</v>
      </c>
    </row>
    <row r="185" spans="1:21" outlineLevel="2" x14ac:dyDescent="0.25">
      <c r="A185" t="s">
        <v>82</v>
      </c>
      <c r="B185" t="s">
        <v>83</v>
      </c>
      <c r="C185">
        <v>30</v>
      </c>
      <c r="D185" t="s">
        <v>84</v>
      </c>
      <c r="E185">
        <v>184</v>
      </c>
      <c r="F185" t="s">
        <v>85</v>
      </c>
      <c r="G185">
        <v>8664</v>
      </c>
      <c r="H185" t="s">
        <v>27</v>
      </c>
      <c r="I185">
        <v>1000008664</v>
      </c>
      <c r="J185">
        <v>28818858</v>
      </c>
      <c r="K185" t="s">
        <v>246</v>
      </c>
      <c r="L185" t="s">
        <v>87</v>
      </c>
      <c r="M185" t="s">
        <v>88</v>
      </c>
      <c r="N185">
        <v>68.5</v>
      </c>
      <c r="O185">
        <v>14.22</v>
      </c>
      <c r="P185">
        <v>2.2799999999999998</v>
      </c>
      <c r="Q185">
        <v>4.2561999999999998</v>
      </c>
      <c r="R185">
        <v>0.68100000000000005</v>
      </c>
      <c r="S185" t="s">
        <v>474</v>
      </c>
      <c r="T185">
        <v>6</v>
      </c>
      <c r="U185" t="s">
        <v>89</v>
      </c>
    </row>
    <row r="186" spans="1:21" outlineLevel="2" x14ac:dyDescent="0.25">
      <c r="A186" t="s">
        <v>82</v>
      </c>
      <c r="B186" t="s">
        <v>83</v>
      </c>
      <c r="C186">
        <v>30</v>
      </c>
      <c r="D186" t="s">
        <v>84</v>
      </c>
      <c r="E186">
        <v>184</v>
      </c>
      <c r="F186" t="s">
        <v>85</v>
      </c>
      <c r="G186">
        <v>8664</v>
      </c>
      <c r="H186" t="s">
        <v>27</v>
      </c>
      <c r="I186">
        <v>1000008664</v>
      </c>
      <c r="J186">
        <v>28819367</v>
      </c>
      <c r="K186" t="s">
        <v>255</v>
      </c>
      <c r="L186" t="s">
        <v>87</v>
      </c>
      <c r="M186" t="s">
        <v>88</v>
      </c>
      <c r="N186">
        <v>44.5</v>
      </c>
      <c r="O186">
        <v>14.22</v>
      </c>
      <c r="P186">
        <v>2.2799999999999998</v>
      </c>
      <c r="Q186">
        <v>4.2561999999999998</v>
      </c>
      <c r="R186">
        <v>0.68100000000000005</v>
      </c>
      <c r="S186" t="s">
        <v>475</v>
      </c>
      <c r="T186">
        <v>6</v>
      </c>
      <c r="U186" t="s">
        <v>89</v>
      </c>
    </row>
    <row r="187" spans="1:21" outlineLevel="2" x14ac:dyDescent="0.25">
      <c r="A187" t="s">
        <v>82</v>
      </c>
      <c r="B187" t="s">
        <v>83</v>
      </c>
      <c r="C187">
        <v>30</v>
      </c>
      <c r="D187" t="s">
        <v>84</v>
      </c>
      <c r="E187">
        <v>184</v>
      </c>
      <c r="F187" t="s">
        <v>85</v>
      </c>
      <c r="G187">
        <v>8664</v>
      </c>
      <c r="H187" t="s">
        <v>27</v>
      </c>
      <c r="I187">
        <v>1000008664</v>
      </c>
      <c r="J187">
        <v>28819624</v>
      </c>
      <c r="K187" t="s">
        <v>260</v>
      </c>
      <c r="L187" t="s">
        <v>87</v>
      </c>
      <c r="M187" t="s">
        <v>88</v>
      </c>
      <c r="N187">
        <v>183.5</v>
      </c>
      <c r="O187">
        <v>14.22</v>
      </c>
      <c r="P187">
        <v>2.2799999999999998</v>
      </c>
      <c r="Q187">
        <v>4.2561999999999998</v>
      </c>
      <c r="R187">
        <v>0.68100000000000005</v>
      </c>
      <c r="S187" t="s">
        <v>476</v>
      </c>
      <c r="T187">
        <v>6</v>
      </c>
      <c r="U187" t="s">
        <v>89</v>
      </c>
    </row>
    <row r="188" spans="1:21" outlineLevel="2" x14ac:dyDescent="0.25">
      <c r="A188" t="s">
        <v>82</v>
      </c>
      <c r="B188" t="s">
        <v>83</v>
      </c>
      <c r="C188">
        <v>30</v>
      </c>
      <c r="D188" t="s">
        <v>84</v>
      </c>
      <c r="E188">
        <v>184</v>
      </c>
      <c r="F188" t="s">
        <v>85</v>
      </c>
      <c r="G188">
        <v>8664</v>
      </c>
      <c r="H188" t="s">
        <v>27</v>
      </c>
      <c r="I188">
        <v>1000008664</v>
      </c>
      <c r="J188">
        <v>28820751</v>
      </c>
      <c r="K188" t="s">
        <v>269</v>
      </c>
      <c r="L188" t="s">
        <v>87</v>
      </c>
      <c r="M188" t="s">
        <v>88</v>
      </c>
      <c r="N188">
        <v>78.5</v>
      </c>
      <c r="O188">
        <v>14.22</v>
      </c>
      <c r="P188">
        <v>2.2799999999999998</v>
      </c>
      <c r="Q188">
        <v>4.2561999999999998</v>
      </c>
      <c r="R188">
        <v>0.68100000000000005</v>
      </c>
      <c r="S188" t="s">
        <v>477</v>
      </c>
      <c r="T188">
        <v>6</v>
      </c>
      <c r="U188" t="s">
        <v>89</v>
      </c>
    </row>
    <row r="189" spans="1:21" outlineLevel="2" x14ac:dyDescent="0.25">
      <c r="A189" t="s">
        <v>82</v>
      </c>
      <c r="B189" t="s">
        <v>83</v>
      </c>
      <c r="C189">
        <v>30</v>
      </c>
      <c r="D189" t="s">
        <v>84</v>
      </c>
      <c r="E189">
        <v>184</v>
      </c>
      <c r="F189" t="s">
        <v>85</v>
      </c>
      <c r="G189">
        <v>8664</v>
      </c>
      <c r="H189" t="s">
        <v>27</v>
      </c>
      <c r="I189">
        <v>1000008664</v>
      </c>
      <c r="J189">
        <v>28821682</v>
      </c>
      <c r="K189" t="s">
        <v>279</v>
      </c>
      <c r="L189" t="s">
        <v>87</v>
      </c>
      <c r="M189" t="s">
        <v>88</v>
      </c>
      <c r="N189">
        <v>245.5</v>
      </c>
      <c r="O189">
        <v>14.22</v>
      </c>
      <c r="P189">
        <v>2.2799999999999998</v>
      </c>
      <c r="Q189">
        <v>4.2561999999999998</v>
      </c>
      <c r="R189">
        <v>0.68100000000000005</v>
      </c>
      <c r="S189" t="s">
        <v>478</v>
      </c>
      <c r="T189">
        <v>6</v>
      </c>
      <c r="U189" t="s">
        <v>89</v>
      </c>
    </row>
    <row r="190" spans="1:21" outlineLevel="2" x14ac:dyDescent="0.25">
      <c r="A190" t="s">
        <v>82</v>
      </c>
      <c r="B190" t="s">
        <v>83</v>
      </c>
      <c r="C190">
        <v>30</v>
      </c>
      <c r="D190" t="s">
        <v>84</v>
      </c>
      <c r="E190">
        <v>184</v>
      </c>
      <c r="F190" t="s">
        <v>85</v>
      </c>
      <c r="G190">
        <v>8664</v>
      </c>
      <c r="H190" t="s">
        <v>27</v>
      </c>
      <c r="I190">
        <v>1000008664</v>
      </c>
      <c r="J190">
        <v>28821879</v>
      </c>
      <c r="K190" t="s">
        <v>280</v>
      </c>
      <c r="L190" t="s">
        <v>87</v>
      </c>
      <c r="M190" t="s">
        <v>88</v>
      </c>
      <c r="N190">
        <v>44.5</v>
      </c>
      <c r="O190">
        <v>14.22</v>
      </c>
      <c r="P190">
        <v>2.2799999999999998</v>
      </c>
      <c r="Q190">
        <v>4.2561999999999998</v>
      </c>
      <c r="R190">
        <v>0.68100000000000005</v>
      </c>
      <c r="S190" t="s">
        <v>479</v>
      </c>
      <c r="T190">
        <v>6</v>
      </c>
      <c r="U190" t="s">
        <v>89</v>
      </c>
    </row>
    <row r="191" spans="1:21" outlineLevel="2" x14ac:dyDescent="0.25">
      <c r="A191" t="s">
        <v>82</v>
      </c>
      <c r="B191" t="s">
        <v>83</v>
      </c>
      <c r="C191">
        <v>30</v>
      </c>
      <c r="D191" t="s">
        <v>84</v>
      </c>
      <c r="E191">
        <v>184</v>
      </c>
      <c r="F191" t="s">
        <v>85</v>
      </c>
      <c r="G191">
        <v>8664</v>
      </c>
      <c r="H191" t="s">
        <v>27</v>
      </c>
      <c r="I191">
        <v>1000008664</v>
      </c>
      <c r="J191">
        <v>28822331</v>
      </c>
      <c r="K191" t="s">
        <v>285</v>
      </c>
      <c r="L191" t="s">
        <v>87</v>
      </c>
      <c r="M191" t="s">
        <v>88</v>
      </c>
      <c r="N191">
        <v>378.5</v>
      </c>
      <c r="O191">
        <v>14.22</v>
      </c>
      <c r="P191">
        <v>2.2799999999999998</v>
      </c>
      <c r="Q191">
        <v>4.2561999999999998</v>
      </c>
      <c r="R191">
        <v>0.68100000000000005</v>
      </c>
      <c r="S191" t="s">
        <v>480</v>
      </c>
      <c r="T191">
        <v>6</v>
      </c>
      <c r="U191" t="s">
        <v>89</v>
      </c>
    </row>
    <row r="192" spans="1:21" outlineLevel="2" x14ac:dyDescent="0.25">
      <c r="A192" t="s">
        <v>82</v>
      </c>
      <c r="B192" t="s">
        <v>83</v>
      </c>
      <c r="C192">
        <v>30</v>
      </c>
      <c r="D192" t="s">
        <v>84</v>
      </c>
      <c r="E192">
        <v>184</v>
      </c>
      <c r="F192" t="s">
        <v>85</v>
      </c>
      <c r="G192">
        <v>8664</v>
      </c>
      <c r="H192" t="s">
        <v>27</v>
      </c>
      <c r="I192">
        <v>1000008664</v>
      </c>
      <c r="J192">
        <v>28822800</v>
      </c>
      <c r="K192" t="s">
        <v>293</v>
      </c>
      <c r="L192" t="s">
        <v>87</v>
      </c>
      <c r="M192" t="s">
        <v>88</v>
      </c>
      <c r="N192">
        <v>107.5</v>
      </c>
      <c r="O192">
        <v>14.22</v>
      </c>
      <c r="P192">
        <v>2.2799999999999998</v>
      </c>
      <c r="Q192">
        <v>4.2561999999999998</v>
      </c>
      <c r="R192">
        <v>0.68100000000000005</v>
      </c>
      <c r="S192" t="s">
        <v>481</v>
      </c>
      <c r="T192">
        <v>6</v>
      </c>
      <c r="U192" t="s">
        <v>89</v>
      </c>
    </row>
    <row r="193" spans="1:22" outlineLevel="2" x14ac:dyDescent="0.25">
      <c r="A193" t="s">
        <v>82</v>
      </c>
      <c r="B193" t="s">
        <v>83</v>
      </c>
      <c r="C193">
        <v>30</v>
      </c>
      <c r="D193" t="s">
        <v>84</v>
      </c>
      <c r="E193">
        <v>184</v>
      </c>
      <c r="F193" t="s">
        <v>85</v>
      </c>
      <c r="G193">
        <v>8664</v>
      </c>
      <c r="H193" t="s">
        <v>27</v>
      </c>
      <c r="I193">
        <v>1000008664</v>
      </c>
      <c r="J193">
        <v>28822880</v>
      </c>
      <c r="K193" t="s">
        <v>296</v>
      </c>
      <c r="L193" t="s">
        <v>87</v>
      </c>
      <c r="M193" t="s">
        <v>88</v>
      </c>
      <c r="N193">
        <v>44.5</v>
      </c>
      <c r="O193">
        <v>14.22</v>
      </c>
      <c r="P193">
        <v>2.2799999999999998</v>
      </c>
      <c r="Q193">
        <v>4.2561999999999998</v>
      </c>
      <c r="R193">
        <v>0.68100000000000005</v>
      </c>
      <c r="S193" t="s">
        <v>482</v>
      </c>
      <c r="T193">
        <v>6</v>
      </c>
      <c r="U193" t="s">
        <v>89</v>
      </c>
    </row>
    <row r="194" spans="1:22" outlineLevel="2" x14ac:dyDescent="0.25">
      <c r="A194" t="s">
        <v>82</v>
      </c>
      <c r="B194" t="s">
        <v>83</v>
      </c>
      <c r="C194">
        <v>30</v>
      </c>
      <c r="D194" t="s">
        <v>84</v>
      </c>
      <c r="E194">
        <v>184</v>
      </c>
      <c r="F194" t="s">
        <v>85</v>
      </c>
      <c r="G194">
        <v>8664</v>
      </c>
      <c r="H194" t="s">
        <v>27</v>
      </c>
      <c r="I194">
        <v>1000008664</v>
      </c>
      <c r="J194">
        <v>28823608</v>
      </c>
      <c r="K194" t="s">
        <v>299</v>
      </c>
      <c r="L194" t="s">
        <v>87</v>
      </c>
      <c r="M194" t="s">
        <v>88</v>
      </c>
      <c r="N194">
        <v>44.5</v>
      </c>
      <c r="O194">
        <v>14.22</v>
      </c>
      <c r="P194">
        <v>2.2799999999999998</v>
      </c>
      <c r="Q194">
        <v>4.2561999999999998</v>
      </c>
      <c r="R194">
        <v>0.68100000000000005</v>
      </c>
      <c r="S194" t="s">
        <v>483</v>
      </c>
      <c r="T194">
        <v>6</v>
      </c>
      <c r="U194" t="s">
        <v>89</v>
      </c>
    </row>
    <row r="195" spans="1:22" outlineLevel="2" x14ac:dyDescent="0.25">
      <c r="A195" t="s">
        <v>82</v>
      </c>
      <c r="B195" t="s">
        <v>83</v>
      </c>
      <c r="C195">
        <v>30</v>
      </c>
      <c r="D195" t="s">
        <v>84</v>
      </c>
      <c r="E195">
        <v>184</v>
      </c>
      <c r="F195" t="s">
        <v>85</v>
      </c>
      <c r="G195">
        <v>8664</v>
      </c>
      <c r="H195" t="s">
        <v>27</v>
      </c>
      <c r="I195">
        <v>1000008664</v>
      </c>
      <c r="J195">
        <v>28823706</v>
      </c>
      <c r="K195" t="s">
        <v>301</v>
      </c>
      <c r="L195" t="s">
        <v>87</v>
      </c>
      <c r="M195" t="s">
        <v>88</v>
      </c>
      <c r="N195">
        <v>43.5</v>
      </c>
      <c r="O195">
        <v>14.22</v>
      </c>
      <c r="P195">
        <v>2.2799999999999998</v>
      </c>
      <c r="Q195">
        <v>4.2561999999999998</v>
      </c>
      <c r="R195">
        <v>0.68100000000000005</v>
      </c>
      <c r="S195" t="s">
        <v>484</v>
      </c>
      <c r="T195">
        <v>6</v>
      </c>
      <c r="U195" t="s">
        <v>89</v>
      </c>
    </row>
    <row r="196" spans="1:22" outlineLevel="2" x14ac:dyDescent="0.25">
      <c r="A196" t="s">
        <v>82</v>
      </c>
      <c r="B196" t="s">
        <v>83</v>
      </c>
      <c r="C196">
        <v>30</v>
      </c>
      <c r="D196" t="s">
        <v>84</v>
      </c>
      <c r="E196">
        <v>184</v>
      </c>
      <c r="F196" t="s">
        <v>85</v>
      </c>
      <c r="G196">
        <v>8664</v>
      </c>
      <c r="H196" t="s">
        <v>27</v>
      </c>
      <c r="I196">
        <v>1000008664</v>
      </c>
      <c r="J196">
        <v>28823746</v>
      </c>
      <c r="K196" t="s">
        <v>302</v>
      </c>
      <c r="L196" t="s">
        <v>87</v>
      </c>
      <c r="M196" t="s">
        <v>88</v>
      </c>
      <c r="N196">
        <v>44.5</v>
      </c>
      <c r="O196">
        <v>14.22</v>
      </c>
      <c r="P196">
        <v>2.2799999999999998</v>
      </c>
      <c r="Q196">
        <v>4.2561999999999998</v>
      </c>
      <c r="R196">
        <v>0.68100000000000005</v>
      </c>
      <c r="S196" t="s">
        <v>485</v>
      </c>
      <c r="T196">
        <v>6</v>
      </c>
      <c r="U196" t="s">
        <v>89</v>
      </c>
    </row>
    <row r="197" spans="1:22" outlineLevel="1" x14ac:dyDescent="0.25">
      <c r="H197" s="9" t="s">
        <v>544</v>
      </c>
      <c r="N197">
        <f>SUBTOTAL(9,N168:N196)</f>
        <v>6113.5</v>
      </c>
    </row>
    <row r="198" spans="1:22" outlineLevel="2" x14ac:dyDescent="0.25">
      <c r="A198" t="s">
        <v>82</v>
      </c>
      <c r="B198" t="s">
        <v>83</v>
      </c>
      <c r="C198">
        <v>30</v>
      </c>
      <c r="D198" t="s">
        <v>84</v>
      </c>
      <c r="E198">
        <v>184</v>
      </c>
      <c r="F198" t="s">
        <v>85</v>
      </c>
      <c r="G198">
        <v>8669</v>
      </c>
      <c r="H198" t="s">
        <v>48</v>
      </c>
      <c r="I198">
        <v>1000008669</v>
      </c>
      <c r="J198">
        <v>28821884</v>
      </c>
      <c r="K198" t="s">
        <v>281</v>
      </c>
      <c r="L198" t="s">
        <v>87</v>
      </c>
      <c r="M198" t="s">
        <v>88</v>
      </c>
      <c r="N198">
        <v>44.5</v>
      </c>
      <c r="O198">
        <v>14.22</v>
      </c>
      <c r="P198">
        <v>2.2799999999999998</v>
      </c>
      <c r="Q198">
        <v>4.2561999999999998</v>
      </c>
      <c r="R198">
        <v>0.68100000000000005</v>
      </c>
      <c r="S198" t="s">
        <v>486</v>
      </c>
      <c r="T198">
        <v>6</v>
      </c>
      <c r="U198" t="s">
        <v>89</v>
      </c>
    </row>
    <row r="199" spans="1:22" outlineLevel="1" x14ac:dyDescent="0.25">
      <c r="H199" s="9" t="s">
        <v>545</v>
      </c>
      <c r="N199">
        <f>SUBTOTAL(9,N198:N198)</f>
        <v>44.5</v>
      </c>
    </row>
    <row r="200" spans="1:22" outlineLevel="2" x14ac:dyDescent="0.25">
      <c r="A200" t="s">
        <v>82</v>
      </c>
      <c r="B200" t="s">
        <v>83</v>
      </c>
      <c r="C200">
        <v>30</v>
      </c>
      <c r="D200" t="s">
        <v>84</v>
      </c>
      <c r="E200">
        <v>184</v>
      </c>
      <c r="F200" t="s">
        <v>85</v>
      </c>
      <c r="G200">
        <v>8671</v>
      </c>
      <c r="H200" t="s">
        <v>50</v>
      </c>
      <c r="I200">
        <v>1000008671</v>
      </c>
      <c r="J200">
        <v>28809965</v>
      </c>
      <c r="K200" t="s">
        <v>146</v>
      </c>
      <c r="L200" t="s">
        <v>87</v>
      </c>
      <c r="M200" t="s">
        <v>88</v>
      </c>
      <c r="N200">
        <v>83.5</v>
      </c>
      <c r="O200">
        <v>14.22</v>
      </c>
      <c r="P200">
        <v>2.2799999999999998</v>
      </c>
      <c r="Q200">
        <v>4.2561999999999998</v>
      </c>
      <c r="R200">
        <v>0.68100000000000005</v>
      </c>
      <c r="S200" t="s">
        <v>487</v>
      </c>
      <c r="T200">
        <v>6</v>
      </c>
      <c r="U200" t="s">
        <v>89</v>
      </c>
    </row>
    <row r="201" spans="1:22" outlineLevel="2" x14ac:dyDescent="0.25">
      <c r="A201" t="s">
        <v>82</v>
      </c>
      <c r="B201" t="s">
        <v>83</v>
      </c>
      <c r="C201">
        <v>30</v>
      </c>
      <c r="D201" t="s">
        <v>84</v>
      </c>
      <c r="E201">
        <v>184</v>
      </c>
      <c r="F201" t="s">
        <v>85</v>
      </c>
      <c r="G201">
        <v>8671</v>
      </c>
      <c r="H201" t="s">
        <v>50</v>
      </c>
      <c r="I201">
        <v>1000008671</v>
      </c>
      <c r="J201">
        <v>28810797</v>
      </c>
      <c r="K201" t="s">
        <v>162</v>
      </c>
      <c r="L201" t="s">
        <v>87</v>
      </c>
      <c r="M201" t="s">
        <v>88</v>
      </c>
      <c r="N201">
        <v>123.5</v>
      </c>
      <c r="O201">
        <v>14.22</v>
      </c>
      <c r="P201">
        <v>2.2799999999999998</v>
      </c>
      <c r="Q201">
        <v>4.2561999999999998</v>
      </c>
      <c r="R201">
        <v>0.68100000000000005</v>
      </c>
      <c r="S201" t="s">
        <v>488</v>
      </c>
      <c r="T201">
        <v>6</v>
      </c>
      <c r="U201" t="s">
        <v>89</v>
      </c>
    </row>
    <row r="202" spans="1:22" outlineLevel="1" x14ac:dyDescent="0.25">
      <c r="H202" s="9" t="s">
        <v>546</v>
      </c>
      <c r="N202">
        <f>SUBTOTAL(9,N200:N201)</f>
        <v>207</v>
      </c>
    </row>
    <row r="203" spans="1:22" outlineLevel="2" x14ac:dyDescent="0.25">
      <c r="A203" t="s">
        <v>82</v>
      </c>
      <c r="B203" t="s">
        <v>83</v>
      </c>
      <c r="C203">
        <v>30</v>
      </c>
      <c r="D203" t="s">
        <v>84</v>
      </c>
      <c r="E203">
        <v>184</v>
      </c>
      <c r="F203" t="s">
        <v>85</v>
      </c>
      <c r="G203">
        <v>8673</v>
      </c>
      <c r="H203" t="s">
        <v>51</v>
      </c>
      <c r="I203">
        <v>1000008673</v>
      </c>
      <c r="J203">
        <v>28807741</v>
      </c>
      <c r="K203" t="s">
        <v>103</v>
      </c>
      <c r="L203" t="s">
        <v>87</v>
      </c>
      <c r="M203" t="s">
        <v>88</v>
      </c>
      <c r="N203">
        <v>268.5</v>
      </c>
      <c r="O203">
        <v>14.22</v>
      </c>
      <c r="P203">
        <v>2.2799999999999998</v>
      </c>
      <c r="Q203">
        <v>4.2561999999999998</v>
      </c>
      <c r="R203">
        <v>0.68100000000000005</v>
      </c>
      <c r="S203" t="s">
        <v>489</v>
      </c>
      <c r="T203">
        <v>6</v>
      </c>
      <c r="U203" t="s">
        <v>89</v>
      </c>
    </row>
    <row r="204" spans="1:22" outlineLevel="2" x14ac:dyDescent="0.25">
      <c r="A204" s="8" t="s">
        <v>82</v>
      </c>
      <c r="B204" s="8" t="s">
        <v>83</v>
      </c>
      <c r="C204" s="8">
        <v>30</v>
      </c>
      <c r="D204" s="8" t="s">
        <v>84</v>
      </c>
      <c r="E204" s="8">
        <v>184</v>
      </c>
      <c r="F204" s="8" t="s">
        <v>85</v>
      </c>
      <c r="G204" s="8">
        <v>8673</v>
      </c>
      <c r="H204" s="8" t="s">
        <v>51</v>
      </c>
      <c r="I204" s="8">
        <v>1000008673</v>
      </c>
      <c r="J204" s="8">
        <v>28808067</v>
      </c>
      <c r="K204" s="8" t="s">
        <v>106</v>
      </c>
      <c r="L204" s="8" t="s">
        <v>87</v>
      </c>
      <c r="M204" s="8" t="s">
        <v>88</v>
      </c>
      <c r="N204" s="8">
        <v>171.5</v>
      </c>
      <c r="O204" s="8">
        <v>14.22</v>
      </c>
      <c r="P204" s="8">
        <v>2.2799999999999998</v>
      </c>
      <c r="Q204" s="8">
        <v>4.2561999999999998</v>
      </c>
      <c r="R204" s="8">
        <v>0.68100000000000005</v>
      </c>
      <c r="S204" s="8" t="s">
        <v>530</v>
      </c>
      <c r="T204" s="8">
        <v>6</v>
      </c>
      <c r="U204" s="8" t="s">
        <v>89</v>
      </c>
      <c r="V204" s="8"/>
    </row>
    <row r="205" spans="1:22" outlineLevel="2" x14ac:dyDescent="0.25">
      <c r="A205" t="s">
        <v>82</v>
      </c>
      <c r="B205" t="s">
        <v>83</v>
      </c>
      <c r="C205">
        <v>30</v>
      </c>
      <c r="D205" t="s">
        <v>84</v>
      </c>
      <c r="E205">
        <v>184</v>
      </c>
      <c r="F205" t="s">
        <v>85</v>
      </c>
      <c r="G205">
        <v>8673</v>
      </c>
      <c r="H205" t="s">
        <v>51</v>
      </c>
      <c r="I205">
        <v>1000008673</v>
      </c>
      <c r="J205">
        <v>28810502</v>
      </c>
      <c r="K205" t="s">
        <v>159</v>
      </c>
      <c r="L205" t="s">
        <v>87</v>
      </c>
      <c r="M205" t="s">
        <v>88</v>
      </c>
      <c r="N205">
        <v>80.5</v>
      </c>
      <c r="O205">
        <v>14.22</v>
      </c>
      <c r="P205">
        <v>2.2799999999999998</v>
      </c>
      <c r="Q205">
        <v>4.2561999999999998</v>
      </c>
      <c r="R205">
        <v>0.68100000000000005</v>
      </c>
      <c r="S205" t="s">
        <v>490</v>
      </c>
      <c r="T205">
        <v>6</v>
      </c>
      <c r="U205" t="s">
        <v>89</v>
      </c>
    </row>
    <row r="206" spans="1:22" outlineLevel="2" x14ac:dyDescent="0.25">
      <c r="A206" t="s">
        <v>82</v>
      </c>
      <c r="B206" t="s">
        <v>83</v>
      </c>
      <c r="C206">
        <v>30</v>
      </c>
      <c r="D206" t="s">
        <v>84</v>
      </c>
      <c r="E206">
        <v>184</v>
      </c>
      <c r="F206" t="s">
        <v>85</v>
      </c>
      <c r="G206">
        <v>8673</v>
      </c>
      <c r="H206" t="s">
        <v>51</v>
      </c>
      <c r="I206">
        <v>1000008673</v>
      </c>
      <c r="J206">
        <v>28812041</v>
      </c>
      <c r="K206" t="s">
        <v>178</v>
      </c>
      <c r="L206" t="s">
        <v>87</v>
      </c>
      <c r="M206" t="s">
        <v>88</v>
      </c>
      <c r="N206">
        <v>79.5</v>
      </c>
      <c r="O206">
        <v>14.22</v>
      </c>
      <c r="P206">
        <v>2.2799999999999998</v>
      </c>
      <c r="Q206">
        <v>4.2561999999999998</v>
      </c>
      <c r="R206">
        <v>0.68100000000000005</v>
      </c>
      <c r="S206" t="s">
        <v>491</v>
      </c>
      <c r="T206">
        <v>6</v>
      </c>
      <c r="U206" t="s">
        <v>89</v>
      </c>
    </row>
    <row r="207" spans="1:22" outlineLevel="2" x14ac:dyDescent="0.25">
      <c r="A207" t="s">
        <v>82</v>
      </c>
      <c r="B207" t="s">
        <v>83</v>
      </c>
      <c r="C207">
        <v>30</v>
      </c>
      <c r="D207" t="s">
        <v>84</v>
      </c>
      <c r="E207">
        <v>184</v>
      </c>
      <c r="F207" t="s">
        <v>85</v>
      </c>
      <c r="G207">
        <v>8673</v>
      </c>
      <c r="H207" t="s">
        <v>51</v>
      </c>
      <c r="I207">
        <v>1000008673</v>
      </c>
      <c r="J207">
        <v>28814929</v>
      </c>
      <c r="K207" t="s">
        <v>213</v>
      </c>
      <c r="L207" t="s">
        <v>87</v>
      </c>
      <c r="M207" t="s">
        <v>88</v>
      </c>
      <c r="N207">
        <v>68.5</v>
      </c>
      <c r="O207">
        <v>14.22</v>
      </c>
      <c r="P207">
        <v>2.2799999999999998</v>
      </c>
      <c r="Q207">
        <v>4.2561999999999998</v>
      </c>
      <c r="R207">
        <v>0.68100000000000005</v>
      </c>
      <c r="S207" t="s">
        <v>492</v>
      </c>
      <c r="T207">
        <v>6</v>
      </c>
      <c r="U207" t="s">
        <v>89</v>
      </c>
    </row>
    <row r="208" spans="1:22" outlineLevel="2" x14ac:dyDescent="0.25">
      <c r="A208" t="s">
        <v>82</v>
      </c>
      <c r="B208" t="s">
        <v>83</v>
      </c>
      <c r="C208">
        <v>30</v>
      </c>
      <c r="D208" t="s">
        <v>84</v>
      </c>
      <c r="E208">
        <v>184</v>
      </c>
      <c r="F208" t="s">
        <v>85</v>
      </c>
      <c r="G208">
        <v>8673</v>
      </c>
      <c r="H208" t="s">
        <v>51</v>
      </c>
      <c r="I208">
        <v>1000008673</v>
      </c>
      <c r="J208">
        <v>28816391</v>
      </c>
      <c r="K208" t="s">
        <v>225</v>
      </c>
      <c r="L208" t="s">
        <v>87</v>
      </c>
      <c r="M208" t="s">
        <v>88</v>
      </c>
      <c r="N208">
        <v>483.5</v>
      </c>
      <c r="O208">
        <v>14.22</v>
      </c>
      <c r="P208">
        <v>2.2799999999999998</v>
      </c>
      <c r="Q208">
        <v>4.2561999999999998</v>
      </c>
      <c r="R208">
        <v>0.68100000000000005</v>
      </c>
      <c r="S208" t="s">
        <v>493</v>
      </c>
      <c r="T208">
        <v>6</v>
      </c>
      <c r="U208" t="s">
        <v>89</v>
      </c>
    </row>
    <row r="209" spans="1:22" outlineLevel="2" x14ac:dyDescent="0.25">
      <c r="A209" t="s">
        <v>82</v>
      </c>
      <c r="B209" t="s">
        <v>83</v>
      </c>
      <c r="C209">
        <v>30</v>
      </c>
      <c r="D209" t="s">
        <v>84</v>
      </c>
      <c r="E209">
        <v>184</v>
      </c>
      <c r="F209" t="s">
        <v>85</v>
      </c>
      <c r="G209">
        <v>8673</v>
      </c>
      <c r="H209" t="s">
        <v>51</v>
      </c>
      <c r="I209">
        <v>1000008673</v>
      </c>
      <c r="J209">
        <v>28817688</v>
      </c>
      <c r="K209" t="s">
        <v>235</v>
      </c>
      <c r="L209" t="s">
        <v>87</v>
      </c>
      <c r="M209" t="s">
        <v>88</v>
      </c>
      <c r="N209">
        <v>44.5</v>
      </c>
      <c r="O209">
        <v>14.22</v>
      </c>
      <c r="P209">
        <v>2.2799999999999998</v>
      </c>
      <c r="Q209">
        <v>4.2561999999999998</v>
      </c>
      <c r="R209">
        <v>0.68100000000000005</v>
      </c>
      <c r="S209" t="s">
        <v>494</v>
      </c>
      <c r="T209">
        <v>6</v>
      </c>
      <c r="U209" t="s">
        <v>89</v>
      </c>
    </row>
    <row r="210" spans="1:22" outlineLevel="1" x14ac:dyDescent="0.25">
      <c r="H210" s="9" t="s">
        <v>547</v>
      </c>
      <c r="N210">
        <f>SUBTOTAL(9,N203:N209)</f>
        <v>1196.5</v>
      </c>
    </row>
    <row r="211" spans="1:22" outlineLevel="2" x14ac:dyDescent="0.25">
      <c r="A211" t="s">
        <v>82</v>
      </c>
      <c r="B211" t="s">
        <v>83</v>
      </c>
      <c r="C211">
        <v>30</v>
      </c>
      <c r="D211" t="s">
        <v>84</v>
      </c>
      <c r="E211">
        <v>184</v>
      </c>
      <c r="F211" t="s">
        <v>85</v>
      </c>
      <c r="G211">
        <v>8676</v>
      </c>
      <c r="H211" t="s">
        <v>54</v>
      </c>
      <c r="I211">
        <v>1000008676</v>
      </c>
      <c r="J211">
        <v>28809997</v>
      </c>
      <c r="K211" t="s">
        <v>147</v>
      </c>
      <c r="L211" t="s">
        <v>87</v>
      </c>
      <c r="M211" t="s">
        <v>88</v>
      </c>
      <c r="N211">
        <v>557.5</v>
      </c>
      <c r="O211">
        <v>14.22</v>
      </c>
      <c r="P211">
        <v>2.2799999999999998</v>
      </c>
      <c r="Q211">
        <v>4.2561999999999998</v>
      </c>
      <c r="R211">
        <v>0.68100000000000005</v>
      </c>
      <c r="S211" t="s">
        <v>495</v>
      </c>
      <c r="T211">
        <v>6</v>
      </c>
      <c r="U211" t="s">
        <v>89</v>
      </c>
    </row>
    <row r="212" spans="1:22" outlineLevel="2" x14ac:dyDescent="0.25">
      <c r="A212" t="s">
        <v>82</v>
      </c>
      <c r="B212" t="s">
        <v>83</v>
      </c>
      <c r="C212">
        <v>30</v>
      </c>
      <c r="D212" t="s">
        <v>84</v>
      </c>
      <c r="E212">
        <v>184</v>
      </c>
      <c r="F212" t="s">
        <v>85</v>
      </c>
      <c r="G212">
        <v>8676</v>
      </c>
      <c r="H212" t="s">
        <v>54</v>
      </c>
      <c r="I212">
        <v>1000008676</v>
      </c>
      <c r="J212">
        <v>28810059</v>
      </c>
      <c r="K212" t="s">
        <v>150</v>
      </c>
      <c r="L212" t="s">
        <v>87</v>
      </c>
      <c r="M212" t="s">
        <v>88</v>
      </c>
      <c r="N212">
        <v>186.5</v>
      </c>
      <c r="O212">
        <v>14.22</v>
      </c>
      <c r="P212">
        <v>2.2799999999999998</v>
      </c>
      <c r="Q212">
        <v>4.2561999999999998</v>
      </c>
      <c r="R212">
        <v>0.68100000000000005</v>
      </c>
      <c r="S212" t="s">
        <v>496</v>
      </c>
      <c r="T212">
        <v>6</v>
      </c>
      <c r="U212" t="s">
        <v>89</v>
      </c>
    </row>
    <row r="213" spans="1:22" outlineLevel="2" x14ac:dyDescent="0.25">
      <c r="A213" t="s">
        <v>82</v>
      </c>
      <c r="B213" t="s">
        <v>83</v>
      </c>
      <c r="C213">
        <v>30</v>
      </c>
      <c r="D213" t="s">
        <v>84</v>
      </c>
      <c r="E213">
        <v>184</v>
      </c>
      <c r="F213" t="s">
        <v>85</v>
      </c>
      <c r="G213">
        <v>8676</v>
      </c>
      <c r="H213" t="s">
        <v>54</v>
      </c>
      <c r="I213">
        <v>1000008676</v>
      </c>
      <c r="J213">
        <v>28810174</v>
      </c>
      <c r="K213" t="s">
        <v>152</v>
      </c>
      <c r="L213" t="s">
        <v>87</v>
      </c>
      <c r="M213" t="s">
        <v>88</v>
      </c>
      <c r="N213">
        <v>187.5</v>
      </c>
      <c r="O213">
        <v>14.22</v>
      </c>
      <c r="P213">
        <v>2.2799999999999998</v>
      </c>
      <c r="Q213">
        <v>4.2561999999999998</v>
      </c>
      <c r="R213">
        <v>0.68100000000000005</v>
      </c>
      <c r="S213" t="s">
        <v>497</v>
      </c>
      <c r="T213">
        <v>6</v>
      </c>
      <c r="U213" t="s">
        <v>89</v>
      </c>
    </row>
    <row r="214" spans="1:22" outlineLevel="2" x14ac:dyDescent="0.25">
      <c r="A214" t="s">
        <v>82</v>
      </c>
      <c r="B214" t="s">
        <v>83</v>
      </c>
      <c r="C214">
        <v>30</v>
      </c>
      <c r="D214" t="s">
        <v>84</v>
      </c>
      <c r="E214">
        <v>184</v>
      </c>
      <c r="F214" t="s">
        <v>85</v>
      </c>
      <c r="G214">
        <v>8676</v>
      </c>
      <c r="H214" t="s">
        <v>54</v>
      </c>
      <c r="I214">
        <v>1000008676</v>
      </c>
      <c r="J214">
        <v>28811245</v>
      </c>
      <c r="K214" t="s">
        <v>168</v>
      </c>
      <c r="L214" t="s">
        <v>87</v>
      </c>
      <c r="M214" t="s">
        <v>88</v>
      </c>
      <c r="N214">
        <v>134.5</v>
      </c>
      <c r="O214">
        <v>14.22</v>
      </c>
      <c r="P214">
        <v>2.2799999999999998</v>
      </c>
      <c r="Q214">
        <v>4.2561999999999998</v>
      </c>
      <c r="R214">
        <v>0.68100000000000005</v>
      </c>
      <c r="S214" t="s">
        <v>498</v>
      </c>
      <c r="T214">
        <v>6</v>
      </c>
      <c r="U214" t="s">
        <v>89</v>
      </c>
    </row>
    <row r="215" spans="1:22" outlineLevel="2" x14ac:dyDescent="0.25">
      <c r="A215" t="s">
        <v>82</v>
      </c>
      <c r="B215" t="s">
        <v>83</v>
      </c>
      <c r="C215">
        <v>30</v>
      </c>
      <c r="D215" t="s">
        <v>84</v>
      </c>
      <c r="E215">
        <v>184</v>
      </c>
      <c r="F215" t="s">
        <v>85</v>
      </c>
      <c r="G215">
        <v>8676</v>
      </c>
      <c r="H215" t="s">
        <v>54</v>
      </c>
      <c r="I215">
        <v>1000008676</v>
      </c>
      <c r="J215">
        <v>28811435</v>
      </c>
      <c r="K215" t="s">
        <v>170</v>
      </c>
      <c r="L215" t="s">
        <v>87</v>
      </c>
      <c r="M215" t="s">
        <v>88</v>
      </c>
      <c r="N215">
        <v>62.5</v>
      </c>
      <c r="O215">
        <v>14.22</v>
      </c>
      <c r="P215">
        <v>2.2799999999999998</v>
      </c>
      <c r="Q215">
        <v>4.2561999999999998</v>
      </c>
      <c r="R215">
        <v>0.68100000000000005</v>
      </c>
      <c r="S215" t="s">
        <v>499</v>
      </c>
      <c r="T215">
        <v>6</v>
      </c>
      <c r="U215" t="s">
        <v>89</v>
      </c>
    </row>
    <row r="216" spans="1:22" outlineLevel="2" x14ac:dyDescent="0.25">
      <c r="A216" t="s">
        <v>82</v>
      </c>
      <c r="B216" t="s">
        <v>83</v>
      </c>
      <c r="C216">
        <v>30</v>
      </c>
      <c r="D216" t="s">
        <v>84</v>
      </c>
      <c r="E216">
        <v>184</v>
      </c>
      <c r="F216" t="s">
        <v>85</v>
      </c>
      <c r="G216">
        <v>8676</v>
      </c>
      <c r="H216" t="s">
        <v>54</v>
      </c>
      <c r="I216">
        <v>1000008676</v>
      </c>
      <c r="J216">
        <v>28817712</v>
      </c>
      <c r="K216" t="s">
        <v>236</v>
      </c>
      <c r="L216" t="s">
        <v>87</v>
      </c>
      <c r="M216" t="s">
        <v>88</v>
      </c>
      <c r="N216">
        <v>161.5</v>
      </c>
      <c r="O216">
        <v>14.22</v>
      </c>
      <c r="P216">
        <v>2.2799999999999998</v>
      </c>
      <c r="Q216">
        <v>4.2561999999999998</v>
      </c>
      <c r="R216">
        <v>0.68100000000000005</v>
      </c>
      <c r="S216" t="s">
        <v>500</v>
      </c>
      <c r="T216">
        <v>6</v>
      </c>
      <c r="U216" t="s">
        <v>89</v>
      </c>
    </row>
    <row r="217" spans="1:22" outlineLevel="2" x14ac:dyDescent="0.25">
      <c r="A217" t="s">
        <v>82</v>
      </c>
      <c r="B217" t="s">
        <v>83</v>
      </c>
      <c r="C217">
        <v>30</v>
      </c>
      <c r="D217" t="s">
        <v>84</v>
      </c>
      <c r="E217">
        <v>184</v>
      </c>
      <c r="F217" t="s">
        <v>85</v>
      </c>
      <c r="G217">
        <v>8676</v>
      </c>
      <c r="H217" t="s">
        <v>54</v>
      </c>
      <c r="I217">
        <v>1000008676</v>
      </c>
      <c r="J217">
        <v>28821108</v>
      </c>
      <c r="K217" t="s">
        <v>272</v>
      </c>
      <c r="L217" t="s">
        <v>87</v>
      </c>
      <c r="M217" t="s">
        <v>88</v>
      </c>
      <c r="N217">
        <v>81.5</v>
      </c>
      <c r="O217">
        <v>14.22</v>
      </c>
      <c r="P217">
        <v>2.2799999999999998</v>
      </c>
      <c r="Q217">
        <v>4.2561999999999998</v>
      </c>
      <c r="R217">
        <v>0.68100000000000005</v>
      </c>
      <c r="S217" t="s">
        <v>501</v>
      </c>
      <c r="T217">
        <v>6</v>
      </c>
      <c r="U217" t="s">
        <v>89</v>
      </c>
    </row>
    <row r="218" spans="1:22" outlineLevel="2" x14ac:dyDescent="0.25">
      <c r="A218" t="s">
        <v>82</v>
      </c>
      <c r="B218" t="s">
        <v>83</v>
      </c>
      <c r="C218">
        <v>30</v>
      </c>
      <c r="D218" t="s">
        <v>84</v>
      </c>
      <c r="E218">
        <v>184</v>
      </c>
      <c r="F218" t="s">
        <v>85</v>
      </c>
      <c r="G218">
        <v>8676</v>
      </c>
      <c r="H218" t="s">
        <v>54</v>
      </c>
      <c r="I218">
        <v>1000008676</v>
      </c>
      <c r="J218">
        <v>28821122</v>
      </c>
      <c r="K218" t="s">
        <v>273</v>
      </c>
      <c r="L218" t="s">
        <v>87</v>
      </c>
      <c r="M218" t="s">
        <v>88</v>
      </c>
      <c r="N218">
        <v>44.5</v>
      </c>
      <c r="O218">
        <v>14.22</v>
      </c>
      <c r="P218">
        <v>2.2799999999999998</v>
      </c>
      <c r="Q218">
        <v>4.2561999999999998</v>
      </c>
      <c r="R218">
        <v>0.68100000000000005</v>
      </c>
      <c r="S218" t="s">
        <v>502</v>
      </c>
      <c r="T218">
        <v>6</v>
      </c>
      <c r="U218" t="s">
        <v>89</v>
      </c>
    </row>
    <row r="219" spans="1:22" outlineLevel="2" x14ac:dyDescent="0.25">
      <c r="A219" t="s">
        <v>82</v>
      </c>
      <c r="B219" t="s">
        <v>83</v>
      </c>
      <c r="C219">
        <v>30</v>
      </c>
      <c r="D219" t="s">
        <v>84</v>
      </c>
      <c r="E219">
        <v>184</v>
      </c>
      <c r="F219" t="s">
        <v>85</v>
      </c>
      <c r="G219">
        <v>8676</v>
      </c>
      <c r="H219" t="s">
        <v>54</v>
      </c>
      <c r="I219">
        <v>1000008676</v>
      </c>
      <c r="J219">
        <v>28822606</v>
      </c>
      <c r="K219" t="s">
        <v>289</v>
      </c>
      <c r="L219" t="s">
        <v>87</v>
      </c>
      <c r="M219" t="s">
        <v>88</v>
      </c>
      <c r="N219">
        <v>82.5</v>
      </c>
      <c r="O219">
        <v>14.22</v>
      </c>
      <c r="P219">
        <v>2.2799999999999998</v>
      </c>
      <c r="Q219">
        <v>4.2561999999999998</v>
      </c>
      <c r="R219">
        <v>0.68100000000000005</v>
      </c>
      <c r="S219" t="s">
        <v>503</v>
      </c>
      <c r="T219">
        <v>6</v>
      </c>
      <c r="U219" t="s">
        <v>89</v>
      </c>
    </row>
    <row r="220" spans="1:22" outlineLevel="2" x14ac:dyDescent="0.25">
      <c r="A220" t="s">
        <v>82</v>
      </c>
      <c r="B220" t="s">
        <v>83</v>
      </c>
      <c r="C220">
        <v>30</v>
      </c>
      <c r="D220" t="s">
        <v>84</v>
      </c>
      <c r="E220">
        <v>184</v>
      </c>
      <c r="F220" t="s">
        <v>85</v>
      </c>
      <c r="G220">
        <v>8676</v>
      </c>
      <c r="H220" t="s">
        <v>54</v>
      </c>
      <c r="I220">
        <v>1000008676</v>
      </c>
      <c r="J220">
        <v>28822650</v>
      </c>
      <c r="K220" t="s">
        <v>290</v>
      </c>
      <c r="L220" t="s">
        <v>87</v>
      </c>
      <c r="M220" t="s">
        <v>88</v>
      </c>
      <c r="N220">
        <v>81.5</v>
      </c>
      <c r="O220">
        <v>14.22</v>
      </c>
      <c r="P220">
        <v>2.2799999999999998</v>
      </c>
      <c r="Q220">
        <v>4.2561999999999998</v>
      </c>
      <c r="R220">
        <v>0.68100000000000005</v>
      </c>
      <c r="S220" t="s">
        <v>504</v>
      </c>
      <c r="T220">
        <v>6</v>
      </c>
      <c r="U220" t="s">
        <v>89</v>
      </c>
    </row>
    <row r="221" spans="1:22" outlineLevel="1" x14ac:dyDescent="0.25">
      <c r="H221" s="9" t="s">
        <v>548</v>
      </c>
      <c r="N221">
        <f>SUBTOTAL(9,N211:N220)</f>
        <v>1580</v>
      </c>
    </row>
    <row r="222" spans="1:22" outlineLevel="2" x14ac:dyDescent="0.25">
      <c r="A222" s="7" t="s">
        <v>82</v>
      </c>
      <c r="B222" s="7" t="s">
        <v>83</v>
      </c>
      <c r="C222" s="7">
        <v>30</v>
      </c>
      <c r="D222" s="7" t="s">
        <v>84</v>
      </c>
      <c r="E222" s="7">
        <v>184</v>
      </c>
      <c r="F222" s="7" t="s">
        <v>85</v>
      </c>
      <c r="G222" s="7">
        <v>9566</v>
      </c>
      <c r="H222" s="7" t="s">
        <v>55</v>
      </c>
      <c r="I222" s="7">
        <v>1000009566</v>
      </c>
      <c r="J222" s="7">
        <v>28808032</v>
      </c>
      <c r="K222" s="7" t="s">
        <v>105</v>
      </c>
      <c r="L222" s="7" t="s">
        <v>87</v>
      </c>
      <c r="M222" s="7" t="s">
        <v>88</v>
      </c>
      <c r="N222" s="7">
        <v>264.5</v>
      </c>
      <c r="O222" s="7">
        <v>14.22</v>
      </c>
      <c r="P222" s="7">
        <v>2.2799999999999998</v>
      </c>
      <c r="Q222" s="7">
        <v>4.2561999999999998</v>
      </c>
      <c r="R222" s="7">
        <v>0.68100000000000005</v>
      </c>
      <c r="S222" s="7" t="s">
        <v>505</v>
      </c>
      <c r="T222" s="7">
        <v>6</v>
      </c>
      <c r="U222" s="7" t="s">
        <v>89</v>
      </c>
      <c r="V222" s="7"/>
    </row>
    <row r="223" spans="1:22" outlineLevel="2" x14ac:dyDescent="0.25">
      <c r="A223" s="7" t="s">
        <v>82</v>
      </c>
      <c r="B223" s="7" t="s">
        <v>83</v>
      </c>
      <c r="C223" s="7">
        <v>30</v>
      </c>
      <c r="D223" s="7" t="s">
        <v>84</v>
      </c>
      <c r="E223" s="7">
        <v>184</v>
      </c>
      <c r="F223" s="7" t="s">
        <v>85</v>
      </c>
      <c r="G223" s="7">
        <v>9566</v>
      </c>
      <c r="H223" s="7" t="s">
        <v>55</v>
      </c>
      <c r="I223" s="7">
        <v>1000009566</v>
      </c>
      <c r="J223" s="7">
        <v>28810486</v>
      </c>
      <c r="K223" s="7" t="s">
        <v>158</v>
      </c>
      <c r="L223" s="7" t="s">
        <v>87</v>
      </c>
      <c r="M223" s="7" t="s">
        <v>88</v>
      </c>
      <c r="N223" s="7">
        <v>146.5</v>
      </c>
      <c r="O223" s="7">
        <v>14.22</v>
      </c>
      <c r="P223" s="7">
        <v>2.2799999999999998</v>
      </c>
      <c r="Q223" s="7">
        <v>4.2561999999999998</v>
      </c>
      <c r="R223" s="7">
        <v>0.68100000000000005</v>
      </c>
      <c r="S223" s="7" t="s">
        <v>506</v>
      </c>
      <c r="T223" s="7">
        <v>6</v>
      </c>
      <c r="U223" s="7" t="s">
        <v>89</v>
      </c>
      <c r="V223" s="7"/>
    </row>
    <row r="224" spans="1:22" outlineLevel="2" x14ac:dyDescent="0.25">
      <c r="A224" s="7" t="s">
        <v>82</v>
      </c>
      <c r="B224" s="7" t="s">
        <v>83</v>
      </c>
      <c r="C224" s="7">
        <v>30</v>
      </c>
      <c r="D224" s="7" t="s">
        <v>84</v>
      </c>
      <c r="E224" s="7">
        <v>184</v>
      </c>
      <c r="F224" s="7" t="s">
        <v>85</v>
      </c>
      <c r="G224" s="7">
        <v>9566</v>
      </c>
      <c r="H224" s="7" t="s">
        <v>55</v>
      </c>
      <c r="I224" s="7">
        <v>1000009566</v>
      </c>
      <c r="J224" s="7">
        <v>28813019</v>
      </c>
      <c r="K224" s="7" t="s">
        <v>195</v>
      </c>
      <c r="L224" s="7" t="s">
        <v>87</v>
      </c>
      <c r="M224" s="7" t="s">
        <v>88</v>
      </c>
      <c r="N224" s="7">
        <v>116.5</v>
      </c>
      <c r="O224" s="7">
        <v>14.22</v>
      </c>
      <c r="P224" s="7">
        <v>2.2799999999999998</v>
      </c>
      <c r="Q224" s="7">
        <v>4.2561999999999998</v>
      </c>
      <c r="R224" s="7">
        <v>0.68100000000000005</v>
      </c>
      <c r="S224" s="7" t="s">
        <v>507</v>
      </c>
      <c r="T224" s="7">
        <v>6</v>
      </c>
      <c r="U224" s="7" t="s">
        <v>89</v>
      </c>
      <c r="V224" s="7"/>
    </row>
    <row r="225" spans="1:22" outlineLevel="2" x14ac:dyDescent="0.25">
      <c r="A225" s="7" t="s">
        <v>82</v>
      </c>
      <c r="B225" s="7" t="s">
        <v>83</v>
      </c>
      <c r="C225" s="7">
        <v>30</v>
      </c>
      <c r="D225" s="7" t="s">
        <v>84</v>
      </c>
      <c r="E225" s="7">
        <v>184</v>
      </c>
      <c r="F225" s="7" t="s">
        <v>85</v>
      </c>
      <c r="G225" s="7">
        <v>9566</v>
      </c>
      <c r="H225" s="7" t="s">
        <v>55</v>
      </c>
      <c r="I225" s="7">
        <v>1000009566</v>
      </c>
      <c r="J225" s="7">
        <v>28813081</v>
      </c>
      <c r="K225" s="7" t="s">
        <v>196</v>
      </c>
      <c r="L225" s="7" t="s">
        <v>87</v>
      </c>
      <c r="M225" s="7" t="s">
        <v>88</v>
      </c>
      <c r="N225" s="7">
        <v>134.5</v>
      </c>
      <c r="O225" s="7">
        <v>14.22</v>
      </c>
      <c r="P225" s="7">
        <v>2.2799999999999998</v>
      </c>
      <c r="Q225" s="7">
        <v>4.2561999999999998</v>
      </c>
      <c r="R225" s="7">
        <v>0.68100000000000005</v>
      </c>
      <c r="S225" s="7" t="s">
        <v>508</v>
      </c>
      <c r="T225" s="7">
        <v>6</v>
      </c>
      <c r="U225" s="7" t="s">
        <v>89</v>
      </c>
      <c r="V225" s="7"/>
    </row>
    <row r="226" spans="1:22" outlineLevel="2" x14ac:dyDescent="0.25">
      <c r="A226" s="7" t="s">
        <v>82</v>
      </c>
      <c r="B226" s="7" t="s">
        <v>83</v>
      </c>
      <c r="C226" s="7">
        <v>30</v>
      </c>
      <c r="D226" s="7" t="s">
        <v>84</v>
      </c>
      <c r="E226" s="7">
        <v>184</v>
      </c>
      <c r="F226" s="7" t="s">
        <v>85</v>
      </c>
      <c r="G226" s="7">
        <v>9566</v>
      </c>
      <c r="H226" s="7" t="s">
        <v>55</v>
      </c>
      <c r="I226" s="7">
        <v>1000009566</v>
      </c>
      <c r="J226" s="7">
        <v>28813200</v>
      </c>
      <c r="K226" s="7" t="s">
        <v>199</v>
      </c>
      <c r="L226" s="7" t="s">
        <v>87</v>
      </c>
      <c r="M226" s="7" t="s">
        <v>88</v>
      </c>
      <c r="N226" s="7">
        <v>95.5</v>
      </c>
      <c r="O226" s="7">
        <v>14.22</v>
      </c>
      <c r="P226" s="7">
        <v>2.2799999999999998</v>
      </c>
      <c r="Q226" s="7">
        <v>4.2561999999999998</v>
      </c>
      <c r="R226" s="7">
        <v>0.68100000000000005</v>
      </c>
      <c r="S226" s="7" t="s">
        <v>509</v>
      </c>
      <c r="T226" s="7">
        <v>6</v>
      </c>
      <c r="U226" s="7" t="s">
        <v>89</v>
      </c>
      <c r="V226" s="7"/>
    </row>
    <row r="227" spans="1:22" outlineLevel="2" x14ac:dyDescent="0.25">
      <c r="A227" s="7" t="s">
        <v>82</v>
      </c>
      <c r="B227" s="7" t="s">
        <v>83</v>
      </c>
      <c r="C227" s="7">
        <v>30</v>
      </c>
      <c r="D227" s="7" t="s">
        <v>84</v>
      </c>
      <c r="E227" s="7">
        <v>184</v>
      </c>
      <c r="F227" s="7" t="s">
        <v>85</v>
      </c>
      <c r="G227" s="7">
        <v>9566</v>
      </c>
      <c r="H227" s="7" t="s">
        <v>55</v>
      </c>
      <c r="I227" s="7">
        <v>1000009566</v>
      </c>
      <c r="J227" s="7">
        <v>28813493</v>
      </c>
      <c r="K227" s="7" t="s">
        <v>202</v>
      </c>
      <c r="L227" s="7" t="s">
        <v>87</v>
      </c>
      <c r="M227" s="7" t="s">
        <v>88</v>
      </c>
      <c r="N227" s="7">
        <v>1315.5</v>
      </c>
      <c r="O227" s="7">
        <v>14.22</v>
      </c>
      <c r="P227" s="7">
        <v>2.2799999999999998</v>
      </c>
      <c r="Q227" s="7">
        <v>4.2561999999999998</v>
      </c>
      <c r="R227" s="7">
        <v>0.68100000000000005</v>
      </c>
      <c r="S227" s="7" t="s">
        <v>510</v>
      </c>
      <c r="T227" s="7">
        <v>6</v>
      </c>
      <c r="U227" s="7" t="s">
        <v>89</v>
      </c>
      <c r="V227" s="7"/>
    </row>
    <row r="228" spans="1:22" outlineLevel="2" x14ac:dyDescent="0.25">
      <c r="A228" s="7" t="s">
        <v>82</v>
      </c>
      <c r="B228" s="7" t="s">
        <v>83</v>
      </c>
      <c r="C228" s="7">
        <v>30</v>
      </c>
      <c r="D228" s="7" t="s">
        <v>84</v>
      </c>
      <c r="E228" s="7">
        <v>184</v>
      </c>
      <c r="F228" s="7" t="s">
        <v>85</v>
      </c>
      <c r="G228" s="7">
        <v>9566</v>
      </c>
      <c r="H228" s="7" t="s">
        <v>55</v>
      </c>
      <c r="I228" s="7">
        <v>1000009566</v>
      </c>
      <c r="J228" s="7">
        <v>28820849</v>
      </c>
      <c r="K228" s="7" t="s">
        <v>271</v>
      </c>
      <c r="L228" s="7" t="s">
        <v>87</v>
      </c>
      <c r="M228" s="7" t="s">
        <v>88</v>
      </c>
      <c r="N228" s="7">
        <v>142.5</v>
      </c>
      <c r="O228" s="7">
        <v>14.22</v>
      </c>
      <c r="P228" s="7">
        <v>2.2799999999999998</v>
      </c>
      <c r="Q228" s="7">
        <v>4.2561999999999998</v>
      </c>
      <c r="R228" s="7">
        <v>0.68100000000000005</v>
      </c>
      <c r="S228" s="7" t="s">
        <v>511</v>
      </c>
      <c r="T228" s="7">
        <v>6</v>
      </c>
      <c r="U228" s="7" t="s">
        <v>89</v>
      </c>
      <c r="V228" s="7"/>
    </row>
    <row r="229" spans="1:22" outlineLevel="2" x14ac:dyDescent="0.25">
      <c r="A229" s="7" t="s">
        <v>82</v>
      </c>
      <c r="B229" s="7" t="s">
        <v>83</v>
      </c>
      <c r="C229" s="7">
        <v>30</v>
      </c>
      <c r="D229" s="7" t="s">
        <v>84</v>
      </c>
      <c r="E229" s="7">
        <v>184</v>
      </c>
      <c r="F229" s="7" t="s">
        <v>85</v>
      </c>
      <c r="G229" s="7">
        <v>9566</v>
      </c>
      <c r="H229" s="7" t="s">
        <v>55</v>
      </c>
      <c r="I229" s="7">
        <v>1000009566</v>
      </c>
      <c r="J229" s="7">
        <v>28821560</v>
      </c>
      <c r="K229" s="7" t="s">
        <v>278</v>
      </c>
      <c r="L229" s="7" t="s">
        <v>87</v>
      </c>
      <c r="M229" s="7" t="s">
        <v>88</v>
      </c>
      <c r="N229" s="7">
        <v>153.5</v>
      </c>
      <c r="O229" s="7">
        <v>14.22</v>
      </c>
      <c r="P229" s="7">
        <v>2.2799999999999998</v>
      </c>
      <c r="Q229" s="7">
        <v>4.2561999999999998</v>
      </c>
      <c r="R229" s="7">
        <v>0.68100000000000005</v>
      </c>
      <c r="S229" s="7" t="s">
        <v>512</v>
      </c>
      <c r="T229" s="7">
        <v>6</v>
      </c>
      <c r="U229" s="7" t="s">
        <v>89</v>
      </c>
      <c r="V229" s="7"/>
    </row>
    <row r="230" spans="1:22" outlineLevel="2" x14ac:dyDescent="0.25">
      <c r="A230" s="7" t="s">
        <v>82</v>
      </c>
      <c r="B230" s="7" t="s">
        <v>83</v>
      </c>
      <c r="C230" s="7">
        <v>30</v>
      </c>
      <c r="D230" s="7" t="s">
        <v>84</v>
      </c>
      <c r="E230" s="7">
        <v>184</v>
      </c>
      <c r="F230" s="7" t="s">
        <v>85</v>
      </c>
      <c r="G230" s="7">
        <v>9566</v>
      </c>
      <c r="H230" s="7" t="s">
        <v>55</v>
      </c>
      <c r="I230" s="7">
        <v>1000009566</v>
      </c>
      <c r="J230" s="7">
        <v>28822314</v>
      </c>
      <c r="K230" s="7" t="s">
        <v>284</v>
      </c>
      <c r="L230" s="7" t="s">
        <v>87</v>
      </c>
      <c r="M230" s="7" t="s">
        <v>88</v>
      </c>
      <c r="N230" s="7">
        <v>46.5</v>
      </c>
      <c r="O230" s="7">
        <v>14.22</v>
      </c>
      <c r="P230" s="7">
        <v>2.2799999999999998</v>
      </c>
      <c r="Q230" s="7">
        <v>4.2561999999999998</v>
      </c>
      <c r="R230" s="7">
        <v>0.68100000000000005</v>
      </c>
      <c r="S230" s="7" t="s">
        <v>513</v>
      </c>
      <c r="T230" s="7">
        <v>6</v>
      </c>
      <c r="U230" s="7" t="s">
        <v>89</v>
      </c>
      <c r="V230" s="7"/>
    </row>
    <row r="231" spans="1:22" outlineLevel="2" x14ac:dyDescent="0.25">
      <c r="A231" s="7" t="s">
        <v>82</v>
      </c>
      <c r="B231" s="7" t="s">
        <v>83</v>
      </c>
      <c r="C231" s="7">
        <v>30</v>
      </c>
      <c r="D231" s="7" t="s">
        <v>84</v>
      </c>
      <c r="E231" s="7">
        <v>184</v>
      </c>
      <c r="F231" s="7" t="s">
        <v>85</v>
      </c>
      <c r="G231" s="7">
        <v>9566</v>
      </c>
      <c r="H231" s="7" t="s">
        <v>55</v>
      </c>
      <c r="I231" s="7">
        <v>1000009566</v>
      </c>
      <c r="J231" s="7">
        <v>28822358</v>
      </c>
      <c r="K231" s="7" t="s">
        <v>286</v>
      </c>
      <c r="L231" s="7" t="s">
        <v>87</v>
      </c>
      <c r="M231" s="7" t="s">
        <v>88</v>
      </c>
      <c r="N231" s="7">
        <v>100.5</v>
      </c>
      <c r="O231" s="7">
        <v>14.22</v>
      </c>
      <c r="P231" s="7">
        <v>2.2799999999999998</v>
      </c>
      <c r="Q231" s="7">
        <v>4.2561999999999998</v>
      </c>
      <c r="R231" s="7">
        <v>0.68100000000000005</v>
      </c>
      <c r="S231" s="7" t="s">
        <v>514</v>
      </c>
      <c r="T231" s="7">
        <v>6</v>
      </c>
      <c r="U231" s="7" t="s">
        <v>89</v>
      </c>
      <c r="V231" s="7"/>
    </row>
    <row r="232" spans="1:22" outlineLevel="2" x14ac:dyDescent="0.25">
      <c r="A232" s="7" t="s">
        <v>82</v>
      </c>
      <c r="B232" s="7" t="s">
        <v>83</v>
      </c>
      <c r="C232" s="7">
        <v>30</v>
      </c>
      <c r="D232" s="7" t="s">
        <v>84</v>
      </c>
      <c r="E232" s="7">
        <v>184</v>
      </c>
      <c r="F232" s="7" t="s">
        <v>85</v>
      </c>
      <c r="G232" s="7">
        <v>9566</v>
      </c>
      <c r="H232" s="7" t="s">
        <v>55</v>
      </c>
      <c r="I232" s="7">
        <v>1000009566</v>
      </c>
      <c r="J232" s="7">
        <v>28823564</v>
      </c>
      <c r="K232" s="7" t="s">
        <v>298</v>
      </c>
      <c r="L232" s="7" t="s">
        <v>87</v>
      </c>
      <c r="M232" s="7" t="s">
        <v>88</v>
      </c>
      <c r="N232" s="7">
        <v>68.5</v>
      </c>
      <c r="O232" s="7">
        <v>14.22</v>
      </c>
      <c r="P232" s="7">
        <v>2.2799999999999998</v>
      </c>
      <c r="Q232" s="7">
        <v>4.2561999999999998</v>
      </c>
      <c r="R232" s="7">
        <v>0.68100000000000005</v>
      </c>
      <c r="S232" s="7" t="s">
        <v>515</v>
      </c>
      <c r="T232" s="7">
        <v>6</v>
      </c>
      <c r="U232" s="7" t="s">
        <v>89</v>
      </c>
      <c r="V232" s="7"/>
    </row>
    <row r="233" spans="1:22" outlineLevel="2" x14ac:dyDescent="0.25">
      <c r="A233" s="7" t="s">
        <v>82</v>
      </c>
      <c r="B233" s="7" t="s">
        <v>83</v>
      </c>
      <c r="C233" s="7">
        <v>30</v>
      </c>
      <c r="D233" s="7" t="s">
        <v>84</v>
      </c>
      <c r="E233" s="7">
        <v>184</v>
      </c>
      <c r="F233" s="7" t="s">
        <v>85</v>
      </c>
      <c r="G233" s="7">
        <v>9566</v>
      </c>
      <c r="H233" s="7" t="s">
        <v>55</v>
      </c>
      <c r="I233" s="7">
        <v>1000009566</v>
      </c>
      <c r="J233" s="7">
        <v>28824179</v>
      </c>
      <c r="K233" s="7" t="s">
        <v>307</v>
      </c>
      <c r="L233" s="7" t="s">
        <v>87</v>
      </c>
      <c r="M233" s="7" t="s">
        <v>88</v>
      </c>
      <c r="N233" s="7">
        <v>84.5</v>
      </c>
      <c r="O233" s="7">
        <v>14.22</v>
      </c>
      <c r="P233" s="7">
        <v>2.2799999999999998</v>
      </c>
      <c r="Q233" s="7">
        <v>4.2561999999999998</v>
      </c>
      <c r="R233" s="7">
        <v>0.68100000000000005</v>
      </c>
      <c r="S233" s="7" t="s">
        <v>516</v>
      </c>
      <c r="T233" s="7">
        <v>6</v>
      </c>
      <c r="U233" s="7" t="s">
        <v>89</v>
      </c>
      <c r="V233" s="7"/>
    </row>
    <row r="234" spans="1:22" outlineLevel="1" x14ac:dyDescent="0.25">
      <c r="A234" s="7"/>
      <c r="B234" s="7"/>
      <c r="C234" s="7"/>
      <c r="D234" s="7"/>
      <c r="E234" s="7"/>
      <c r="F234" s="7"/>
      <c r="G234" s="7"/>
      <c r="H234" s="11" t="s">
        <v>549</v>
      </c>
      <c r="I234" s="7"/>
      <c r="J234" s="7"/>
      <c r="K234" s="7"/>
      <c r="L234" s="7"/>
      <c r="M234" s="7"/>
      <c r="N234" s="7">
        <f>SUBTOTAL(9,N222:N233)</f>
        <v>2669</v>
      </c>
      <c r="O234" s="7"/>
      <c r="P234" s="7"/>
      <c r="Q234" s="7"/>
      <c r="R234" s="7"/>
      <c r="S234" s="7"/>
      <c r="T234" s="7"/>
      <c r="U234" s="7"/>
      <c r="V234" s="7"/>
    </row>
    <row r="235" spans="1:22" outlineLevel="2" x14ac:dyDescent="0.25">
      <c r="A235" t="s">
        <v>82</v>
      </c>
      <c r="B235" t="s">
        <v>83</v>
      </c>
      <c r="C235">
        <v>30</v>
      </c>
      <c r="D235" t="s">
        <v>84</v>
      </c>
      <c r="E235">
        <v>184</v>
      </c>
      <c r="F235" t="s">
        <v>85</v>
      </c>
      <c r="G235">
        <v>8679</v>
      </c>
      <c r="H235" t="s">
        <v>60</v>
      </c>
      <c r="I235">
        <v>1000008679</v>
      </c>
      <c r="J235">
        <v>28807645</v>
      </c>
      <c r="K235" t="s">
        <v>100</v>
      </c>
      <c r="L235" t="s">
        <v>87</v>
      </c>
      <c r="M235" t="s">
        <v>88</v>
      </c>
      <c r="N235">
        <v>1227.5</v>
      </c>
      <c r="O235">
        <v>14.22</v>
      </c>
      <c r="P235">
        <v>2.2799999999999998</v>
      </c>
      <c r="Q235">
        <v>4.2561999999999998</v>
      </c>
      <c r="R235">
        <v>0.68100000000000005</v>
      </c>
      <c r="S235" t="s">
        <v>517</v>
      </c>
      <c r="T235">
        <v>6</v>
      </c>
      <c r="U235" t="s">
        <v>89</v>
      </c>
    </row>
    <row r="236" spans="1:22" outlineLevel="2" x14ac:dyDescent="0.25">
      <c r="A236" t="s">
        <v>82</v>
      </c>
      <c r="B236" t="s">
        <v>83</v>
      </c>
      <c r="C236">
        <v>30</v>
      </c>
      <c r="D236" t="s">
        <v>84</v>
      </c>
      <c r="E236">
        <v>184</v>
      </c>
      <c r="F236" t="s">
        <v>85</v>
      </c>
      <c r="G236">
        <v>8679</v>
      </c>
      <c r="H236" t="s">
        <v>60</v>
      </c>
      <c r="I236">
        <v>1000008679</v>
      </c>
      <c r="J236">
        <v>28808447</v>
      </c>
      <c r="K236" t="s">
        <v>117</v>
      </c>
      <c r="L236" t="s">
        <v>87</v>
      </c>
      <c r="M236" t="s">
        <v>88</v>
      </c>
      <c r="N236">
        <v>133.5</v>
      </c>
      <c r="O236">
        <v>14.22</v>
      </c>
      <c r="P236">
        <v>2.2799999999999998</v>
      </c>
      <c r="Q236">
        <v>4.2561999999999998</v>
      </c>
      <c r="R236">
        <v>0.68100000000000005</v>
      </c>
      <c r="S236" t="s">
        <v>518</v>
      </c>
      <c r="T236">
        <v>6</v>
      </c>
      <c r="U236" t="s">
        <v>89</v>
      </c>
    </row>
    <row r="237" spans="1:22" outlineLevel="2" x14ac:dyDescent="0.25">
      <c r="A237" t="s">
        <v>82</v>
      </c>
      <c r="B237" t="s">
        <v>83</v>
      </c>
      <c r="C237">
        <v>30</v>
      </c>
      <c r="D237" t="s">
        <v>84</v>
      </c>
      <c r="E237">
        <v>184</v>
      </c>
      <c r="F237" t="s">
        <v>85</v>
      </c>
      <c r="G237">
        <v>8679</v>
      </c>
      <c r="H237" t="s">
        <v>60</v>
      </c>
      <c r="I237">
        <v>1000008679</v>
      </c>
      <c r="J237">
        <v>28812703</v>
      </c>
      <c r="K237" t="s">
        <v>188</v>
      </c>
      <c r="L237" t="s">
        <v>87</v>
      </c>
      <c r="M237" t="s">
        <v>88</v>
      </c>
      <c r="N237">
        <v>183.5</v>
      </c>
      <c r="O237">
        <v>14.22</v>
      </c>
      <c r="P237">
        <v>2.2799999999999998</v>
      </c>
      <c r="Q237">
        <v>4.2561999999999998</v>
      </c>
      <c r="R237">
        <v>0.68100000000000005</v>
      </c>
      <c r="S237" t="s">
        <v>519</v>
      </c>
      <c r="T237">
        <v>6</v>
      </c>
      <c r="U237" t="s">
        <v>89</v>
      </c>
    </row>
    <row r="238" spans="1:22" outlineLevel="2" x14ac:dyDescent="0.25">
      <c r="A238" t="s">
        <v>82</v>
      </c>
      <c r="B238" t="s">
        <v>83</v>
      </c>
      <c r="C238">
        <v>30</v>
      </c>
      <c r="D238" t="s">
        <v>84</v>
      </c>
      <c r="E238">
        <v>184</v>
      </c>
      <c r="F238" t="s">
        <v>85</v>
      </c>
      <c r="G238">
        <v>8679</v>
      </c>
      <c r="H238" t="s">
        <v>60</v>
      </c>
      <c r="I238">
        <v>1000008679</v>
      </c>
      <c r="J238">
        <v>28813882</v>
      </c>
      <c r="K238" t="s">
        <v>206</v>
      </c>
      <c r="L238" t="s">
        <v>87</v>
      </c>
      <c r="M238" t="s">
        <v>88</v>
      </c>
      <c r="N238">
        <v>152.5</v>
      </c>
      <c r="O238">
        <v>14.22</v>
      </c>
      <c r="P238">
        <v>2.2799999999999998</v>
      </c>
      <c r="Q238">
        <v>4.2561999999999998</v>
      </c>
      <c r="R238">
        <v>0.68100000000000005</v>
      </c>
      <c r="S238" t="s">
        <v>520</v>
      </c>
      <c r="T238">
        <v>6</v>
      </c>
      <c r="U238" t="s">
        <v>89</v>
      </c>
    </row>
    <row r="239" spans="1:22" outlineLevel="1" x14ac:dyDescent="0.25">
      <c r="H239" s="9" t="s">
        <v>550</v>
      </c>
      <c r="N239">
        <f>SUBTOTAL(9,N235:N238)</f>
        <v>1697</v>
      </c>
    </row>
    <row r="240" spans="1:22" outlineLevel="2" x14ac:dyDescent="0.25">
      <c r="A240" t="s">
        <v>82</v>
      </c>
      <c r="B240" t="s">
        <v>83</v>
      </c>
      <c r="C240">
        <v>30</v>
      </c>
      <c r="D240" t="s">
        <v>84</v>
      </c>
      <c r="E240">
        <v>184</v>
      </c>
      <c r="F240" t="s">
        <v>85</v>
      </c>
      <c r="G240">
        <v>8683</v>
      </c>
      <c r="H240" t="s">
        <v>66</v>
      </c>
      <c r="I240">
        <v>1000008683</v>
      </c>
      <c r="J240">
        <v>28823657</v>
      </c>
      <c r="K240" t="s">
        <v>300</v>
      </c>
      <c r="L240" t="s">
        <v>87</v>
      </c>
      <c r="M240" t="s">
        <v>88</v>
      </c>
      <c r="N240">
        <v>70.5</v>
      </c>
      <c r="O240">
        <v>14.22</v>
      </c>
      <c r="P240">
        <v>2.2799999999999998</v>
      </c>
      <c r="Q240">
        <v>4.2561999999999998</v>
      </c>
      <c r="R240">
        <v>0.68100000000000005</v>
      </c>
      <c r="S240" t="s">
        <v>521</v>
      </c>
      <c r="T240">
        <v>6</v>
      </c>
      <c r="U240" t="s">
        <v>89</v>
      </c>
    </row>
    <row r="241" spans="1:21" outlineLevel="1" x14ac:dyDescent="0.25">
      <c r="H241" s="9" t="s">
        <v>551</v>
      </c>
      <c r="N241">
        <f>SUBTOTAL(9,N240:N240)</f>
        <v>70.5</v>
      </c>
    </row>
    <row r="242" spans="1:21" outlineLevel="2" x14ac:dyDescent="0.25">
      <c r="A242" t="s">
        <v>82</v>
      </c>
      <c r="B242" t="s">
        <v>83</v>
      </c>
      <c r="C242">
        <v>30</v>
      </c>
      <c r="D242" t="s">
        <v>84</v>
      </c>
      <c r="E242">
        <v>184</v>
      </c>
      <c r="F242" t="s">
        <v>85</v>
      </c>
      <c r="G242">
        <v>9216</v>
      </c>
      <c r="H242" t="s">
        <v>43</v>
      </c>
      <c r="I242">
        <v>1000009216</v>
      </c>
      <c r="J242">
        <v>28812996</v>
      </c>
      <c r="K242" t="s">
        <v>194</v>
      </c>
      <c r="L242" t="s">
        <v>87</v>
      </c>
      <c r="M242" t="s">
        <v>88</v>
      </c>
      <c r="N242">
        <v>103.5</v>
      </c>
      <c r="O242">
        <v>14.22</v>
      </c>
      <c r="P242">
        <v>2.2799999999999998</v>
      </c>
      <c r="Q242">
        <v>4.2561999999999998</v>
      </c>
      <c r="R242">
        <v>0.68100000000000005</v>
      </c>
      <c r="S242" t="s">
        <v>522</v>
      </c>
      <c r="T242">
        <v>6</v>
      </c>
      <c r="U242" t="s">
        <v>89</v>
      </c>
    </row>
    <row r="243" spans="1:21" outlineLevel="2" x14ac:dyDescent="0.25">
      <c r="A243" t="s">
        <v>82</v>
      </c>
      <c r="B243" t="s">
        <v>83</v>
      </c>
      <c r="C243">
        <v>30</v>
      </c>
      <c r="D243" t="s">
        <v>84</v>
      </c>
      <c r="E243">
        <v>184</v>
      </c>
      <c r="F243" t="s">
        <v>85</v>
      </c>
      <c r="G243">
        <v>9216</v>
      </c>
      <c r="H243" t="s">
        <v>43</v>
      </c>
      <c r="I243">
        <v>1000009216</v>
      </c>
      <c r="J243">
        <v>28818698</v>
      </c>
      <c r="K243" t="s">
        <v>244</v>
      </c>
      <c r="L243" t="s">
        <v>87</v>
      </c>
      <c r="M243" t="s">
        <v>88</v>
      </c>
      <c r="N243">
        <v>125.5</v>
      </c>
      <c r="O243">
        <v>14.22</v>
      </c>
      <c r="P243">
        <v>2.2799999999999998</v>
      </c>
      <c r="Q243">
        <v>4.2561999999999998</v>
      </c>
      <c r="R243">
        <v>0.68100000000000005</v>
      </c>
      <c r="S243" t="s">
        <v>523</v>
      </c>
      <c r="T243">
        <v>6</v>
      </c>
      <c r="U243" t="s">
        <v>89</v>
      </c>
    </row>
    <row r="244" spans="1:21" outlineLevel="2" x14ac:dyDescent="0.25">
      <c r="A244" t="s">
        <v>82</v>
      </c>
      <c r="B244" t="s">
        <v>83</v>
      </c>
      <c r="C244">
        <v>30</v>
      </c>
      <c r="D244" t="s">
        <v>84</v>
      </c>
      <c r="E244">
        <v>184</v>
      </c>
      <c r="F244" t="s">
        <v>85</v>
      </c>
      <c r="G244">
        <v>9216</v>
      </c>
      <c r="H244" t="s">
        <v>43</v>
      </c>
      <c r="I244">
        <v>1000009216</v>
      </c>
      <c r="J244">
        <v>28819333</v>
      </c>
      <c r="K244" t="s">
        <v>252</v>
      </c>
      <c r="L244" t="s">
        <v>87</v>
      </c>
      <c r="M244" t="s">
        <v>88</v>
      </c>
      <c r="N244">
        <v>44.5</v>
      </c>
      <c r="O244">
        <v>14.22</v>
      </c>
      <c r="P244">
        <v>2.2799999999999998</v>
      </c>
      <c r="Q244">
        <v>4.2561999999999998</v>
      </c>
      <c r="R244">
        <v>0.68100000000000005</v>
      </c>
      <c r="S244" t="s">
        <v>524</v>
      </c>
      <c r="T244">
        <v>6</v>
      </c>
      <c r="U244" t="s">
        <v>89</v>
      </c>
    </row>
    <row r="245" spans="1:21" outlineLevel="2" x14ac:dyDescent="0.25">
      <c r="A245" t="s">
        <v>82</v>
      </c>
      <c r="B245" t="s">
        <v>83</v>
      </c>
      <c r="C245">
        <v>30</v>
      </c>
      <c r="D245" t="s">
        <v>84</v>
      </c>
      <c r="E245">
        <v>184</v>
      </c>
      <c r="F245" t="s">
        <v>85</v>
      </c>
      <c r="G245">
        <v>9216</v>
      </c>
      <c r="H245" t="s">
        <v>43</v>
      </c>
      <c r="I245">
        <v>1000009216</v>
      </c>
      <c r="J245">
        <v>28819347</v>
      </c>
      <c r="K245" t="s">
        <v>253</v>
      </c>
      <c r="L245" t="s">
        <v>87</v>
      </c>
      <c r="M245" t="s">
        <v>88</v>
      </c>
      <c r="N245">
        <v>94.5</v>
      </c>
      <c r="O245">
        <v>14.22</v>
      </c>
      <c r="P245">
        <v>2.2799999999999998</v>
      </c>
      <c r="Q245">
        <v>4.2561999999999998</v>
      </c>
      <c r="R245">
        <v>0.68100000000000005</v>
      </c>
      <c r="S245" t="s">
        <v>525</v>
      </c>
      <c r="T245">
        <v>6</v>
      </c>
      <c r="U245" t="s">
        <v>89</v>
      </c>
    </row>
    <row r="246" spans="1:21" outlineLevel="1" x14ac:dyDescent="0.25">
      <c r="H246" s="9" t="s">
        <v>552</v>
      </c>
      <c r="N246">
        <f>SUBTOTAL(9,N242:N245)</f>
        <v>368</v>
      </c>
    </row>
    <row r="247" spans="1:21" x14ac:dyDescent="0.25">
      <c r="H247" s="9" t="s">
        <v>553</v>
      </c>
      <c r="N247">
        <f>SUBTOTAL(9,N4:N245)</f>
        <v>43254.5</v>
      </c>
      <c r="Q247">
        <f>COUNT(O3:O246)</f>
        <v>221</v>
      </c>
      <c r="R247">
        <f>Q247*4.94</f>
        <v>1091.74</v>
      </c>
      <c r="S247" s="12">
        <f>N247-R247</f>
        <v>42162.76</v>
      </c>
    </row>
  </sheetData>
  <sortState xmlns:xlrd2="http://schemas.microsoft.com/office/spreadsheetml/2017/richdata2" ref="A4:V245">
    <sortCondition ref="H4:H245"/>
    <sortCondition ref="K4:K245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Sucursales</vt:lpstr>
      <vt:lpstr>Inicio</vt:lpstr>
      <vt:lpstr>08 AGOSTO_Dif_Cobros</vt:lpstr>
      <vt:lpstr>08 AGOSTO_Dif_Conceptos</vt:lpstr>
      <vt:lpstr>03.06.2022</vt:lpstr>
      <vt:lpstr>02.06.2022</vt:lpstr>
      <vt:lpstr>01.06.2022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AUX_SISTEMAS</dc:creator>
  <cp:lastModifiedBy>Oscar Hernandez</cp:lastModifiedBy>
  <cp:lastPrinted>2022-06-03T12:38:23Z</cp:lastPrinted>
  <dcterms:created xsi:type="dcterms:W3CDTF">2022-04-23T15:31:25Z</dcterms:created>
  <dcterms:modified xsi:type="dcterms:W3CDTF">2022-08-10T23:56:58Z</dcterms:modified>
</cp:coreProperties>
</file>
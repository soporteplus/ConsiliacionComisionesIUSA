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f6013373d3e2ef/MACROS/MACROS COMISIONES/"/>
    </mc:Choice>
  </mc:AlternateContent>
  <xr:revisionPtr revIDLastSave="12" documentId="13_ncr:1_{A67EB91E-65C6-44B3-8660-3F968D67541A}" xr6:coauthVersionLast="47" xr6:coauthVersionMax="47" xr10:uidLastSave="{CD77BC81-C58F-41DF-A545-403FEB459341}"/>
  <bookViews>
    <workbookView xWindow="28680" yWindow="-120" windowWidth="29040" windowHeight="15840" firstSheet="2" activeTab="6" xr2:uid="{5CEDCE1B-36F5-41A9-BD0C-66064EFC68FD}"/>
    <workbookView xWindow="28680" yWindow="-120" windowWidth="29040" windowHeight="15840" firstSheet="3" activeTab="4" xr2:uid="{94EF47FF-1ACB-4889-954B-655C193EF5F8}"/>
  </bookViews>
  <sheets>
    <sheet name="Sucursales" sheetId="14" state="hidden" r:id="rId1"/>
    <sheet name="Inicio" sheetId="1" r:id="rId2"/>
    <sheet name="08 AGOSTO_Dif_Cobros" sheetId="509" r:id="rId3"/>
    <sheet name="08 AGOSTO_Dif_Conceptos" sheetId="508" r:id="rId4"/>
    <sheet name="no empatados_10.08.2022" sheetId="936" r:id="rId5"/>
    <sheet name="empatados_10.08.2022" sheetId="935" r:id="rId6"/>
    <sheet name="10.08.2022" sheetId="933" r:id="rId7"/>
    <sheet name="COMISIONES_10.08.2022" sheetId="932" r:id="rId8"/>
    <sheet name="SERVICIOS_10.08.2022" sheetId="931" r:id="rId9"/>
    <sheet name="03.06.2022" sheetId="282" state="hidden" r:id="rId10"/>
    <sheet name="02.06.2022" sheetId="280" state="hidden" r:id="rId11"/>
    <sheet name="01.06.2022" sheetId="278" state="hidden" r:id="rId1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785" i="931" l="1"/>
  <c r="H783" i="931"/>
  <c r="H781" i="931"/>
  <c r="Q692" i="933"/>
  <c r="R692" i="933" s="1"/>
  <c r="G625" i="931"/>
  <c r="G617" i="931"/>
  <c r="G615" i="931"/>
  <c r="G514" i="931"/>
  <c r="G536" i="931" s="1"/>
  <c r="G486" i="931"/>
  <c r="G281" i="931"/>
  <c r="G254" i="931"/>
  <c r="H779" i="931"/>
  <c r="G779" i="931"/>
  <c r="H760" i="931"/>
  <c r="G760" i="931"/>
  <c r="H751" i="931"/>
  <c r="G751" i="931"/>
  <c r="H735" i="931"/>
  <c r="G735" i="931"/>
  <c r="H729" i="931"/>
  <c r="G729" i="931"/>
  <c r="H714" i="931"/>
  <c r="G714" i="931"/>
  <c r="H708" i="931"/>
  <c r="G708" i="931"/>
  <c r="H671" i="931"/>
  <c r="G671" i="931"/>
  <c r="H654" i="931"/>
  <c r="G654" i="931"/>
  <c r="H636" i="931"/>
  <c r="G636" i="931"/>
  <c r="H633" i="931"/>
  <c r="G633" i="931"/>
  <c r="H622" i="931"/>
  <c r="G622" i="931"/>
  <c r="H583" i="931"/>
  <c r="G583" i="931"/>
  <c r="H536" i="931"/>
  <c r="H491" i="931"/>
  <c r="G491" i="931"/>
  <c r="H400" i="931"/>
  <c r="G400" i="931"/>
  <c r="H338" i="931"/>
  <c r="G338" i="931"/>
  <c r="H310" i="931"/>
  <c r="H250" i="931"/>
  <c r="G250" i="931"/>
  <c r="H186" i="931"/>
  <c r="G186" i="931"/>
  <c r="H145" i="931"/>
  <c r="G145" i="931"/>
  <c r="H131" i="931"/>
  <c r="G131" i="931"/>
  <c r="H107" i="931"/>
  <c r="G107" i="931"/>
  <c r="H67" i="931"/>
  <c r="G67" i="931"/>
  <c r="H42" i="931"/>
  <c r="G42" i="931"/>
  <c r="H25" i="931"/>
  <c r="G25" i="931"/>
  <c r="N692" i="933" l="1"/>
  <c r="S692" i="933" s="1"/>
  <c r="I583" i="931"/>
  <c r="G310" i="931"/>
  <c r="I310" i="931" s="1"/>
  <c r="I654" i="931"/>
  <c r="I779" i="931"/>
  <c r="I671" i="931"/>
  <c r="I735" i="931"/>
  <c r="I760" i="931"/>
  <c r="H780" i="931"/>
  <c r="I491" i="931"/>
  <c r="I708" i="931"/>
  <c r="I751" i="931"/>
  <c r="I729" i="931"/>
  <c r="I714" i="931"/>
  <c r="I25" i="931"/>
  <c r="I131" i="931"/>
  <c r="I536" i="931"/>
  <c r="I636" i="931"/>
  <c r="I633" i="931"/>
  <c r="I622" i="931"/>
  <c r="I400" i="931"/>
  <c r="I338" i="931"/>
  <c r="I67" i="931"/>
  <c r="I186" i="931"/>
  <c r="I250" i="931"/>
  <c r="I42" i="931"/>
  <c r="I145" i="931"/>
  <c r="I107" i="931"/>
  <c r="Q62" i="282"/>
  <c r="R62" i="282" s="1"/>
  <c r="N61" i="282"/>
  <c r="N59" i="282"/>
  <c r="N56" i="282"/>
  <c r="N54" i="282"/>
  <c r="N51" i="282"/>
  <c r="N49" i="282"/>
  <c r="N47" i="282"/>
  <c r="N43" i="282"/>
  <c r="N40" i="282"/>
  <c r="N37" i="282"/>
  <c r="N34" i="282"/>
  <c r="N32" i="282"/>
  <c r="N27" i="282"/>
  <c r="N23" i="282"/>
  <c r="N21" i="282"/>
  <c r="N19" i="282"/>
  <c r="N10" i="282"/>
  <c r="N8" i="282"/>
  <c r="Q45" i="280"/>
  <c r="R45" i="280" s="1"/>
  <c r="N44" i="280"/>
  <c r="N41" i="280"/>
  <c r="N39" i="280"/>
  <c r="N36" i="280"/>
  <c r="N32" i="280"/>
  <c r="N28" i="280"/>
  <c r="N26" i="280"/>
  <c r="N24" i="280"/>
  <c r="N22" i="280"/>
  <c r="N20" i="280"/>
  <c r="N18" i="280"/>
  <c r="N15" i="280"/>
  <c r="N13" i="280"/>
  <c r="N8" i="280"/>
  <c r="N5" i="280"/>
  <c r="Q247" i="278"/>
  <c r="R247" i="278" s="1"/>
  <c r="N246" i="278"/>
  <c r="N241" i="278"/>
  <c r="N239" i="278"/>
  <c r="N234" i="278"/>
  <c r="N221" i="278"/>
  <c r="N210" i="278"/>
  <c r="N202" i="278"/>
  <c r="N199" i="278"/>
  <c r="N197" i="278"/>
  <c r="N167" i="278"/>
  <c r="N150" i="278"/>
  <c r="N120" i="278"/>
  <c r="N104" i="278"/>
  <c r="N96" i="278"/>
  <c r="N76" i="278"/>
  <c r="N59" i="278"/>
  <c r="N50" i="278"/>
  <c r="N42" i="278"/>
  <c r="N32" i="278"/>
  <c r="N27" i="278"/>
  <c r="N15" i="278"/>
  <c r="N9" i="278"/>
  <c r="D1" i="1"/>
  <c r="I780" i="931" l="1"/>
  <c r="N247" i="278"/>
  <c r="S247" i="278" s="1"/>
  <c r="N45" i="280"/>
  <c r="S45" i="280" s="1"/>
  <c r="N62" i="282"/>
  <c r="S62" i="28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D42FE2-E6BD-4E75-B1AC-4C74ED94BA6C}" name="Transacciones_Comercializadora Picaros de la Mixteca" type="6" refreshedVersion="0" background="1">
    <textPr prompt="0" sourceFile="D:\SOPORTE\Descargas\Transacciones_Comercializadora Picaros de la Mixteca.csv">
      <textFields>
        <textField/>
      </textFields>
    </textPr>
  </connection>
</connections>
</file>

<file path=xl/sharedStrings.xml><?xml version="1.0" encoding="utf-8"?>
<sst xmlns="http://schemas.openxmlformats.org/spreadsheetml/2006/main" count="21169" uniqueCount="3531">
  <si>
    <t>Comisión</t>
  </si>
  <si>
    <t>Fecha por conciliar:</t>
  </si>
  <si>
    <t>Usuario:</t>
  </si>
  <si>
    <t>Picaros</t>
  </si>
  <si>
    <t>Contraseña:</t>
  </si>
  <si>
    <t>PMIu$a21</t>
  </si>
  <si>
    <t>Dia Inicio:</t>
  </si>
  <si>
    <t>Mes:</t>
  </si>
  <si>
    <t>Año:</t>
  </si>
  <si>
    <t>Dia Fin:</t>
  </si>
  <si>
    <t>Ruta:</t>
  </si>
  <si>
    <t>Archivo MNGR:</t>
  </si>
  <si>
    <t>Archivo IUSA:</t>
  </si>
  <si>
    <t>Transacciones_Comercializadora Picaros de la Mixteca.xls</t>
  </si>
  <si>
    <t>Ubicación Descargas:</t>
  </si>
  <si>
    <t>Hoja IUSA:</t>
  </si>
  <si>
    <t xml:space="preserve">Transacciones_Comercializadora </t>
  </si>
  <si>
    <t>Datos a buscar:</t>
  </si>
  <si>
    <t>Sucursal</t>
  </si>
  <si>
    <t>Fecha</t>
  </si>
  <si>
    <t>RPU</t>
  </si>
  <si>
    <t>Comision_PVenta_Monto</t>
  </si>
  <si>
    <t>Comision_PVenta_Iva</t>
  </si>
  <si>
    <t>Fin Datos a buscar:</t>
  </si>
  <si>
    <t>Ingreso</t>
  </si>
  <si>
    <t>Ubicación IUSA:</t>
  </si>
  <si>
    <t>Venta</t>
  </si>
  <si>
    <t>SUPER PLUS 14</t>
  </si>
  <si>
    <t>SUPER PLUS 16</t>
  </si>
  <si>
    <t>SUPER PLUS 05</t>
  </si>
  <si>
    <t>SUPER PLUS 04</t>
  </si>
  <si>
    <t>SUPER PLUS 06</t>
  </si>
  <si>
    <t>SUPER PLUS 09</t>
  </si>
  <si>
    <t>SUPER PLUS 08</t>
  </si>
  <si>
    <t>SUPER PLUS 22</t>
  </si>
  <si>
    <t>SUPER PLUS 10</t>
  </si>
  <si>
    <t>SUPER PLUS 12</t>
  </si>
  <si>
    <t>SUPER PLUS 03</t>
  </si>
  <si>
    <t>SUPER PLUS 01</t>
  </si>
  <si>
    <t>SUPER PLUS 11</t>
  </si>
  <si>
    <t>SUPER PLUS 02</t>
  </si>
  <si>
    <t>SUPER PLUS 36</t>
  </si>
  <si>
    <t>SUPER PLUS 13</t>
  </si>
  <si>
    <t>SUPER PLUS 40</t>
  </si>
  <si>
    <t>SUPER PLUS 07</t>
  </si>
  <si>
    <t>SUPER PLUS 15</t>
  </si>
  <si>
    <t>SUPER PLUS 17</t>
  </si>
  <si>
    <t>SUPER PLUS 18</t>
  </si>
  <si>
    <t>SUPER PLUS 19</t>
  </si>
  <si>
    <t>SUPER PLUS 20</t>
  </si>
  <si>
    <t>SUPER PLUS 21</t>
  </si>
  <si>
    <t>SUPER PLUS 23</t>
  </si>
  <si>
    <t>SUPER PLUS 24</t>
  </si>
  <si>
    <t>SUPER PLUS 25</t>
  </si>
  <si>
    <t>SUPER PLUS 26</t>
  </si>
  <si>
    <t>SUPER PLUS 27</t>
  </si>
  <si>
    <t>SUPER PLUS 28</t>
  </si>
  <si>
    <t>SUPER PLUS 29</t>
  </si>
  <si>
    <t>SUPER PLUS 30</t>
  </si>
  <si>
    <t>SUPER PLUS 31</t>
  </si>
  <si>
    <t>SUPER PLUS 32</t>
  </si>
  <si>
    <t>SUPER PLUS 33</t>
  </si>
  <si>
    <t>SUPER PLUS 34</t>
  </si>
  <si>
    <t>SUPER PLUS 35</t>
  </si>
  <si>
    <t>SUPER PLUS 37</t>
  </si>
  <si>
    <t>SUPER PLUS 38</t>
  </si>
  <si>
    <t>SUPER PLUS 39</t>
  </si>
  <si>
    <t>Proyecto</t>
  </si>
  <si>
    <t>Id_Cadena_Comercial</t>
  </si>
  <si>
    <t>Cadena_Comercial</t>
  </si>
  <si>
    <t>Id_Franquicia</t>
  </si>
  <si>
    <t>Franquicia</t>
  </si>
  <si>
    <t>Id_Sucursal</t>
  </si>
  <si>
    <t>Identificador_PV</t>
  </si>
  <si>
    <t>Folio</t>
  </si>
  <si>
    <t>Tipo</t>
  </si>
  <si>
    <t>Tipo_Alt</t>
  </si>
  <si>
    <t>Comision_Cobrada_Monto</t>
  </si>
  <si>
    <t>Comision_Cobrada_Iva</t>
  </si>
  <si>
    <t>IdDiv</t>
  </si>
  <si>
    <t>Division</t>
  </si>
  <si>
    <t>CUO</t>
  </si>
  <si>
    <t>Multipagos</t>
  </si>
  <si>
    <t>Energia CFE</t>
  </si>
  <si>
    <t>COMERCIALIZADORA PICAROS DE LA MIXTECA SA DE CV</t>
  </si>
  <si>
    <t>PICAROS DE LA MIXTECA - OAXACA</t>
  </si>
  <si>
    <t>31/05/2022 05:56:30 a. m.</t>
  </si>
  <si>
    <t>PAGO 0422</t>
  </si>
  <si>
    <t>PAGO</t>
  </si>
  <si>
    <t>SURESTE</t>
  </si>
  <si>
    <t>31/05/2022 06:16:57 a. m.</t>
  </si>
  <si>
    <t>31/05/2022 06:51:00 a. m.</t>
  </si>
  <si>
    <t>31/05/2022 06:51:50 a. m.</t>
  </si>
  <si>
    <t>31/05/2022 06:56:33 a. m.</t>
  </si>
  <si>
    <t>31/05/2022 07:08:18 a. m.</t>
  </si>
  <si>
    <t>31/05/2022 07:12:09 a. m.</t>
  </si>
  <si>
    <t>31/05/2022 07:14:39 a. m.</t>
  </si>
  <si>
    <t>31/05/2022 07:16:48 a. m.</t>
  </si>
  <si>
    <t>31/05/2022 07:17:49 a. m.</t>
  </si>
  <si>
    <t>31/05/2022 07:20:26 a. m.</t>
  </si>
  <si>
    <t>31/05/2022 07:20:42 a. m.</t>
  </si>
  <si>
    <t>31/05/2022 07:22:00 a. m.</t>
  </si>
  <si>
    <t>31/05/2022 07:24:54 a. m.</t>
  </si>
  <si>
    <t>31/05/2022 07:25:51 a. m.</t>
  </si>
  <si>
    <t>31/05/2022 07:36:47 a. m.</t>
  </si>
  <si>
    <t>31/05/2022 07:39:24 a. m.</t>
  </si>
  <si>
    <t>31/05/2022 07:40:42 a. m.</t>
  </si>
  <si>
    <t>31/05/2022 07:41:50 a. m.</t>
  </si>
  <si>
    <t>31/05/2022 07:41:57 a. m.</t>
  </si>
  <si>
    <t>31/05/2022 07:42:50 a. m.</t>
  </si>
  <si>
    <t>31/05/2022 07:45:58 a. m.</t>
  </si>
  <si>
    <t>31/05/2022 07:47:11 a. m.</t>
  </si>
  <si>
    <t>31/05/2022 07:49:32 a. m.</t>
  </si>
  <si>
    <t>31/05/2022 07:51:12 a. m.</t>
  </si>
  <si>
    <t>31/05/2022 07:52:07 a. m.</t>
  </si>
  <si>
    <t>31/05/2022 07:53:38 a. m.</t>
  </si>
  <si>
    <t>31/05/2022 07:54:02 a. m.</t>
  </si>
  <si>
    <t>31/05/2022 07:54:40 a. m.</t>
  </si>
  <si>
    <t>31/05/2022 07:55:00 a. m.</t>
  </si>
  <si>
    <t>31/05/2022 07:59:04 a. m.</t>
  </si>
  <si>
    <t>31/05/2022 07:59:25 a. m.</t>
  </si>
  <si>
    <t>31/05/2022 08:02:18 a. m.</t>
  </si>
  <si>
    <t>31/05/2022 08:02:46 a. m.</t>
  </si>
  <si>
    <t>31/05/2022 08:03:51 a. m.</t>
  </si>
  <si>
    <t>31/05/2022 08:04:17 a. m.</t>
  </si>
  <si>
    <t>31/05/2022 08:04:28 a. m.</t>
  </si>
  <si>
    <t>31/05/2022 08:05:22 a. m.</t>
  </si>
  <si>
    <t>31/05/2022 08:06:01 a. m.</t>
  </si>
  <si>
    <t>31/05/2022 08:06:12 a. m.</t>
  </si>
  <si>
    <t>31/05/2022 08:06:27 a. m.</t>
  </si>
  <si>
    <t>31/05/2022 08:10:28 a. m.</t>
  </si>
  <si>
    <t>31/05/2022 08:11:33 a. m.</t>
  </si>
  <si>
    <t>31/05/2022 08:13:09 a. m.</t>
  </si>
  <si>
    <t>31/05/2022 08:15:22 a. m.</t>
  </si>
  <si>
    <t>31/05/2022 08:16:17 a. m.</t>
  </si>
  <si>
    <t>31/05/2022 08:18:06 a. m.</t>
  </si>
  <si>
    <t>31/05/2022 08:19:17 a. m.</t>
  </si>
  <si>
    <t>31/05/2022 08:21:27 a. m.</t>
  </si>
  <si>
    <t>31/05/2022 08:22:04 a. m.</t>
  </si>
  <si>
    <t>31/05/2022 08:23:02 a. m.</t>
  </si>
  <si>
    <t>31/05/2022 08:24:31 a. m.</t>
  </si>
  <si>
    <t>31/05/2022 08:25:37 a. m.</t>
  </si>
  <si>
    <t>31/05/2022 08:28:23 a. m.</t>
  </si>
  <si>
    <t>31/05/2022 08:30:18 a. m.</t>
  </si>
  <si>
    <t>31/05/2022 08:31:45 a. m.</t>
  </si>
  <si>
    <t>31/05/2022 08:32:14 a. m.</t>
  </si>
  <si>
    <t>31/05/2022 08:32:34 a. m.</t>
  </si>
  <si>
    <t>31/05/2022 08:33:17 a. m.</t>
  </si>
  <si>
    <t>31/05/2022 08:33:22 a. m.</t>
  </si>
  <si>
    <t>31/05/2022 08:34:40 a. m.</t>
  </si>
  <si>
    <t>31/05/2022 08:34:54 a. m.</t>
  </si>
  <si>
    <t>31/05/2022 08:36:04 a. m.</t>
  </si>
  <si>
    <t>31/05/2022 08:37:31 a. m.</t>
  </si>
  <si>
    <t>31/05/2022 08:40:10 a. m.</t>
  </si>
  <si>
    <t>31/05/2022 08:41:20 a. m.</t>
  </si>
  <si>
    <t>31/05/2022 08:43:44 a. m.</t>
  </si>
  <si>
    <t>31/05/2022 08:44:15 a. m.</t>
  </si>
  <si>
    <t>31/05/2022 08:45:10 a. m.</t>
  </si>
  <si>
    <t>31/05/2022 08:45:15 a. m.</t>
  </si>
  <si>
    <t>31/05/2022 08:45:52 a. m.</t>
  </si>
  <si>
    <t>31/05/2022 08:47:46 a. m.</t>
  </si>
  <si>
    <t>31/05/2022 08:51:48 a. m.</t>
  </si>
  <si>
    <t>31/05/2022 08:53:14 a. m.</t>
  </si>
  <si>
    <t>31/05/2022 08:54:30 a. m.</t>
  </si>
  <si>
    <t>31/05/2022 08:56:28 a. m.</t>
  </si>
  <si>
    <t>31/05/2022 09:00:19 a. m.</t>
  </si>
  <si>
    <t>31/05/2022 09:04:07 a. m.</t>
  </si>
  <si>
    <t>31/05/2022 09:04:30 a. m.</t>
  </si>
  <si>
    <t>31/05/2022 09:04:35 a. m.</t>
  </si>
  <si>
    <t>31/05/2022 09:05:19 a. m.</t>
  </si>
  <si>
    <t>31/05/2022 09:08:42 a. m.</t>
  </si>
  <si>
    <t>31/05/2022 09:10:21 a. m.</t>
  </si>
  <si>
    <t>31/05/2022 09:10:34 a. m.</t>
  </si>
  <si>
    <t>31/05/2022 09:12:15 a. m.</t>
  </si>
  <si>
    <t>31/05/2022 09:12:41 a. m.</t>
  </si>
  <si>
    <t>31/05/2022 09:12:49 a. m.</t>
  </si>
  <si>
    <t>31/05/2022 09:14:02 a. m.</t>
  </si>
  <si>
    <t>31/05/2022 09:14:50 a. m.</t>
  </si>
  <si>
    <t>31/05/2022 09:21:12 a. m.</t>
  </si>
  <si>
    <t>31/05/2022 09:27:21 a. m.</t>
  </si>
  <si>
    <t>31/05/2022 09:27:42 a. m.</t>
  </si>
  <si>
    <t>31/05/2022 09:28:24 a. m.</t>
  </si>
  <si>
    <t>31/05/2022 09:30:22 a. m.</t>
  </si>
  <si>
    <t>31/05/2022 09:32:03 a. m.</t>
  </si>
  <si>
    <t>31/05/2022 09:32:44 a. m.</t>
  </si>
  <si>
    <t>31/05/2022 09:34:48 a. m.</t>
  </si>
  <si>
    <t>31/05/2022 09:34:54 a. m.</t>
  </si>
  <si>
    <t>31/05/2022 09:36:51 a. m.</t>
  </si>
  <si>
    <t>31/05/2022 09:37:06 a. m.</t>
  </si>
  <si>
    <t>31/05/2022 09:37:11 a. m.</t>
  </si>
  <si>
    <t>31/05/2022 09:38:48 a. m.</t>
  </si>
  <si>
    <t>31/05/2022 09:40:10 a. m.</t>
  </si>
  <si>
    <t>31/05/2022 09:41:07 a. m.</t>
  </si>
  <si>
    <t>31/05/2022 09:44:59 a. m.</t>
  </si>
  <si>
    <t>31/05/2022 09:45:07 a. m.</t>
  </si>
  <si>
    <t>31/05/2022 09:45:37 a. m.</t>
  </si>
  <si>
    <t>31/05/2022 09:47:24 a. m.</t>
  </si>
  <si>
    <t>31/05/2022 09:48:10 a. m.</t>
  </si>
  <si>
    <t>31/05/2022 09:50:14 a. m.</t>
  </si>
  <si>
    <t>31/05/2022 09:51:02 a. m.</t>
  </si>
  <si>
    <t>31/05/2022 09:54:02 a. m.</t>
  </si>
  <si>
    <t>31/05/2022 09:54:22 a. m.</t>
  </si>
  <si>
    <t>31/05/2022 09:58:55 a. m.</t>
  </si>
  <si>
    <t>31/05/2022 10:03:50 a. m.</t>
  </si>
  <si>
    <t>31/05/2022 10:04:45 a. m.</t>
  </si>
  <si>
    <t>31/05/2022 10:06:11 a. m.</t>
  </si>
  <si>
    <t>31/05/2022 10:09:40 a. m.</t>
  </si>
  <si>
    <t>31/05/2022 10:11:15 a. m.</t>
  </si>
  <si>
    <t>31/05/2022 10:12:08 a. m.</t>
  </si>
  <si>
    <t>31/05/2022 10:24:56 a. m.</t>
  </si>
  <si>
    <t>31/05/2022 10:26:22 a. m.</t>
  </si>
  <si>
    <t>31/05/2022 10:29:11 a. m.</t>
  </si>
  <si>
    <t>31/05/2022 10:34:23 a. m.</t>
  </si>
  <si>
    <t>31/05/2022 10:38:22 a. m.</t>
  </si>
  <si>
    <t>31/05/2022 10:39:31 a. m.</t>
  </si>
  <si>
    <t>31/05/2022 10:40:49 a. m.</t>
  </si>
  <si>
    <t>31/05/2022 10:41:46 a. m.</t>
  </si>
  <si>
    <t>31/05/2022 10:42:17 a. m.</t>
  </si>
  <si>
    <t>31/05/2022 10:43:57 a. m.</t>
  </si>
  <si>
    <t>31/05/2022 10:46:23 a. m.</t>
  </si>
  <si>
    <t>31/05/2022 10:57:17 a. m.</t>
  </si>
  <si>
    <t>31/05/2022 11:05:10 a. m.</t>
  </si>
  <si>
    <t>31/05/2022 11:16:42 a. m.</t>
  </si>
  <si>
    <t>31/05/2022 11:22:18 a. m.</t>
  </si>
  <si>
    <t>31/05/2022 11:25:02 a. m.</t>
  </si>
  <si>
    <t>31/05/2022 11:30:58 a. m.</t>
  </si>
  <si>
    <t>31/05/2022 11:38:58 a. m.</t>
  </si>
  <si>
    <t>31/05/2022 11:54:54 a. m.</t>
  </si>
  <si>
    <t>31/05/2022 12:02:36 p. m.</t>
  </si>
  <si>
    <t>31/05/2022 12:11:00 p. m.</t>
  </si>
  <si>
    <t>31/05/2022 12:11:14 p. m.</t>
  </si>
  <si>
    <t>31/05/2022 12:14:12 p. m.</t>
  </si>
  <si>
    <t>31/05/2022 12:17:51 p. m.</t>
  </si>
  <si>
    <t>31/05/2022 12:21:32 p. m.</t>
  </si>
  <si>
    <t>31/05/2022 12:31:58 p. m.</t>
  </si>
  <si>
    <t>31/05/2022 12:34:32 p. m.</t>
  </si>
  <si>
    <t>31/05/2022 12:36:01 p. m.</t>
  </si>
  <si>
    <t>31/05/2022 12:37:15 p. m.</t>
  </si>
  <si>
    <t>31/05/2022 12:37:47 p. m.</t>
  </si>
  <si>
    <t>31/05/2022 12:41:26 p. m.</t>
  </si>
  <si>
    <t>31/05/2022 01:08:37 p. m.</t>
  </si>
  <si>
    <t>31/05/2022 01:11:10 p. m.</t>
  </si>
  <si>
    <t>31/05/2022 01:12:35 p. m.</t>
  </si>
  <si>
    <t>31/05/2022 01:31:46 p. m.</t>
  </si>
  <si>
    <t>31/05/2022 01:37:54 p. m.</t>
  </si>
  <si>
    <t>31/05/2022 01:42:47 p. m.</t>
  </si>
  <si>
    <t>31/05/2022 01:50:18 p. m.</t>
  </si>
  <si>
    <t>31/05/2022 01:52:19 p. m.</t>
  </si>
  <si>
    <t>31/05/2022 02:08:35 p. m.</t>
  </si>
  <si>
    <t>31/05/2022 02:10:45 p. m.</t>
  </si>
  <si>
    <t>31/05/2022 02:12:44 p. m.</t>
  </si>
  <si>
    <t>31/05/2022 02:26:55 p. m.</t>
  </si>
  <si>
    <t>31/05/2022 02:27:00 p. m.</t>
  </si>
  <si>
    <t>31/05/2022 02:28:51 p. m.</t>
  </si>
  <si>
    <t>31/05/2022 02:30:20 p. m.</t>
  </si>
  <si>
    <t>31/05/2022 02:30:47 p. m.</t>
  </si>
  <si>
    <t>31/05/2022 02:37:18 p. m.</t>
  </si>
  <si>
    <t>31/05/2022 02:48:07 p. m.</t>
  </si>
  <si>
    <t>31/05/2022 02:50:52 p. m.</t>
  </si>
  <si>
    <t>31/05/2022 02:52:28 p. m.</t>
  </si>
  <si>
    <t>31/05/2022 02:56:11 p. m.</t>
  </si>
  <si>
    <t>31/05/2022 03:03:28 p. m.</t>
  </si>
  <si>
    <t>31/05/2022 03:09:43 p. m.</t>
  </si>
  <si>
    <t>31/05/2022 03:11:44 p. m.</t>
  </si>
  <si>
    <t>31/05/2022 03:22:03 p. m.</t>
  </si>
  <si>
    <t>31/05/2022 03:27:56 p. m.</t>
  </si>
  <si>
    <t>31/05/2022 03:50:58 p. m.</t>
  </si>
  <si>
    <t>31/05/2022 03:53:12 p. m.</t>
  </si>
  <si>
    <t>31/05/2022 04:25:05 p. m.</t>
  </si>
  <si>
    <t>31/05/2022 04:37:44 p. m.</t>
  </si>
  <si>
    <t>31/05/2022 04:44:59 p. m.</t>
  </si>
  <si>
    <t>31/05/2022 04:45:52 p. m.</t>
  </si>
  <si>
    <t>31/05/2022 05:08:02 p. m.</t>
  </si>
  <si>
    <t>31/05/2022 05:09:25 p. m.</t>
  </si>
  <si>
    <t>31/05/2022 05:10:13 p. m.</t>
  </si>
  <si>
    <t>31/05/2022 05:16:58 p. m.</t>
  </si>
  <si>
    <t>31/05/2022 05:19:49 p. m.</t>
  </si>
  <si>
    <t>31/05/2022 05:23:53 p. m.</t>
  </si>
  <si>
    <t>31/05/2022 05:48:29 p. m.</t>
  </si>
  <si>
    <t>31/05/2022 05:59:49 p. m.</t>
  </si>
  <si>
    <t>31/05/2022 06:15:03 p. m.</t>
  </si>
  <si>
    <t>31/05/2022 06:15:24 p. m.</t>
  </si>
  <si>
    <t>31/05/2022 06:31:06 p. m.</t>
  </si>
  <si>
    <t>31/05/2022 06:32:01 p. m.</t>
  </si>
  <si>
    <t>31/05/2022 06:51:51 p. m.</t>
  </si>
  <si>
    <t>31/05/2022 06:53:04 p. m.</t>
  </si>
  <si>
    <t>31/05/2022 06:54:23 p. m.</t>
  </si>
  <si>
    <t>31/05/2022 06:57:09 p. m.</t>
  </si>
  <si>
    <t>31/05/2022 07:10:17 p. m.</t>
  </si>
  <si>
    <t>31/05/2022 07:13:42 p. m.</t>
  </si>
  <si>
    <t>31/05/2022 07:17:05 p. m.</t>
  </si>
  <si>
    <t>31/05/2022 07:27:32 p. m.</t>
  </si>
  <si>
    <t>31/05/2022 07:28:29 p. m.</t>
  </si>
  <si>
    <t>31/05/2022 07:28:52 p. m.</t>
  </si>
  <si>
    <t>31/05/2022 07:29:45 p. m.</t>
  </si>
  <si>
    <t>31/05/2022 07:33:48 p. m.</t>
  </si>
  <si>
    <t>31/05/2022 07:35:13 p. m.</t>
  </si>
  <si>
    <t>31/05/2022 07:37:46 p. m.</t>
  </si>
  <si>
    <t>31/05/2022 08:22:43 p. m.</t>
  </si>
  <si>
    <t>31/05/2022 08:27:00 p. m.</t>
  </si>
  <si>
    <t>31/05/2022 08:30:48 p. m.</t>
  </si>
  <si>
    <t>31/05/2022 08:35:45 p. m.</t>
  </si>
  <si>
    <t>31/05/2022 08:39:31 p. m.</t>
  </si>
  <si>
    <t>31/05/2022 08:48:40 p. m.</t>
  </si>
  <si>
    <t>31/05/2022 09:02:14 p. m.</t>
  </si>
  <si>
    <t>31/05/2022 09:26:19 p. m.</t>
  </si>
  <si>
    <t>31/05/2022 09:30:16 p. m.</t>
  </si>
  <si>
    <t>31/05/2022 09:30:47 p. m.</t>
  </si>
  <si>
    <t>31/05/2022 10:25:30 p. m.</t>
  </si>
  <si>
    <t>31/05/2022 11:16:07 p. m.</t>
  </si>
  <si>
    <t>E697910500920</t>
  </si>
  <si>
    <t>E697150895171</t>
  </si>
  <si>
    <t>E697020530996</t>
  </si>
  <si>
    <t>E697860800340</t>
  </si>
  <si>
    <t>E697781200094</t>
  </si>
  <si>
    <t>E697050113010</t>
  </si>
  <si>
    <t>E697141184840</t>
  </si>
  <si>
    <t>E697111092436</t>
  </si>
  <si>
    <t>E697140971040</t>
  </si>
  <si>
    <t>E697130880691</t>
  </si>
  <si>
    <t>E697870600012</t>
  </si>
  <si>
    <t>E697710100251</t>
  </si>
  <si>
    <t>E697150693609</t>
  </si>
  <si>
    <t>E697890700102</t>
  </si>
  <si>
    <t>E697750600019</t>
  </si>
  <si>
    <t>E697720900018</t>
  </si>
  <si>
    <t>E697761100361</t>
  </si>
  <si>
    <t>E697101193790</t>
  </si>
  <si>
    <t>E697180811835</t>
  </si>
  <si>
    <t>E697140970086</t>
  </si>
  <si>
    <t>E697021253546</t>
  </si>
  <si>
    <t>E697150494002</t>
  </si>
  <si>
    <t>E697951220583</t>
  </si>
  <si>
    <t>E697980631843</t>
  </si>
  <si>
    <t>E697140386881</t>
  </si>
  <si>
    <t>E697150900477</t>
  </si>
  <si>
    <t>E697880400747</t>
  </si>
  <si>
    <t>E697060220248</t>
  </si>
  <si>
    <t>E697060523313</t>
  </si>
  <si>
    <t>E697080695056</t>
  </si>
  <si>
    <t>E697100795079</t>
  </si>
  <si>
    <t>E697090998014</t>
  </si>
  <si>
    <t>E697940400776</t>
  </si>
  <si>
    <t>E697150990221</t>
  </si>
  <si>
    <t>E697980734839</t>
  </si>
  <si>
    <t>E697050253491</t>
  </si>
  <si>
    <t>E697821000263</t>
  </si>
  <si>
    <t>E697120194454</t>
  </si>
  <si>
    <t>E697100893950</t>
  </si>
  <si>
    <t>E697800300356</t>
  </si>
  <si>
    <t>E697041150344</t>
  </si>
  <si>
    <t>E697770104930</t>
  </si>
  <si>
    <t>E697000832139</t>
  </si>
  <si>
    <t>E697180812734</t>
  </si>
  <si>
    <t>E697110293454</t>
  </si>
  <si>
    <t>E697070251702</t>
  </si>
  <si>
    <t>E697031034281</t>
  </si>
  <si>
    <t>E697100791472</t>
  </si>
  <si>
    <t>E697910400887</t>
  </si>
  <si>
    <t>E697940100071</t>
  </si>
  <si>
    <t>E697030435622</t>
  </si>
  <si>
    <t>E697960820054</t>
  </si>
  <si>
    <t>E697021051188</t>
  </si>
  <si>
    <t>E697000831558</t>
  </si>
  <si>
    <t>E697120591810</t>
  </si>
  <si>
    <t>E697061134795</t>
  </si>
  <si>
    <t>E697940551251</t>
  </si>
  <si>
    <t>E697011251693</t>
  </si>
  <si>
    <t>E697010152292</t>
  </si>
  <si>
    <t>E697991133055</t>
  </si>
  <si>
    <t>E697080236931</t>
  </si>
  <si>
    <t>E697140472761</t>
  </si>
  <si>
    <t>E697131285371</t>
  </si>
  <si>
    <t>E697080693371</t>
  </si>
  <si>
    <t>E697971003775</t>
  </si>
  <si>
    <t>E697820300425</t>
  </si>
  <si>
    <t>E697030230231</t>
  </si>
  <si>
    <t>E697980331751</t>
  </si>
  <si>
    <t>E697780500167</t>
  </si>
  <si>
    <t>E697120190726</t>
  </si>
  <si>
    <t>E697851100521</t>
  </si>
  <si>
    <t>E697060332763</t>
  </si>
  <si>
    <t>E697141083105</t>
  </si>
  <si>
    <t>E697060221902</t>
  </si>
  <si>
    <t>E697141081676</t>
  </si>
  <si>
    <t>E697130682538</t>
  </si>
  <si>
    <t>E697140680339</t>
  </si>
  <si>
    <t>E697910700112</t>
  </si>
  <si>
    <t>E697030930712</t>
  </si>
  <si>
    <t>E697010533911</t>
  </si>
  <si>
    <t>E697030531168</t>
  </si>
  <si>
    <t>E697150396604</t>
  </si>
  <si>
    <t>E697140973115</t>
  </si>
  <si>
    <t>E697870600071</t>
  </si>
  <si>
    <t>E705150980627</t>
  </si>
  <si>
    <t>E697130884351</t>
  </si>
  <si>
    <t>E697151193545</t>
  </si>
  <si>
    <t>E697130880780</t>
  </si>
  <si>
    <t>E697111192279</t>
  </si>
  <si>
    <t>E697930902641</t>
  </si>
  <si>
    <t>E697121093279</t>
  </si>
  <si>
    <t>E697190712941</t>
  </si>
  <si>
    <t>E697970605925</t>
  </si>
  <si>
    <t>E697110597348</t>
  </si>
  <si>
    <t>E697080591706</t>
  </si>
  <si>
    <t>E697150493316</t>
  </si>
  <si>
    <t>E697100191327</t>
  </si>
  <si>
    <t>E697120993616</t>
  </si>
  <si>
    <t>E697140971180</t>
  </si>
  <si>
    <t>E697820300387</t>
  </si>
  <si>
    <t>E697070743672</t>
  </si>
  <si>
    <t>E697060120561</t>
  </si>
  <si>
    <t>E697180511700</t>
  </si>
  <si>
    <t>E697011155805</t>
  </si>
  <si>
    <t>E697940881413</t>
  </si>
  <si>
    <t>E697000930157</t>
  </si>
  <si>
    <t>E697030932812</t>
  </si>
  <si>
    <t>E697860400813</t>
  </si>
  <si>
    <t>E697090995961</t>
  </si>
  <si>
    <t>E697001032128</t>
  </si>
  <si>
    <t>E697040654071</t>
  </si>
  <si>
    <t>E697020833174</t>
  </si>
  <si>
    <t>E697120793625</t>
  </si>
  <si>
    <t>E697100490316</t>
  </si>
  <si>
    <t>E697120798911</t>
  </si>
  <si>
    <t>E697961122342</t>
  </si>
  <si>
    <t>E697010351848</t>
  </si>
  <si>
    <t>E697091298814</t>
  </si>
  <si>
    <t>E697150891567</t>
  </si>
  <si>
    <t>E697000831094</t>
  </si>
  <si>
    <t>E697000332012</t>
  </si>
  <si>
    <t>E697150702268</t>
  </si>
  <si>
    <t>E697101294537</t>
  </si>
  <si>
    <t>E697080592346</t>
  </si>
  <si>
    <t>E697031031886</t>
  </si>
  <si>
    <t>E697101291082</t>
  </si>
  <si>
    <t>E697021151123</t>
  </si>
  <si>
    <t>E697141282191</t>
  </si>
  <si>
    <t>E697060932248</t>
  </si>
  <si>
    <t>E697150895970</t>
  </si>
  <si>
    <t>E697050711189</t>
  </si>
  <si>
    <t>E697180811134</t>
  </si>
  <si>
    <t>E697140384772</t>
  </si>
  <si>
    <t>E697141280563</t>
  </si>
  <si>
    <t>E697141185307</t>
  </si>
  <si>
    <t>E697140973174</t>
  </si>
  <si>
    <t>E697950120364</t>
  </si>
  <si>
    <t>E697150951501</t>
  </si>
  <si>
    <t>E697141082290</t>
  </si>
  <si>
    <t>E697101294308</t>
  </si>
  <si>
    <t>E697020630532</t>
  </si>
  <si>
    <t>E697091296749</t>
  </si>
  <si>
    <t>E697041153416</t>
  </si>
  <si>
    <t>E697131185074</t>
  </si>
  <si>
    <t>E697140585719</t>
  </si>
  <si>
    <t>E697141082320</t>
  </si>
  <si>
    <t>E697140585158</t>
  </si>
  <si>
    <t>E697131281324</t>
  </si>
  <si>
    <t>E697060737631</t>
  </si>
  <si>
    <t>E697090198735</t>
  </si>
  <si>
    <t>E697131183187</t>
  </si>
  <si>
    <t>E697140883124</t>
  </si>
  <si>
    <t>E697140682650</t>
  </si>
  <si>
    <t>E697860700744</t>
  </si>
  <si>
    <t>E697740200021</t>
  </si>
  <si>
    <t>E697870400978</t>
  </si>
  <si>
    <t>E697150593647</t>
  </si>
  <si>
    <t>E697140781615</t>
  </si>
  <si>
    <t>E697130984232</t>
  </si>
  <si>
    <t>E697110398264</t>
  </si>
  <si>
    <t>E697081093513</t>
  </si>
  <si>
    <t>E697031034028</t>
  </si>
  <si>
    <t>E697150293732</t>
  </si>
  <si>
    <t>E697060930954</t>
  </si>
  <si>
    <t>E697110993791</t>
  </si>
  <si>
    <t>E697150592331</t>
  </si>
  <si>
    <t>E697060332623</t>
  </si>
  <si>
    <t>E697080890266</t>
  </si>
  <si>
    <t>E697060123731</t>
  </si>
  <si>
    <t>E697140775194</t>
  </si>
  <si>
    <t>E697111291285</t>
  </si>
  <si>
    <t>E697060737640</t>
  </si>
  <si>
    <t>E697860400325</t>
  </si>
  <si>
    <t>E697130981489</t>
  </si>
  <si>
    <t>E697130981501</t>
  </si>
  <si>
    <t>E697100591864</t>
  </si>
  <si>
    <t>E699110793204</t>
  </si>
  <si>
    <t>E699090573865</t>
  </si>
  <si>
    <t>E699050911601</t>
  </si>
  <si>
    <t>E697011251758</t>
  </si>
  <si>
    <t>E697971203651</t>
  </si>
  <si>
    <t>E697020335387</t>
  </si>
  <si>
    <t>E697950821711</t>
  </si>
  <si>
    <t>E697141183835</t>
  </si>
  <si>
    <t>E697100797853</t>
  </si>
  <si>
    <t>E697060225428</t>
  </si>
  <si>
    <t>E697081091065</t>
  </si>
  <si>
    <t>E697081091901</t>
  </si>
  <si>
    <t>E697931003641</t>
  </si>
  <si>
    <t>E697881100291</t>
  </si>
  <si>
    <t>E697140681033</t>
  </si>
  <si>
    <t>E697020135922</t>
  </si>
  <si>
    <t>E697001034198</t>
  </si>
  <si>
    <t>E697891100524</t>
  </si>
  <si>
    <t>E697800900248</t>
  </si>
  <si>
    <t>E697861100198</t>
  </si>
  <si>
    <t>E697011150641</t>
  </si>
  <si>
    <t>E697051113552</t>
  </si>
  <si>
    <t>E697150701041</t>
  </si>
  <si>
    <t>E697081190861</t>
  </si>
  <si>
    <t>E697980931596</t>
  </si>
  <si>
    <t>E697120292316</t>
  </si>
  <si>
    <t>E697020735938</t>
  </si>
  <si>
    <t>E697050910891</t>
  </si>
  <si>
    <t>E697981231776</t>
  </si>
  <si>
    <t>E697150894752</t>
  </si>
  <si>
    <t>E697860700191</t>
  </si>
  <si>
    <t>E697040950592</t>
  </si>
  <si>
    <t>E697110399503</t>
  </si>
  <si>
    <t>E697841000219</t>
  </si>
  <si>
    <t>E697130882065</t>
  </si>
  <si>
    <t>E705050110579</t>
  </si>
  <si>
    <t>E697081291552</t>
  </si>
  <si>
    <t>E697120704231</t>
  </si>
  <si>
    <t>E697040551353</t>
  </si>
  <si>
    <t>E697871000141</t>
  </si>
  <si>
    <t>E697080794941</t>
  </si>
  <si>
    <t>E697150891460</t>
  </si>
  <si>
    <t>E697060930253</t>
  </si>
  <si>
    <t>E697130480901</t>
  </si>
  <si>
    <t>E697900501162</t>
  </si>
  <si>
    <t>Total SUPER PLUS 01</t>
  </si>
  <si>
    <t>Total SUPER PLUS 02</t>
  </si>
  <si>
    <t>Total SUPER PLUS 03</t>
  </si>
  <si>
    <t>Total SUPER PLUS 04</t>
  </si>
  <si>
    <t>Total SUPER PLUS 05</t>
  </si>
  <si>
    <t>Total SUPER PLUS 06</t>
  </si>
  <si>
    <t>Total SUPER PLUS 07</t>
  </si>
  <si>
    <t>Total SUPER PLUS 08</t>
  </si>
  <si>
    <t>Total SUPER PLUS 09</t>
  </si>
  <si>
    <t>Total SUPER PLUS 10</t>
  </si>
  <si>
    <t>Total SUPER PLUS 11</t>
  </si>
  <si>
    <t>Total SUPER PLUS 12</t>
  </si>
  <si>
    <t>Total SUPER PLUS 13</t>
  </si>
  <si>
    <t>Total SUPER PLUS 14</t>
  </si>
  <si>
    <t>Total SUPER PLUS 19</t>
  </si>
  <si>
    <t>Total SUPER PLUS 21</t>
  </si>
  <si>
    <t>Total SUPER PLUS 23</t>
  </si>
  <si>
    <t>Total SUPER PLUS 26</t>
  </si>
  <si>
    <t>Total SUPER PLUS 27</t>
  </si>
  <si>
    <t>Total SUPER PLUS 32</t>
  </si>
  <si>
    <t>Total SUPER PLUS 39</t>
  </si>
  <si>
    <t>Total SUPER PLUS 40</t>
  </si>
  <si>
    <t>Total general</t>
  </si>
  <si>
    <t>01/06/2022 08:43:17 a. m.</t>
  </si>
  <si>
    <t>01/06/2022 09:27:45 a. m.</t>
  </si>
  <si>
    <t>PAGO 0522</t>
  </si>
  <si>
    <t>01/06/2022 09:40:33 a. m.</t>
  </si>
  <si>
    <t>01/06/2022 09:58:24 a. m.</t>
  </si>
  <si>
    <t>01/06/2022 10:02:02 a. m.</t>
  </si>
  <si>
    <t>01/06/2022 10:35:29 a. m.</t>
  </si>
  <si>
    <t>01/06/2022 10:54:27 a. m.</t>
  </si>
  <si>
    <t>01/06/2022 11:19:36 a. m.</t>
  </si>
  <si>
    <t>01/06/2022 11:45:20 a. m.</t>
  </si>
  <si>
    <t>01/06/2022 11:57:28 a. m.</t>
  </si>
  <si>
    <t>01/06/2022 12:14:56 p. m.</t>
  </si>
  <si>
    <t>01/06/2022 12:28:22 p. m.</t>
  </si>
  <si>
    <t>01/06/2022 01:02:38 p. m.</t>
  </si>
  <si>
    <t>01/06/2022 01:15:49 p. m.</t>
  </si>
  <si>
    <t>01/06/2022 01:49:41 p. m.</t>
  </si>
  <si>
    <t>01/06/2022 02:15:57 p. m.</t>
  </si>
  <si>
    <t>01/06/2022 02:17:18 p. m.</t>
  </si>
  <si>
    <t>01/06/2022 02:20:27 p. m.</t>
  </si>
  <si>
    <t>01/06/2022 03:03:12 p. m.</t>
  </si>
  <si>
    <t>01/06/2022 03:55:19 p. m.</t>
  </si>
  <si>
    <t>01/06/2022 04:59:29 p. m.</t>
  </si>
  <si>
    <t>01/06/2022 05:43:00 p. m.</t>
  </si>
  <si>
    <t>01/06/2022 05:45:47 p. m.</t>
  </si>
  <si>
    <t>01/06/2022 06:18:12 p. m.</t>
  </si>
  <si>
    <t>01/06/2022 07:16:21 p. m.</t>
  </si>
  <si>
    <t>01/06/2022 08:22:20 p. m.</t>
  </si>
  <si>
    <t>E697770700061</t>
  </si>
  <si>
    <t>E697950620260</t>
  </si>
  <si>
    <t>E697180812017</t>
  </si>
  <si>
    <t>E697110595515</t>
  </si>
  <si>
    <t>E697991231821</t>
  </si>
  <si>
    <t>E697770100144</t>
  </si>
  <si>
    <t>E697120891139</t>
  </si>
  <si>
    <t>E697040653083</t>
  </si>
  <si>
    <t>E697130382241</t>
  </si>
  <si>
    <t>E697130788964</t>
  </si>
  <si>
    <t>E697040353110</t>
  </si>
  <si>
    <t>E697011254137</t>
  </si>
  <si>
    <t>E697100795176</t>
  </si>
  <si>
    <t>E697890500847</t>
  </si>
  <si>
    <t>E697141083865</t>
  </si>
  <si>
    <t>E697150490473</t>
  </si>
  <si>
    <t>E697141081897</t>
  </si>
  <si>
    <t>E697071051065</t>
  </si>
  <si>
    <t>E697080454555</t>
  </si>
  <si>
    <t>E697120292022</t>
  </si>
  <si>
    <t>E697131092581</t>
  </si>
  <si>
    <t>E697150491933</t>
  </si>
  <si>
    <t>E697030833733</t>
  </si>
  <si>
    <t>E697141284755</t>
  </si>
  <si>
    <t>E697180912101</t>
  </si>
  <si>
    <t>E697070553105</t>
  </si>
  <si>
    <t>02/06/2022 07:18:07 a. m.</t>
  </si>
  <si>
    <t>02/06/2022 07:52:09 a. m.</t>
  </si>
  <si>
    <t>02/06/2022 08:02:14 a. m.</t>
  </si>
  <si>
    <t>02/06/2022 08:08:41 a. m.</t>
  </si>
  <si>
    <t>02/06/2022 08:10:03 a. m.</t>
  </si>
  <si>
    <t>02/06/2022 09:12:27 a. m.</t>
  </si>
  <si>
    <t>02/06/2022 10:29:02 a. m.</t>
  </si>
  <si>
    <t>02/06/2022 11:49:08 a. m.</t>
  </si>
  <si>
    <t>02/06/2022 11:51:39 a. m.</t>
  </si>
  <si>
    <t>02/06/2022 12:03:51 p. m.</t>
  </si>
  <si>
    <t>02/06/2022 12:13:02 p. m.</t>
  </si>
  <si>
    <t>02/06/2022 01:19:17 p. m.</t>
  </si>
  <si>
    <t>02/06/2022 01:32:37 p. m.</t>
  </si>
  <si>
    <t>02/06/2022 01:43:41 p. m.</t>
  </si>
  <si>
    <t>02/06/2022 01:57:18 p. m.</t>
  </si>
  <si>
    <t>02/06/2022 02:02:04 p. m.</t>
  </si>
  <si>
    <t>02/06/2022 02:04:07 p. m.</t>
  </si>
  <si>
    <t>02/06/2022 02:23:11 p. m.</t>
  </si>
  <si>
    <t>02/06/2022 02:56:46 p. m.</t>
  </si>
  <si>
    <t>02/06/2022 03:28:40 p. m.</t>
  </si>
  <si>
    <t>02/06/2022 03:40:35 p. m.</t>
  </si>
  <si>
    <t>02/06/2022 03:46:50 p. m.</t>
  </si>
  <si>
    <t>02/06/2022 03:48:11 p. m.</t>
  </si>
  <si>
    <t>02/06/2022 03:58:36 p. m.</t>
  </si>
  <si>
    <t>02/06/2022 04:10:25 p. m.</t>
  </si>
  <si>
    <t>02/06/2022 04:17:32 p. m.</t>
  </si>
  <si>
    <t>02/06/2022 05:29:11 p. m.</t>
  </si>
  <si>
    <t>02/06/2022 05:56:40 p. m.</t>
  </si>
  <si>
    <t>02/06/2022 05:59:26 p. m.</t>
  </si>
  <si>
    <t>02/06/2022 06:28:30 p. m.</t>
  </si>
  <si>
    <t>02/06/2022 06:30:51 p. m.</t>
  </si>
  <si>
    <t>02/06/2022 07:37:31 p. m.</t>
  </si>
  <si>
    <t>02/06/2022 07:37:59 p. m.</t>
  </si>
  <si>
    <t>02/06/2022 07:38:54 p. m.</t>
  </si>
  <si>
    <t>02/06/2022 07:40:22 p. m.</t>
  </si>
  <si>
    <t>02/06/2022 07:57:11 p. m.</t>
  </si>
  <si>
    <t>02/06/2022 08:37:17 p. m.</t>
  </si>
  <si>
    <t>02/06/2022 08:43:42 p. m.</t>
  </si>
  <si>
    <t>02/06/2022 09:44:32 p. m.</t>
  </si>
  <si>
    <t>02/06/2022 09:46:00 p. m.</t>
  </si>
  <si>
    <t>E697960121105</t>
  </si>
  <si>
    <t>E697951220567</t>
  </si>
  <si>
    <t>E697901000167</t>
  </si>
  <si>
    <t>E697021154319</t>
  </si>
  <si>
    <t>E697050511074</t>
  </si>
  <si>
    <t>E697000104982</t>
  </si>
  <si>
    <t>E697090996313</t>
  </si>
  <si>
    <t>E697180610465</t>
  </si>
  <si>
    <t>E697931103301</t>
  </si>
  <si>
    <t>E697050112757</t>
  </si>
  <si>
    <t>E697001231848</t>
  </si>
  <si>
    <t>E697081092509</t>
  </si>
  <si>
    <t>E697970305891</t>
  </si>
  <si>
    <t>E697920504940</t>
  </si>
  <si>
    <t>E697981230079</t>
  </si>
  <si>
    <t>E697061134884</t>
  </si>
  <si>
    <t>E697150290598</t>
  </si>
  <si>
    <t>E697000930360</t>
  </si>
  <si>
    <t>E697950521121</t>
  </si>
  <si>
    <t>E697100590621</t>
  </si>
  <si>
    <t>E697841200501</t>
  </si>
  <si>
    <t>E697130381023</t>
  </si>
  <si>
    <t>E697050251013</t>
  </si>
  <si>
    <t>E697090995376</t>
  </si>
  <si>
    <t>E697130481401</t>
  </si>
  <si>
    <t>E697861200150</t>
  </si>
  <si>
    <t>E697120390938</t>
  </si>
  <si>
    <t>E697740500024</t>
  </si>
  <si>
    <t>E697021050025</t>
  </si>
  <si>
    <t>E697771200177</t>
  </si>
  <si>
    <t>E697840700276</t>
  </si>
  <si>
    <t>E697001032586</t>
  </si>
  <si>
    <t>E696850800311</t>
  </si>
  <si>
    <t>E697741200067</t>
  </si>
  <si>
    <t>E697140584925</t>
  </si>
  <si>
    <t>E697070953316</t>
  </si>
  <si>
    <t>E697130881735</t>
  </si>
  <si>
    <t>E697150396752</t>
  </si>
  <si>
    <t>E697040653636</t>
  </si>
  <si>
    <t>E699000101111</t>
  </si>
  <si>
    <t>Total SUPER PLUS 16</t>
  </si>
  <si>
    <t>Total SUPER PLUS 36</t>
  </si>
  <si>
    <t>D:\SOPORTE\Descargas</t>
  </si>
  <si>
    <t>D:\SOPORTE\Descargas\COMISION_IUSA</t>
  </si>
  <si>
    <t>IMPORTE</t>
  </si>
  <si>
    <t>Archivo MNGR_COM:</t>
  </si>
  <si>
    <t>CAJA</t>
  </si>
  <si>
    <t>FECHA</t>
  </si>
  <si>
    <t>HORA</t>
  </si>
  <si>
    <t>VENDEDOR</t>
  </si>
  <si>
    <t>COMENTARIO</t>
  </si>
  <si>
    <t>CONCEPT</t>
  </si>
  <si>
    <t>OBSERVACION</t>
  </si>
  <si>
    <t>ESTATUS</t>
  </si>
  <si>
    <t>FECHA PAGO</t>
  </si>
  <si>
    <t>08 AGOSTO</t>
  </si>
  <si>
    <t>ROSALBA NILA BALBUENA</t>
  </si>
  <si>
    <t>RECIBO VE TV/SKY</t>
  </si>
  <si>
    <t>PIN GOOGLE PLAY</t>
  </si>
  <si>
    <t>FERNANDO BARRAGAN CORTES</t>
  </si>
  <si>
    <t>JUAN JOSE DURAN DEL VALLE</t>
  </si>
  <si>
    <t>GABRIELA MARLEN ROJAS OLEA</t>
  </si>
  <si>
    <t>RECIBO CFE IUSA</t>
  </si>
  <si>
    <t>SANDRA REYES CRUZ</t>
  </si>
  <si>
    <t>FRANCISCA GALINDO GUERRERO</t>
  </si>
  <si>
    <t>COMISION POR RETIRO</t>
  </si>
  <si>
    <t>COMISION</t>
  </si>
  <si>
    <t>ROSALIA PEREZ ORTEGA</t>
  </si>
  <si>
    <t>AZAREL ELIAS RAMIREZ</t>
  </si>
  <si>
    <t>MARLEN CORONEL RUIZ</t>
  </si>
  <si>
    <t>VILMA SOLANO GARCIA</t>
  </si>
  <si>
    <t>JOSE MIGUEL SORIANO CRUZ</t>
  </si>
  <si>
    <t>YENIFER HERNANDEZ MARQUEZ</t>
  </si>
  <si>
    <t>JAIME FLORES CABALLERO</t>
  </si>
  <si>
    <t>SERGIO FELIPE ROJAS MARTINEZ</t>
  </si>
  <si>
    <t>ENCARGADO TEMP 1</t>
  </si>
  <si>
    <t>MARITZA HERNANDEZ MONTES</t>
  </si>
  <si>
    <t>ALBINO LAZARO URAGA GONZALEZ</t>
  </si>
  <si>
    <t>LETICIA ANAHI RUIZ ROJAS</t>
  </si>
  <si>
    <t>YESENIA SIERRA HERRERA</t>
  </si>
  <si>
    <t>MAYRA ORTEGA VELAZQUEZ</t>
  </si>
  <si>
    <t>JUANA ALVAREZ CRUZ</t>
  </si>
  <si>
    <t>JOAQUIN GUADALUPE ARIAS AMACOSTA</t>
  </si>
  <si>
    <t>ITZEL JIMENEZ CORTES</t>
  </si>
  <si>
    <t>ENCARGADO TEMP 3</t>
  </si>
  <si>
    <t>FABIOLA ESPINOSA LUNA</t>
  </si>
  <si>
    <t>ARELY MARTINEZ HERNANDEZ</t>
  </si>
  <si>
    <t>ALEJANDRO MARTINEZ CRUZ</t>
  </si>
  <si>
    <t>MIRNA ALMA MORALES SORIANO</t>
  </si>
  <si>
    <t>GRISELDA GONZALEZ MARTINEZ</t>
  </si>
  <si>
    <t>RAQUEL RIVERO ACEVEDO</t>
  </si>
  <si>
    <t>CAMELIA RIVERA MORALES</t>
  </si>
  <si>
    <t>GABRIELA VAZQUEZ CRUZ</t>
  </si>
  <si>
    <t>AZUCENA MARTINEZ CISNEROS</t>
  </si>
  <si>
    <t>YESENIA MARTINEZ CISNEROS</t>
  </si>
  <si>
    <t>RUTH YARITZI MENDOZA MEZA</t>
  </si>
  <si>
    <t>GUADALUPE BELLO MONTESINOS</t>
  </si>
  <si>
    <t>Caja</t>
  </si>
  <si>
    <t>Hora</t>
  </si>
  <si>
    <t>Vendedor</t>
  </si>
  <si>
    <t>Comentario</t>
  </si>
  <si>
    <t>Concepto</t>
  </si>
  <si>
    <t>PAGO SERVICIO IUSA</t>
  </si>
  <si>
    <t>NumTicket</t>
  </si>
  <si>
    <t>UnidadTotal</t>
  </si>
  <si>
    <t>PAGO 0622</t>
  </si>
  <si>
    <t>PAGO 0722</t>
  </si>
  <si>
    <t>encontrado</t>
  </si>
  <si>
    <t>697140582710</t>
  </si>
  <si>
    <t>E697140582710</t>
  </si>
  <si>
    <t>697001231848</t>
  </si>
  <si>
    <t>697910701046</t>
  </si>
  <si>
    <t>E697910701046</t>
  </si>
  <si>
    <t>697910701054</t>
  </si>
  <si>
    <t>E697910701054</t>
  </si>
  <si>
    <t>697110595515</t>
  </si>
  <si>
    <t>697151193545</t>
  </si>
  <si>
    <t>697060327280</t>
  </si>
  <si>
    <t>E697060327280</t>
  </si>
  <si>
    <t>697931103301</t>
  </si>
  <si>
    <t>697040851365</t>
  </si>
  <si>
    <t>E697040851365</t>
  </si>
  <si>
    <t>697970305808</t>
  </si>
  <si>
    <t>E697970305808</t>
  </si>
  <si>
    <t>697140472761</t>
  </si>
  <si>
    <t>697971003775</t>
  </si>
  <si>
    <t>697130881557</t>
  </si>
  <si>
    <t>E697130881557</t>
  </si>
  <si>
    <t>697050319050</t>
  </si>
  <si>
    <t>E697050319050</t>
  </si>
  <si>
    <t>697080132191</t>
  </si>
  <si>
    <t>E697080132191</t>
  </si>
  <si>
    <t>697860400694</t>
  </si>
  <si>
    <t>E697860400694</t>
  </si>
  <si>
    <t>697890500847</t>
  </si>
  <si>
    <t>697130880780</t>
  </si>
  <si>
    <t>697060220191</t>
  </si>
  <si>
    <t>E697060220191</t>
  </si>
  <si>
    <t>697090497422</t>
  </si>
  <si>
    <t>E697090497422</t>
  </si>
  <si>
    <t>697101294537</t>
  </si>
  <si>
    <t>697940990751</t>
  </si>
  <si>
    <t>E697940990751</t>
  </si>
  <si>
    <t>697120292022</t>
  </si>
  <si>
    <t>697030930321</t>
  </si>
  <si>
    <t>E697030930321</t>
  </si>
  <si>
    <t>697871000141</t>
  </si>
  <si>
    <t>697040551353</t>
  </si>
  <si>
    <t>697040852418</t>
  </si>
  <si>
    <t>E697040852418</t>
  </si>
  <si>
    <t>697970606123</t>
  </si>
  <si>
    <t>E697970606123</t>
  </si>
  <si>
    <t>697010452873</t>
  </si>
  <si>
    <t>E697010452873</t>
  </si>
  <si>
    <t>697840100589</t>
  </si>
  <si>
    <t>E697840100589</t>
  </si>
  <si>
    <t>697140180867</t>
  </si>
  <si>
    <t>E697140180867</t>
  </si>
  <si>
    <t>696920800259</t>
  </si>
  <si>
    <t>E696920800259</t>
  </si>
  <si>
    <t>696871100556</t>
  </si>
  <si>
    <t>E696871100556</t>
  </si>
  <si>
    <t>697850500437</t>
  </si>
  <si>
    <t>E697850500437</t>
  </si>
  <si>
    <t>697920504940</t>
  </si>
  <si>
    <t>697960630506</t>
  </si>
  <si>
    <t>E697960630506</t>
  </si>
  <si>
    <t>697091296749</t>
  </si>
  <si>
    <t>697081092509</t>
  </si>
  <si>
    <t>697140580679</t>
  </si>
  <si>
    <t>E697140580679</t>
  </si>
  <si>
    <t>697090195434</t>
  </si>
  <si>
    <t>E697090195434</t>
  </si>
  <si>
    <t>Caja: 041</t>
  </si>
  <si>
    <t>Caja: 061</t>
  </si>
  <si>
    <t>Caja: 071</t>
  </si>
  <si>
    <t>Caja: 081</t>
  </si>
  <si>
    <t>Caja: 091</t>
  </si>
  <si>
    <t>Caja: 101</t>
  </si>
  <si>
    <t>Caja: 111</t>
  </si>
  <si>
    <t>Caja: 121</t>
  </si>
  <si>
    <t>Caja: 131</t>
  </si>
  <si>
    <t>Caja: 141</t>
  </si>
  <si>
    <t>Caja: 161</t>
  </si>
  <si>
    <t>Caja: 261</t>
  </si>
  <si>
    <t>Caja: 271</t>
  </si>
  <si>
    <t>-</t>
  </si>
  <si>
    <t>IVA</t>
  </si>
  <si>
    <t>Total a pagar</t>
  </si>
  <si>
    <t>Total a pagar (IUSA)</t>
  </si>
  <si>
    <t>09:16:37 a. m.</t>
  </si>
  <si>
    <t>12:11:36 p. m.</t>
  </si>
  <si>
    <t>12:14:18 p. m.</t>
  </si>
  <si>
    <t>01:42:40 p. m.</t>
  </si>
  <si>
    <t>01:44:56 p. m.</t>
  </si>
  <si>
    <t>02:45:27 p. m.</t>
  </si>
  <si>
    <t>06:44:33 p. m.</t>
  </si>
  <si>
    <t>03:53:30 p. m.</t>
  </si>
  <si>
    <t>11:01:31 a. m.</t>
  </si>
  <si>
    <t>11:12:37 a. m.</t>
  </si>
  <si>
    <t>10:15:07 a. m.</t>
  </si>
  <si>
    <t>05:54:08 p. m.</t>
  </si>
  <si>
    <t>05:56:09 p. m.</t>
  </si>
  <si>
    <t>02:49:15 p. m.</t>
  </si>
  <si>
    <t>07:18:01 p. m.</t>
  </si>
  <si>
    <t>09:23:47 p. m.</t>
  </si>
  <si>
    <t>09:25:39 p. m.</t>
  </si>
  <si>
    <t>09:28:11 p. m.</t>
  </si>
  <si>
    <t>10:56:39 a. m.</t>
  </si>
  <si>
    <t>03:19:11 p. m.</t>
  </si>
  <si>
    <t>03:26:11 p. m.</t>
  </si>
  <si>
    <t>11:24:41 a. m.</t>
  </si>
  <si>
    <t>06:09:25 p. m.</t>
  </si>
  <si>
    <t>07:24:55 p. m.</t>
  </si>
  <si>
    <t>10:41:08 a. m.</t>
  </si>
  <si>
    <t>06:05:39 p. m.</t>
  </si>
  <si>
    <t>07:46:49 p. m.</t>
  </si>
  <si>
    <t>07:48:29 p. m.</t>
  </si>
  <si>
    <t>09:54:19 a. m.</t>
  </si>
  <si>
    <t>10:39:39 a. m.</t>
  </si>
  <si>
    <t>01:15:37 p. m.</t>
  </si>
  <si>
    <t>04:47:25 p. m.</t>
  </si>
  <si>
    <t>10:51:42 a. m.</t>
  </si>
  <si>
    <t>10:53:42 a. m.</t>
  </si>
  <si>
    <t>09:55:27 a. m.</t>
  </si>
  <si>
    <t>12:00:32 p. m.</t>
  </si>
  <si>
    <t>02:49:25 p. m.</t>
  </si>
  <si>
    <t>03:24:44 p. m.</t>
  </si>
  <si>
    <t>06:58:53 p. m.</t>
  </si>
  <si>
    <t>IUSA</t>
  </si>
  <si>
    <t>Operador IUSA</t>
  </si>
  <si>
    <t>Manager</t>
  </si>
  <si>
    <t>SUPER PLUS 41</t>
  </si>
  <si>
    <t>SUPER PLUS 61</t>
  </si>
  <si>
    <t>SUPER PLUS 71</t>
  </si>
  <si>
    <t>SUPER PLUS 81</t>
  </si>
  <si>
    <t>SUPER PLUS 91</t>
  </si>
  <si>
    <t>SUPER PLUS 101</t>
  </si>
  <si>
    <t>SUPER PLUS 111</t>
  </si>
  <si>
    <t>SUPER PLUS 121</t>
  </si>
  <si>
    <t>SUPER PLUS 131</t>
  </si>
  <si>
    <t>SUPER PLUS 141</t>
  </si>
  <si>
    <t>SUPER PLUS 161</t>
  </si>
  <si>
    <t>SUPER PLUS 261</t>
  </si>
  <si>
    <t>SUPER PLUS 271</t>
  </si>
  <si>
    <t>FALTA DAR DE BAJA ESTA COMISION</t>
  </si>
  <si>
    <t>MARCELA MENDOZA MORALES</t>
  </si>
  <si>
    <t>NANCY ADRIANA HERRERA VASQUEZ</t>
  </si>
  <si>
    <t>MARIA ESBEIDE GALLEGOS HERNANDEZ</t>
  </si>
  <si>
    <t>EDUARDO DAVID CRUZ MUÑOZ</t>
  </si>
  <si>
    <t>MARIANA CHAVES OSORIO</t>
  </si>
  <si>
    <t>PEDRO GARCIA DIAZ</t>
  </si>
  <si>
    <t>DANIEL BRAULIO FRANCO CRUZ</t>
  </si>
  <si>
    <t>ELIEL BUDAR CEDILLO</t>
  </si>
  <si>
    <t>CARLOS EDUARDO APOLINAR CASTRO</t>
  </si>
  <si>
    <t>JULIO ARMANDO CRUZ CENOBIO</t>
  </si>
  <si>
    <t>ALEXIS RAMIREZ SALAZAR</t>
  </si>
  <si>
    <t>YURIKO SANTIAGO GUERRERO</t>
  </si>
  <si>
    <t>ADAENA LOPEZ ZUÑIGA</t>
  </si>
  <si>
    <t>AVITH GARCIA SANTIAGO</t>
  </si>
  <si>
    <t>09:13:27 a. m.</t>
  </si>
  <si>
    <t>05:41:21 p. m.</t>
  </si>
  <si>
    <t>05:47:30 p. m.</t>
  </si>
  <si>
    <t>10:04:22 p. m.</t>
  </si>
  <si>
    <t>08:33:24 a. m.</t>
  </si>
  <si>
    <t>08:34:23 a. m.</t>
  </si>
  <si>
    <t>08:35:24 a. m.</t>
  </si>
  <si>
    <t>04:49:11 p. m.</t>
  </si>
  <si>
    <t>09:04:19 a. m.</t>
  </si>
  <si>
    <t>09:05:28 a. m.</t>
  </si>
  <si>
    <t>02:16:38 p. m.</t>
  </si>
  <si>
    <t>05:55:14 p. m.</t>
  </si>
  <si>
    <t>06:10:34 p. m.</t>
  </si>
  <si>
    <t>06:26:46 p. m.</t>
  </si>
  <si>
    <t>07:46:02 p. m.</t>
  </si>
  <si>
    <t>08:02:02 p. m.</t>
  </si>
  <si>
    <t>09:01:54 p. m.</t>
  </si>
  <si>
    <t>09:28:42 p. m.</t>
  </si>
  <si>
    <t>06:14:01 p. m.</t>
  </si>
  <si>
    <t>08:31:38 p. m.</t>
  </si>
  <si>
    <t>10:00:35 p. m.</t>
  </si>
  <si>
    <t>11:22:12 a. m.</t>
  </si>
  <si>
    <t>04:21:30 p. m.</t>
  </si>
  <si>
    <t>07:42:35 p. m.</t>
  </si>
  <si>
    <t>07:49:26 p. m.</t>
  </si>
  <si>
    <t>07:45:12 a. m.</t>
  </si>
  <si>
    <t>09:20:17 a. m.</t>
  </si>
  <si>
    <t>09:22:38 a. m.</t>
  </si>
  <si>
    <t>09:24:47 a. m.</t>
  </si>
  <si>
    <t>11:59:32 a. m.</t>
  </si>
  <si>
    <t>12:03:49 p. m.</t>
  </si>
  <si>
    <t>05:19:08 p. m.</t>
  </si>
  <si>
    <t>05:20:56 p. m.</t>
  </si>
  <si>
    <t>05:24:03 p. m.</t>
  </si>
  <si>
    <t>05:49:46 p. m.</t>
  </si>
  <si>
    <t>08:19:19 p. m.</t>
  </si>
  <si>
    <t>08:46:28 p. m.</t>
  </si>
  <si>
    <t>07:15:57 a. m.</t>
  </si>
  <si>
    <t>08:32:17 a. m.</t>
  </si>
  <si>
    <t>09:11:35 a. m.</t>
  </si>
  <si>
    <t>04:24:46 p. m.</t>
  </si>
  <si>
    <t>04:26:34 p. m.</t>
  </si>
  <si>
    <t>05:22:20 p. m.</t>
  </si>
  <si>
    <t>06:34:51 p. m.</t>
  </si>
  <si>
    <t>06:38:17 p. m.</t>
  </si>
  <si>
    <t>06:53:43 p. m.</t>
  </si>
  <si>
    <t>06:56:20 p. m.</t>
  </si>
  <si>
    <t>06:59:08 p. m.</t>
  </si>
  <si>
    <t>09:11:11 p. m.</t>
  </si>
  <si>
    <t>09:25:34 p. m.</t>
  </si>
  <si>
    <t>09:42:37 p. m.</t>
  </si>
  <si>
    <t>09:44:38 p. m.</t>
  </si>
  <si>
    <t>09:50:33 p. m.</t>
  </si>
  <si>
    <t>10:06:55 p. m.</t>
  </si>
  <si>
    <t>10:54:32 p. m.</t>
  </si>
  <si>
    <t>06:48:13 p. m.</t>
  </si>
  <si>
    <t>09:15:53 p. m.</t>
  </si>
  <si>
    <t>11:04:31 p. m.</t>
  </si>
  <si>
    <t>10:38:51 a. m.</t>
  </si>
  <si>
    <t>01:01:52 p. m.</t>
  </si>
  <si>
    <t>03:33:41 p. m.</t>
  </si>
  <si>
    <t>07:56:15 p. m.</t>
  </si>
  <si>
    <t>08:02:46 p. m.</t>
  </si>
  <si>
    <t>10:47:34 p. m.</t>
  </si>
  <si>
    <t>10:27:18 a. m.</t>
  </si>
  <si>
    <t>11:00:56 a. m.</t>
  </si>
  <si>
    <t>11:20:29 a. m.</t>
  </si>
  <si>
    <t>01:06:44 p. m.</t>
  </si>
  <si>
    <t>04:02:34 p. m.</t>
  </si>
  <si>
    <t>05:37:01 p. m.</t>
  </si>
  <si>
    <t>05:51:28 p. m.</t>
  </si>
  <si>
    <t>05:55:23 p. m.</t>
  </si>
  <si>
    <t>05:59:14 p. m.</t>
  </si>
  <si>
    <t>06:17:14 p. m.</t>
  </si>
  <si>
    <t>07:55:32 p. m.</t>
  </si>
  <si>
    <t>08:28:54 p. m.</t>
  </si>
  <si>
    <t>08:55:27 p. m.</t>
  </si>
  <si>
    <t>08:59:49 p. m.</t>
  </si>
  <si>
    <t>09:30:48 p. m.</t>
  </si>
  <si>
    <t>09:37:10 p. m.</t>
  </si>
  <si>
    <t>09:45:26 p. m.</t>
  </si>
  <si>
    <t>09:57:38 p. m.</t>
  </si>
  <si>
    <t>10:54:43 p. m.</t>
  </si>
  <si>
    <t>10:59:16 p. m.</t>
  </si>
  <si>
    <t>07:13:03 a. m.</t>
  </si>
  <si>
    <t>09:16:05 a. m.</t>
  </si>
  <si>
    <t>09:30:56 a. m.</t>
  </si>
  <si>
    <t>09:54:49 a. m.</t>
  </si>
  <si>
    <t>01:01:18 p. m.</t>
  </si>
  <si>
    <t>01:05:16 p. m.</t>
  </si>
  <si>
    <t>03:09:46 p. m.</t>
  </si>
  <si>
    <t>03:13:43 p. m.</t>
  </si>
  <si>
    <t>03:50:27 p. m.</t>
  </si>
  <si>
    <t>08:27:34 a. m.</t>
  </si>
  <si>
    <t>11:39:51 a. m.</t>
  </si>
  <si>
    <t>01:34:38 p. m.</t>
  </si>
  <si>
    <t>05:10:44 p. m.</t>
  </si>
  <si>
    <t>08:45:29 p. m.</t>
  </si>
  <si>
    <t>07:01:33 p. m.</t>
  </si>
  <si>
    <t>03:59:30 p. m.</t>
  </si>
  <si>
    <t>07:02:13 p. m.</t>
  </si>
  <si>
    <t>08:41:51 p. m.</t>
  </si>
  <si>
    <t>05:13:21 p. m.</t>
  </si>
  <si>
    <t>09:21:27 p. m.</t>
  </si>
  <si>
    <t>09:27:18 p. m.</t>
  </si>
  <si>
    <t>09:57:00 a. m.</t>
  </si>
  <si>
    <t>01:22:30 p. m.</t>
  </si>
  <si>
    <t>06:00:48 p. m.</t>
  </si>
  <si>
    <t>07:32:29 p. m.</t>
  </si>
  <si>
    <t>08:55:30 p. m.</t>
  </si>
  <si>
    <t>12:40:02 p. m.</t>
  </si>
  <si>
    <t>10:07:11 p. m.</t>
  </si>
  <si>
    <t>07:41:47 p. m.</t>
  </si>
  <si>
    <t>07:44:01 p. m.</t>
  </si>
  <si>
    <t>09:27:42 a. m.</t>
  </si>
  <si>
    <t>07:56:05 p. m.</t>
  </si>
  <si>
    <t>09:45:33 p. m.</t>
  </si>
  <si>
    <t>10:40:38 p. m.</t>
  </si>
  <si>
    <t>10:44:45 p. m.</t>
  </si>
  <si>
    <t>SUPER PLUS 51</t>
  </si>
  <si>
    <t>SUPER PLUS 191</t>
  </si>
  <si>
    <t>SUPER PLUS 231</t>
  </si>
  <si>
    <t>SUPER PLUS 361</t>
  </si>
  <si>
    <t>SUPER PLUS 391</t>
  </si>
  <si>
    <t>SUPER PLUS 401</t>
  </si>
  <si>
    <t>697950821621</t>
  </si>
  <si>
    <t>E697950821621</t>
  </si>
  <si>
    <t>697140681025</t>
  </si>
  <si>
    <t>E697140681025</t>
  </si>
  <si>
    <t>697150391769</t>
  </si>
  <si>
    <t>E697150391769</t>
  </si>
  <si>
    <t>697140778533</t>
  </si>
  <si>
    <t>E697140778533</t>
  </si>
  <si>
    <t>697141080939</t>
  </si>
  <si>
    <t>E697141080939</t>
  </si>
  <si>
    <t>697141080921</t>
  </si>
  <si>
    <t>E697141080921</t>
  </si>
  <si>
    <t>697140971571</t>
  </si>
  <si>
    <t>E697140971571</t>
  </si>
  <si>
    <t>697970305891</t>
  </si>
  <si>
    <t>697870300400</t>
  </si>
  <si>
    <t>E697870300400</t>
  </si>
  <si>
    <t>697060125709</t>
  </si>
  <si>
    <t>E697060125709</t>
  </si>
  <si>
    <t>697120594606</t>
  </si>
  <si>
    <t>E697120594606</t>
  </si>
  <si>
    <t>697120891643</t>
  </si>
  <si>
    <t>E697120891643</t>
  </si>
  <si>
    <t>697981231776</t>
  </si>
  <si>
    <t>697990833096</t>
  </si>
  <si>
    <t>E697990833096</t>
  </si>
  <si>
    <t>697050310559</t>
  </si>
  <si>
    <t>E697050310559</t>
  </si>
  <si>
    <t>697060331210</t>
  </si>
  <si>
    <t>E697060331210</t>
  </si>
  <si>
    <t>697070451779</t>
  </si>
  <si>
    <t>E697070451779</t>
  </si>
  <si>
    <t>697980231373</t>
  </si>
  <si>
    <t>E697980231373</t>
  </si>
  <si>
    <t>697980131441</t>
  </si>
  <si>
    <t>E697980131441</t>
  </si>
  <si>
    <t>697110390298</t>
  </si>
  <si>
    <t>E697110390298</t>
  </si>
  <si>
    <t>697130480765</t>
  </si>
  <si>
    <t>E697130480765</t>
  </si>
  <si>
    <t>697910900961</t>
  </si>
  <si>
    <t>E697910900961</t>
  </si>
  <si>
    <t>697000104982</t>
  </si>
  <si>
    <t>697010650713</t>
  </si>
  <si>
    <t>E697010650713</t>
  </si>
  <si>
    <t>697040653041</t>
  </si>
  <si>
    <t>E697040653041</t>
  </si>
  <si>
    <t>697000930360</t>
  </si>
  <si>
    <t>697961120978</t>
  </si>
  <si>
    <t>E697961120978</t>
  </si>
  <si>
    <t>697140882144</t>
  </si>
  <si>
    <t>E697140882144</t>
  </si>
  <si>
    <t>697140882136</t>
  </si>
  <si>
    <t>E697140882136</t>
  </si>
  <si>
    <t>697180912526</t>
  </si>
  <si>
    <t>E697180912526</t>
  </si>
  <si>
    <t>697140970167</t>
  </si>
  <si>
    <t>E697140970167</t>
  </si>
  <si>
    <t>697880500300</t>
  </si>
  <si>
    <t>E697880500300</t>
  </si>
  <si>
    <t>697990630772</t>
  </si>
  <si>
    <t>E697990630772</t>
  </si>
  <si>
    <t>697850300322</t>
  </si>
  <si>
    <t>E697850300322</t>
  </si>
  <si>
    <t>697130790942</t>
  </si>
  <si>
    <t>E697130790942</t>
  </si>
  <si>
    <t>697901100561</t>
  </si>
  <si>
    <t>E697901100561</t>
  </si>
  <si>
    <t>697130582118</t>
  </si>
  <si>
    <t>E697130582118</t>
  </si>
  <si>
    <t>697710100561</t>
  </si>
  <si>
    <t>E697710100561</t>
  </si>
  <si>
    <t>697950820366</t>
  </si>
  <si>
    <t>E697950820366</t>
  </si>
  <si>
    <t>697860300738</t>
  </si>
  <si>
    <t>E697860300738</t>
  </si>
  <si>
    <t>697950521121</t>
  </si>
  <si>
    <t>697110690585</t>
  </si>
  <si>
    <t>E697110690585</t>
  </si>
  <si>
    <t>697920305483</t>
  </si>
  <si>
    <t>E697920305483</t>
  </si>
  <si>
    <t>697900600098</t>
  </si>
  <si>
    <t>E697900600098</t>
  </si>
  <si>
    <t>697880100310</t>
  </si>
  <si>
    <t>E697880100310</t>
  </si>
  <si>
    <t>697751100036</t>
  </si>
  <si>
    <t>E697751100036</t>
  </si>
  <si>
    <t>697801200541</t>
  </si>
  <si>
    <t>E697801200541</t>
  </si>
  <si>
    <t>697900800534</t>
  </si>
  <si>
    <t>E697900800534</t>
  </si>
  <si>
    <t>697941120378</t>
  </si>
  <si>
    <t>E697941120378</t>
  </si>
  <si>
    <t>697731000213</t>
  </si>
  <si>
    <t>E697731000213</t>
  </si>
  <si>
    <t>697030531575</t>
  </si>
  <si>
    <t>E697030531575</t>
  </si>
  <si>
    <t>697140881261</t>
  </si>
  <si>
    <t>E697140881261</t>
  </si>
  <si>
    <t>697770111782</t>
  </si>
  <si>
    <t>E697770111782</t>
  </si>
  <si>
    <t>697031034761</t>
  </si>
  <si>
    <t>E697031034761</t>
  </si>
  <si>
    <t>697080993464</t>
  </si>
  <si>
    <t>E697080993464</t>
  </si>
  <si>
    <t>697131092475</t>
  </si>
  <si>
    <t>E697131092475</t>
  </si>
  <si>
    <t>697060931209</t>
  </si>
  <si>
    <t>E697060931209</t>
  </si>
  <si>
    <t>697081291510</t>
  </si>
  <si>
    <t>E697081291510</t>
  </si>
  <si>
    <t>697110397977</t>
  </si>
  <si>
    <t>E697110397977</t>
  </si>
  <si>
    <t>697980931529</t>
  </si>
  <si>
    <t>E697980931529</t>
  </si>
  <si>
    <t>697891000309</t>
  </si>
  <si>
    <t>E697891000309</t>
  </si>
  <si>
    <t>697030830777</t>
  </si>
  <si>
    <t>E697030830777</t>
  </si>
  <si>
    <t>697131285117</t>
  </si>
  <si>
    <t>E697131285117</t>
  </si>
  <si>
    <t>697030132662</t>
  </si>
  <si>
    <t>E697030132662</t>
  </si>
  <si>
    <t>697960421559</t>
  </si>
  <si>
    <t>E697960421559</t>
  </si>
  <si>
    <t>697781100154</t>
  </si>
  <si>
    <t>E697781100154</t>
  </si>
  <si>
    <t>697061234145</t>
  </si>
  <si>
    <t>E697061234145</t>
  </si>
  <si>
    <t>697860500371</t>
  </si>
  <si>
    <t>E697860500371</t>
  </si>
  <si>
    <t>697100399157</t>
  </si>
  <si>
    <t>E697100399157</t>
  </si>
  <si>
    <t>697880800443</t>
  </si>
  <si>
    <t>E697880800443</t>
  </si>
  <si>
    <t>697121293804</t>
  </si>
  <si>
    <t>E697121293804</t>
  </si>
  <si>
    <t>697090398998</t>
  </si>
  <si>
    <t>E697090398998</t>
  </si>
  <si>
    <t>697921204893</t>
  </si>
  <si>
    <t>E697921204893</t>
  </si>
  <si>
    <t>697931104447</t>
  </si>
  <si>
    <t>E697931104447</t>
  </si>
  <si>
    <t>697120590651</t>
  </si>
  <si>
    <t>E697120590651</t>
  </si>
  <si>
    <t>697080231793</t>
  </si>
  <si>
    <t>E697080231793</t>
  </si>
  <si>
    <t>697150293694</t>
  </si>
  <si>
    <t>E697150293694</t>
  </si>
  <si>
    <t>6970912979666</t>
  </si>
  <si>
    <t>E697091297966</t>
  </si>
  <si>
    <t>697011033980</t>
  </si>
  <si>
    <t>E697011033980</t>
  </si>
  <si>
    <t>697060931039</t>
  </si>
  <si>
    <t>E697060931039</t>
  </si>
  <si>
    <t>697130584617</t>
  </si>
  <si>
    <t>E697130584617</t>
  </si>
  <si>
    <t>697980931022</t>
  </si>
  <si>
    <t>E697980931022</t>
  </si>
  <si>
    <t>697130582941</t>
  </si>
  <si>
    <t>E697130582941</t>
  </si>
  <si>
    <t>697120991176</t>
  </si>
  <si>
    <t>E697120991176</t>
  </si>
  <si>
    <t>697061033123</t>
  </si>
  <si>
    <t>E697061033123</t>
  </si>
  <si>
    <t>697141282043</t>
  </si>
  <si>
    <t>E697141282043</t>
  </si>
  <si>
    <t>697180710338</t>
  </si>
  <si>
    <t>E697180710338</t>
  </si>
  <si>
    <t>697940551260</t>
  </si>
  <si>
    <t>E697940551260</t>
  </si>
  <si>
    <t>697070953553</t>
  </si>
  <si>
    <t>E697070953553</t>
  </si>
  <si>
    <t>697020330571</t>
  </si>
  <si>
    <t>E697020330571</t>
  </si>
  <si>
    <t>697771200177</t>
  </si>
  <si>
    <t>697141184971</t>
  </si>
  <si>
    <t>E697141184971</t>
  </si>
  <si>
    <t>697770105634</t>
  </si>
  <si>
    <t>E697770105634</t>
  </si>
  <si>
    <t>697090995121</t>
  </si>
  <si>
    <t>E697090995121</t>
  </si>
  <si>
    <t>696060121502</t>
  </si>
  <si>
    <t>E696060121502</t>
  </si>
  <si>
    <t>699180811129</t>
  </si>
  <si>
    <t>E699180811129</t>
  </si>
  <si>
    <t>697120294572</t>
  </si>
  <si>
    <t>E697120294572</t>
  </si>
  <si>
    <t>697180511831</t>
  </si>
  <si>
    <t>E697180511831</t>
  </si>
  <si>
    <t>697800900248</t>
  </si>
  <si>
    <t>697851001159</t>
  </si>
  <si>
    <t>E697851001159</t>
  </si>
  <si>
    <t>697021054951</t>
  </si>
  <si>
    <t>E697021054951</t>
  </si>
  <si>
    <t>697920304088</t>
  </si>
  <si>
    <t>E697920304088</t>
  </si>
  <si>
    <t>697011151206</t>
  </si>
  <si>
    <t>E697011151206</t>
  </si>
  <si>
    <t>697030833521</t>
  </si>
  <si>
    <t>E697030833521</t>
  </si>
  <si>
    <t>697150690456</t>
  </si>
  <si>
    <t>E697150690456</t>
  </si>
  <si>
    <t>697140580628</t>
  </si>
  <si>
    <t>E697140580628</t>
  </si>
  <si>
    <t>697140974405</t>
  </si>
  <si>
    <t>E697140974405</t>
  </si>
  <si>
    <t>697111291056</t>
  </si>
  <si>
    <t>E697111291056</t>
  </si>
  <si>
    <t>705761102501</t>
  </si>
  <si>
    <t>E705761102501</t>
  </si>
  <si>
    <t>705050710550</t>
  </si>
  <si>
    <t>E705050710550</t>
  </si>
  <si>
    <t>697130583912</t>
  </si>
  <si>
    <t>E697130583912</t>
  </si>
  <si>
    <t>697000103609</t>
  </si>
  <si>
    <t>E697000103609</t>
  </si>
  <si>
    <t>697131183861</t>
  </si>
  <si>
    <t>E697131183861</t>
  </si>
  <si>
    <t>697080892102</t>
  </si>
  <si>
    <t>E697080892102</t>
  </si>
  <si>
    <t>697131282151</t>
  </si>
  <si>
    <t>E697131282151</t>
  </si>
  <si>
    <t>699110691584</t>
  </si>
  <si>
    <t>E699110691584</t>
  </si>
  <si>
    <t>697180710443</t>
  </si>
  <si>
    <t>E697180710443</t>
  </si>
  <si>
    <t>697100590621</t>
  </si>
  <si>
    <t>697840900534</t>
  </si>
  <si>
    <t>E697840900534</t>
  </si>
  <si>
    <t>697040358090</t>
  </si>
  <si>
    <t>E697040358090</t>
  </si>
  <si>
    <t>697920804609</t>
  </si>
  <si>
    <t>E697920804609</t>
  </si>
  <si>
    <t>697180512081</t>
  </si>
  <si>
    <t>6961124800</t>
  </si>
  <si>
    <t>Caja: 011</t>
  </si>
  <si>
    <t>Caja: 031</t>
  </si>
  <si>
    <t>Caja: 051</t>
  </si>
  <si>
    <t>Caja: 191</t>
  </si>
  <si>
    <t>Caja: 231</t>
  </si>
  <si>
    <t>Caja: 281</t>
  </si>
  <si>
    <t>Caja: 361</t>
  </si>
  <si>
    <t>Caja: 391</t>
  </si>
  <si>
    <t>Caja: 401</t>
  </si>
  <si>
    <t>SE GENERO CON $2.5 DE MAS.</t>
  </si>
  <si>
    <t>SE GENERO CON $1 DE MAS.</t>
  </si>
  <si>
    <t>SUGEILY NATEN-HAT AZUARA GARCIA</t>
  </si>
  <si>
    <t>GLADYS BAUTISTA GONZALES</t>
  </si>
  <si>
    <t>12:50:58 p. m.</t>
  </si>
  <si>
    <t>03:20:52 p. m.</t>
  </si>
  <si>
    <t>07:09:25 p. m.</t>
  </si>
  <si>
    <t>09:00:19 p. m.</t>
  </si>
  <si>
    <t>11:42:40 a. m.</t>
  </si>
  <si>
    <t>12:15:38 p. m.</t>
  </si>
  <si>
    <t>11:05:06 a. m.</t>
  </si>
  <si>
    <t>02:26:14 p. m.</t>
  </si>
  <si>
    <t>06:30:01 p. m.</t>
  </si>
  <si>
    <t>11:10:05 a. m.</t>
  </si>
  <si>
    <t>03:02:03 p. m.</t>
  </si>
  <si>
    <t>06:45:18 p. m.</t>
  </si>
  <si>
    <t>08:29:51 p. m.</t>
  </si>
  <si>
    <t>10:21:27 p. m.</t>
  </si>
  <si>
    <t>10:04:36 a. m.</t>
  </si>
  <si>
    <t>07:53:14 p. m.</t>
  </si>
  <si>
    <t>09:54:45 p. m.</t>
  </si>
  <si>
    <t>08:30:09 a. m.</t>
  </si>
  <si>
    <t>01:58:33 p. m.</t>
  </si>
  <si>
    <t>02:28:04 p. m.</t>
  </si>
  <si>
    <t>05:00:59 p. m.</t>
  </si>
  <si>
    <t>05:24:48 p. m.</t>
  </si>
  <si>
    <t>01:19:57 p. m.</t>
  </si>
  <si>
    <t>09:35:44 p. m.</t>
  </si>
  <si>
    <t>09:00:10 a. m.</t>
  </si>
  <si>
    <t>10:34:35 a. m.</t>
  </si>
  <si>
    <t>11:57:10 a. m.</t>
  </si>
  <si>
    <t>02:11:39 p. m.</t>
  </si>
  <si>
    <t>03:10:11 p. m.</t>
  </si>
  <si>
    <t>11:37:01 a. m.</t>
  </si>
  <si>
    <t>11:59:22 a. m.</t>
  </si>
  <si>
    <t>01:49:15 p. m.</t>
  </si>
  <si>
    <t>02:47:14 p. m.</t>
  </si>
  <si>
    <t>06:00:20 a. m.</t>
  </si>
  <si>
    <t>09:13:36 a. m.</t>
  </si>
  <si>
    <t>09:35:29 a. m.</t>
  </si>
  <si>
    <t>10:15:17 a. m.</t>
  </si>
  <si>
    <t>01:33:22 p. m.</t>
  </si>
  <si>
    <t>02:08:42 p. m.</t>
  </si>
  <si>
    <t>02:21:07 p. m.</t>
  </si>
  <si>
    <t>02:24:07 p. m.</t>
  </si>
  <si>
    <t>03:42:27 p. m.</t>
  </si>
  <si>
    <t>02:56:52 p. m.</t>
  </si>
  <si>
    <t>07:25:42 p. m.</t>
  </si>
  <si>
    <t>09:11:07 p. m.</t>
  </si>
  <si>
    <t>07:27:01 a. m.</t>
  </si>
  <si>
    <t>10:18:30 a. m.</t>
  </si>
  <si>
    <t>07:51:27 a. m.</t>
  </si>
  <si>
    <t>08:03:56 a. m.</t>
  </si>
  <si>
    <t>10:37:12 a. m.</t>
  </si>
  <si>
    <t>11:38:35 a. m.</t>
  </si>
  <si>
    <t>11:49:58 a. m.</t>
  </si>
  <si>
    <t>02:37:59 p. m.</t>
  </si>
  <si>
    <t>03:02:06 p. m.</t>
  </si>
  <si>
    <t>03:21:41 p. m.</t>
  </si>
  <si>
    <t>06:28:07 p. m.</t>
  </si>
  <si>
    <t>01:08:10 p. m.</t>
  </si>
  <si>
    <t>02:45:57 p. m.</t>
  </si>
  <si>
    <t>07:08:59 p. m.</t>
  </si>
  <si>
    <t>07:10:29 p. m.</t>
  </si>
  <si>
    <t>07:48:36 p. m.</t>
  </si>
  <si>
    <t>SUPER PLUS 321</t>
  </si>
  <si>
    <t>PAGO IUSA</t>
  </si>
  <si>
    <t>697090498143</t>
  </si>
  <si>
    <t>E697090498143</t>
  </si>
  <si>
    <t>697150194106</t>
  </si>
  <si>
    <t>E697150194106</t>
  </si>
  <si>
    <t>697080452650</t>
  </si>
  <si>
    <t>E697080452650</t>
  </si>
  <si>
    <t>697120491009</t>
  </si>
  <si>
    <t>E697120491009</t>
  </si>
  <si>
    <t>697751000228</t>
  </si>
  <si>
    <t>E697751000228</t>
  </si>
  <si>
    <t>697180810421</t>
  </si>
  <si>
    <t>E697180810421</t>
  </si>
  <si>
    <t>697010852570</t>
  </si>
  <si>
    <t>E697010852570</t>
  </si>
  <si>
    <t>697121092035</t>
  </si>
  <si>
    <t>E697121092035</t>
  </si>
  <si>
    <t>697090597036</t>
  </si>
  <si>
    <t>E697090597036</t>
  </si>
  <si>
    <t>697090498372</t>
  </si>
  <si>
    <t>E697090498372</t>
  </si>
  <si>
    <t>697121092027</t>
  </si>
  <si>
    <t>E697121092027</t>
  </si>
  <si>
    <t>697090695216</t>
  </si>
  <si>
    <t>E697090695216</t>
  </si>
  <si>
    <t>697050113290</t>
  </si>
  <si>
    <t>E697050113290</t>
  </si>
  <si>
    <t>697920602259</t>
  </si>
  <si>
    <t>E697920602259</t>
  </si>
  <si>
    <t>697870200707</t>
  </si>
  <si>
    <t>E697870200707</t>
  </si>
  <si>
    <t>697080451181</t>
  </si>
  <si>
    <t>E697080451181</t>
  </si>
  <si>
    <t>697130381023</t>
  </si>
  <si>
    <t>697810400324</t>
  </si>
  <si>
    <t>E697810400324</t>
  </si>
  <si>
    <t>697740700040</t>
  </si>
  <si>
    <t>E697740700040</t>
  </si>
  <si>
    <t>$44.5, FALTA GENERAR $1</t>
  </si>
  <si>
    <t>E697180512081</t>
  </si>
  <si>
    <t>697060120707</t>
  </si>
  <si>
    <t>E697060120707</t>
  </si>
  <si>
    <t>697100192331</t>
  </si>
  <si>
    <t>E697100192331</t>
  </si>
  <si>
    <t>697090995376</t>
  </si>
  <si>
    <t>697880500563</t>
  </si>
  <si>
    <t>E697880500563</t>
  </si>
  <si>
    <t>697080693151</t>
  </si>
  <si>
    <t>E697080693151</t>
  </si>
  <si>
    <t>697901200824</t>
  </si>
  <si>
    <t>E697901200824</t>
  </si>
  <si>
    <t>697910801440</t>
  </si>
  <si>
    <t>E697910801440</t>
  </si>
  <si>
    <t>697001032136</t>
  </si>
  <si>
    <t>E697001032136</t>
  </si>
  <si>
    <t>697910400631</t>
  </si>
  <si>
    <t>E697910400631</t>
  </si>
  <si>
    <t>697930208141</t>
  </si>
  <si>
    <t>E697930208141</t>
  </si>
  <si>
    <t>697780300419</t>
  </si>
  <si>
    <t>E697780300419</t>
  </si>
  <si>
    <t>697000632369</t>
  </si>
  <si>
    <t>E697000632369</t>
  </si>
  <si>
    <t>697080454539</t>
  </si>
  <si>
    <t>E697080454539</t>
  </si>
  <si>
    <t>697111191868</t>
  </si>
  <si>
    <t>E697111191868</t>
  </si>
  <si>
    <t>697140882357</t>
  </si>
  <si>
    <t>E697140882357</t>
  </si>
  <si>
    <t>697150492638</t>
  </si>
  <si>
    <t>E697150492638</t>
  </si>
  <si>
    <t>697001032586</t>
  </si>
  <si>
    <t>697840700276</t>
  </si>
  <si>
    <t>697030833733</t>
  </si>
  <si>
    <t>696020905250</t>
  </si>
  <si>
    <t>E696020905250</t>
  </si>
  <si>
    <t>696120850584</t>
  </si>
  <si>
    <t>E696120850584</t>
  </si>
  <si>
    <t>697021050432</t>
  </si>
  <si>
    <t>E697021050432</t>
  </si>
  <si>
    <t>697091297508</t>
  </si>
  <si>
    <t>E697091297508</t>
  </si>
  <si>
    <t>697890500120</t>
  </si>
  <si>
    <t>E697890500120</t>
  </si>
  <si>
    <t>697830900757</t>
  </si>
  <si>
    <t>E697830900757</t>
  </si>
  <si>
    <t>697880700147</t>
  </si>
  <si>
    <t>E697880700147</t>
  </si>
  <si>
    <t>697971103354</t>
  </si>
  <si>
    <t>E697971103354</t>
  </si>
  <si>
    <t>697020730308</t>
  </si>
  <si>
    <t>E697020730308</t>
  </si>
  <si>
    <t>697830600346</t>
  </si>
  <si>
    <t>E697830600346</t>
  </si>
  <si>
    <t>697860300142</t>
  </si>
  <si>
    <t>E697860300142</t>
  </si>
  <si>
    <t>697070953316</t>
  </si>
  <si>
    <t>697131092581</t>
  </si>
  <si>
    <t>697150293171</t>
  </si>
  <si>
    <t>E697150293171</t>
  </si>
  <si>
    <t>697130882987</t>
  </si>
  <si>
    <t>E697130882987</t>
  </si>
  <si>
    <t>697141181174</t>
  </si>
  <si>
    <t>E697141181174</t>
  </si>
  <si>
    <t>697901000167</t>
  </si>
  <si>
    <t>697951220567</t>
  </si>
  <si>
    <t>697180811762</t>
  </si>
  <si>
    <t>E697180811762</t>
  </si>
  <si>
    <t>697060120561</t>
  </si>
  <si>
    <t>697740500024</t>
  </si>
  <si>
    <t>697940880468</t>
  </si>
  <si>
    <t>E697940880468</t>
  </si>
  <si>
    <t>697131093005</t>
  </si>
  <si>
    <t>E697131093005</t>
  </si>
  <si>
    <t>696140760794</t>
  </si>
  <si>
    <t>E696140760794</t>
  </si>
  <si>
    <t>CAMBIO DE CONCEPTO A MTCENTER</t>
  </si>
  <si>
    <t>016972011122662208060000019828</t>
  </si>
  <si>
    <t>Caja: 021</t>
  </si>
  <si>
    <t>Caja: 321</t>
  </si>
  <si>
    <t>-1990</t>
  </si>
  <si>
    <t>SE GENERO DE MAS</t>
  </si>
  <si>
    <t>FATIMA CORDERO BARRAGAN</t>
  </si>
  <si>
    <t>12:20:29 a. m.</t>
  </si>
  <si>
    <t>12:15:24 p. m.</t>
  </si>
  <si>
    <t>12:18:25 p. m.</t>
  </si>
  <si>
    <t>12:20:37 p. m.</t>
  </si>
  <si>
    <t>11:40:48 a. m.</t>
  </si>
  <si>
    <t>01:10:59 p. m.</t>
  </si>
  <si>
    <t>09:30:21 p. m.</t>
  </si>
  <si>
    <t>09:30:15 a. m.</t>
  </si>
  <si>
    <t>12:09:39 p. m.</t>
  </si>
  <si>
    <t>03:08:53 p. m.</t>
  </si>
  <si>
    <t>05:49:08 p. m.</t>
  </si>
  <si>
    <t>06:26:54 p. m.</t>
  </si>
  <si>
    <t>06:51:08 p. m.</t>
  </si>
  <si>
    <t>06:52:32 p. m.</t>
  </si>
  <si>
    <t>05:11:25 p. m.</t>
  </si>
  <si>
    <t>08:52:25 a. m.</t>
  </si>
  <si>
    <t>01:29:25 p. m.</t>
  </si>
  <si>
    <t>08:36:24 a. m.</t>
  </si>
  <si>
    <t>08:46:50 a. m.</t>
  </si>
  <si>
    <t>11:42:36 a. m.</t>
  </si>
  <si>
    <t>04:10:44 p. m.</t>
  </si>
  <si>
    <t>10:32:40 a. m.</t>
  </si>
  <si>
    <t>10:34:45 a. m.</t>
  </si>
  <si>
    <t>09:38:10 p. m.</t>
  </si>
  <si>
    <t>12:55:27 a. m.</t>
  </si>
  <si>
    <t>11:34:21 a. m.</t>
  </si>
  <si>
    <t>01:20:22 p. m.</t>
  </si>
  <si>
    <t>09:06:16 a. m.</t>
  </si>
  <si>
    <t>06:59:07 p. m.</t>
  </si>
  <si>
    <t>11:51:50 a. m.</t>
  </si>
  <si>
    <t>02:07:11 p. m.</t>
  </si>
  <si>
    <t>09:27:23 a. m.</t>
  </si>
  <si>
    <t>09:30:36 a. m.</t>
  </si>
  <si>
    <t>09:56:25 a. m.</t>
  </si>
  <si>
    <t>09:58:15 a. m.</t>
  </si>
  <si>
    <t>10:07:34 a. m.</t>
  </si>
  <si>
    <t>01:14:44 p. m.</t>
  </si>
  <si>
    <t>04:01:05 p. m.</t>
  </si>
  <si>
    <t>06:22:02 p. m.</t>
  </si>
  <si>
    <t>08:33:51 a. m.</t>
  </si>
  <si>
    <t>11:13:47 a. m.</t>
  </si>
  <si>
    <t>12:11:35 p. m.</t>
  </si>
  <si>
    <t>12:13:31 p. m.</t>
  </si>
  <si>
    <t>02:44:37 p. m.</t>
  </si>
  <si>
    <t>06:49:16 p. m.</t>
  </si>
  <si>
    <t>08:12:07 p. m.</t>
  </si>
  <si>
    <t>02:53:27 p. m.</t>
  </si>
  <si>
    <t>04:06:36 p. m.</t>
  </si>
  <si>
    <t>09:09:11 p. m.</t>
  </si>
  <si>
    <t>01:12:06 p. m.</t>
  </si>
  <si>
    <t>06:55:06 p. m.</t>
  </si>
  <si>
    <t>12:29:15 p. m.</t>
  </si>
  <si>
    <t>12:37:38 p. m.</t>
  </si>
  <si>
    <t>03:29:12 p. m.</t>
  </si>
  <si>
    <t>07:07:23 p. m.</t>
  </si>
  <si>
    <t>08:21:53 p. m.</t>
  </si>
  <si>
    <t>08:09:04 a. m.</t>
  </si>
  <si>
    <t>06:03:07 p. m.</t>
  </si>
  <si>
    <t>MANAGER</t>
  </si>
  <si>
    <t>697081190560</t>
  </si>
  <si>
    <t>E697081190560</t>
  </si>
  <si>
    <t>697040432001</t>
  </si>
  <si>
    <t>E697040432001</t>
  </si>
  <si>
    <t>697040353110</t>
  </si>
  <si>
    <t>697090998014</t>
  </si>
  <si>
    <t>697100290635</t>
  </si>
  <si>
    <t>E697100290635</t>
  </si>
  <si>
    <t>697950620260</t>
  </si>
  <si>
    <t>697930902099</t>
  </si>
  <si>
    <t>E697930902099</t>
  </si>
  <si>
    <t>697141183100</t>
  </si>
  <si>
    <t>E697141183100</t>
  </si>
  <si>
    <t>697101294308</t>
  </si>
  <si>
    <t>697741100151</t>
  </si>
  <si>
    <t>E697741100151</t>
  </si>
  <si>
    <t>697950820536</t>
  </si>
  <si>
    <t>E697950820536</t>
  </si>
  <si>
    <t>697730800542</t>
  </si>
  <si>
    <t>E697730800542</t>
  </si>
  <si>
    <t>697770104930</t>
  </si>
  <si>
    <t>697811200043</t>
  </si>
  <si>
    <t>E697811200043</t>
  </si>
  <si>
    <t>697130580581</t>
  </si>
  <si>
    <t>E697130580581</t>
  </si>
  <si>
    <t>697070852897</t>
  </si>
  <si>
    <t>E697070852897</t>
  </si>
  <si>
    <t>697080990414</t>
  </si>
  <si>
    <t>E697080990414</t>
  </si>
  <si>
    <t>697150290598</t>
  </si>
  <si>
    <t>697970805576</t>
  </si>
  <si>
    <t>E697970805576</t>
  </si>
  <si>
    <t>697000201368</t>
  </si>
  <si>
    <t>E697000201368</t>
  </si>
  <si>
    <t>697150397295</t>
  </si>
  <si>
    <t>E697150397295</t>
  </si>
  <si>
    <t>697130882065</t>
  </si>
  <si>
    <t>697140974383</t>
  </si>
  <si>
    <t>E697140974383</t>
  </si>
  <si>
    <t>697180510941</t>
  </si>
  <si>
    <t>E697180510941</t>
  </si>
  <si>
    <t>697110494611</t>
  </si>
  <si>
    <t>E697110494611</t>
  </si>
  <si>
    <t>697011155805</t>
  </si>
  <si>
    <t>697050812040</t>
  </si>
  <si>
    <t>E697050812040</t>
  </si>
  <si>
    <t>697991130510</t>
  </si>
  <si>
    <t>E697991130510</t>
  </si>
  <si>
    <t>697080454202</t>
  </si>
  <si>
    <t>E697080454202</t>
  </si>
  <si>
    <t>697770100144</t>
  </si>
  <si>
    <t>697150701041</t>
  </si>
  <si>
    <t>697140880613</t>
  </si>
  <si>
    <t>E697140880613</t>
  </si>
  <si>
    <t>697140973174</t>
  </si>
  <si>
    <t>697090198735</t>
  </si>
  <si>
    <t>697150491933</t>
  </si>
  <si>
    <t>697060123731</t>
  </si>
  <si>
    <t>697140775194</t>
  </si>
  <si>
    <t>697060930954</t>
  </si>
  <si>
    <t>697080454555</t>
  </si>
  <si>
    <t>697100591864</t>
  </si>
  <si>
    <t>696090134404</t>
  </si>
  <si>
    <t>E696090134404</t>
  </si>
  <si>
    <t>696110892769</t>
  </si>
  <si>
    <t>E696110892769</t>
  </si>
  <si>
    <t>696150970398</t>
  </si>
  <si>
    <t>E696150970398</t>
  </si>
  <si>
    <t>697040432036</t>
  </si>
  <si>
    <t>E697040432036</t>
  </si>
  <si>
    <t>697141284755</t>
  </si>
  <si>
    <t>697150291161</t>
  </si>
  <si>
    <t>E697150291161</t>
  </si>
  <si>
    <t>697150991588</t>
  </si>
  <si>
    <t>E697150991588</t>
  </si>
  <si>
    <t>697921006226</t>
  </si>
  <si>
    <t>E697921006226</t>
  </si>
  <si>
    <t>697020630532</t>
  </si>
  <si>
    <t>697070950147</t>
  </si>
  <si>
    <t>E697070950147</t>
  </si>
  <si>
    <t>697130785663</t>
  </si>
  <si>
    <t>E697130785663</t>
  </si>
  <si>
    <t>CAMBIO DE CONCEPTO A CFE IUSA</t>
  </si>
  <si>
    <t>697980631843</t>
  </si>
  <si>
    <t>697150592331</t>
  </si>
  <si>
    <t>697880800940</t>
  </si>
  <si>
    <t>E697880800940</t>
  </si>
  <si>
    <t>697051113552</t>
  </si>
  <si>
    <t>697041153416</t>
  </si>
  <si>
    <t>697040653083</t>
  </si>
  <si>
    <t>697860700191</t>
  </si>
  <si>
    <t>697141082371</t>
  </si>
  <si>
    <t>E697141082371</t>
  </si>
  <si>
    <t>697021253546</t>
  </si>
  <si>
    <t>501277016819</t>
  </si>
  <si>
    <t>501270108084</t>
  </si>
  <si>
    <t>697140281132310722</t>
  </si>
  <si>
    <t>696870800252</t>
  </si>
  <si>
    <t>697090897650</t>
  </si>
  <si>
    <t>-180.5</t>
  </si>
  <si>
    <t>GENERADO</t>
  </si>
  <si>
    <t>-1</t>
  </si>
  <si>
    <t>-238.5</t>
  </si>
  <si>
    <t>-148.5</t>
  </si>
  <si>
    <t>SUPER PLUS 351</t>
  </si>
  <si>
    <t>SERVICIOS_10.08.2022</t>
  </si>
  <si>
    <t>COMISIONES_10.08.2022</t>
  </si>
  <si>
    <t>ELIJA UNA OPCION</t>
  </si>
  <si>
    <t>LEOBARDO FELICIANO PEÑA BARRAGAN</t>
  </si>
  <si>
    <t>LETICIA VASQUEZ HERNANDEZ</t>
  </si>
  <si>
    <t>LUCERO ISABEL GONZALEZ  HERNANDEZ</t>
  </si>
  <si>
    <t>ANAI ESPINOSA GONZALES</t>
  </si>
  <si>
    <t>KARINA NICOLAS PEREZ</t>
  </si>
  <si>
    <t>01/08/2022 12:20:29 a. m.</t>
  </si>
  <si>
    <t>01/08/2022 12:55:27 a. m.</t>
  </si>
  <si>
    <t>01/08/2022 08:09:04 a. m.</t>
  </si>
  <si>
    <t>01/08/2022 08:33:51 a. m.</t>
  </si>
  <si>
    <t>01/08/2022 08:36:24 a. m.</t>
  </si>
  <si>
    <t>01/08/2022 08:46:50 a. m.</t>
  </si>
  <si>
    <t>01/08/2022 08:52:25 a. m.</t>
  </si>
  <si>
    <t>01/08/2022 09:06:16 a. m.</t>
  </si>
  <si>
    <t>01/08/2022 09:27:23 a. m.</t>
  </si>
  <si>
    <t>01/08/2022 09:30:15 a. m.</t>
  </si>
  <si>
    <t>01/08/2022 09:30:36 a. m.</t>
  </si>
  <si>
    <t>01/08/2022 09:56:25 a. m.</t>
  </si>
  <si>
    <t>01/08/2022 09:58:15 a. m.</t>
  </si>
  <si>
    <t>01/08/2022 10:07:34 a. m.</t>
  </si>
  <si>
    <t>01/08/2022 10:32:40 a. m.</t>
  </si>
  <si>
    <t>01/08/2022 10:34:45 a. m.</t>
  </si>
  <si>
    <t>01/08/2022 11:13:47 a. m.</t>
  </si>
  <si>
    <t>01/08/2022 11:34:21 a. m.</t>
  </si>
  <si>
    <t>01/08/2022 11:40:48 a. m.</t>
  </si>
  <si>
    <t>01/08/2022 11:42:36 a. m.</t>
  </si>
  <si>
    <t>01/08/2022 11:51:50 a. m.</t>
  </si>
  <si>
    <t>01/08/2022 12:09:39 p. m.</t>
  </si>
  <si>
    <t>01/08/2022 12:11:35 p. m.</t>
  </si>
  <si>
    <t>01/08/2022 12:13:31 p. m.</t>
  </si>
  <si>
    <t>01/08/2022 12:15:24 p. m.</t>
  </si>
  <si>
    <t>01/08/2022 12:18:25 p. m.</t>
  </si>
  <si>
    <t>01/08/2022 12:20:37 p. m.</t>
  </si>
  <si>
    <t>01/08/2022 12:29:15 p. m.</t>
  </si>
  <si>
    <t>01/08/2022 12:37:38 p. m.</t>
  </si>
  <si>
    <t>01/08/2022 01:10:59 p. m.</t>
  </si>
  <si>
    <t>01/08/2022 01:12:06 p. m.</t>
  </si>
  <si>
    <t>01/08/2022 01:14:44 p. m.</t>
  </si>
  <si>
    <t>01/08/2022 01:20:22 p. m.</t>
  </si>
  <si>
    <t>01/08/2022 01:29:25 p. m.</t>
  </si>
  <si>
    <t>01/08/2022 02:07:11 p. m.</t>
  </si>
  <si>
    <t>01/08/2022 02:44:37 p. m.</t>
  </si>
  <si>
    <t>01/08/2022 02:53:27 p. m.</t>
  </si>
  <si>
    <t>01/08/2022 03:08:53 p. m.</t>
  </si>
  <si>
    <t>01/08/2022 03:29:12 p. m.</t>
  </si>
  <si>
    <t>01/08/2022 04:01:05 p. m.</t>
  </si>
  <si>
    <t>01/08/2022 04:06:36 p. m.</t>
  </si>
  <si>
    <t>01/08/2022 04:10:44 p. m.</t>
  </si>
  <si>
    <t>01/08/2022 05:11:25 p. m.</t>
  </si>
  <si>
    <t>01/08/2022 05:49:08 p. m.</t>
  </si>
  <si>
    <t>01/08/2022 06:03:07 p. m.</t>
  </si>
  <si>
    <t>01/08/2022 06:22:02 p. m.</t>
  </si>
  <si>
    <t>01/08/2022 06:26:54 p. m.</t>
  </si>
  <si>
    <t>01/08/2022 06:49:16 p. m.</t>
  </si>
  <si>
    <t>01/08/2022 06:51:08 p. m.</t>
  </si>
  <si>
    <t>01/08/2022 06:52:32 p. m.</t>
  </si>
  <si>
    <t>01/08/2022 06:55:06 p. m.</t>
  </si>
  <si>
    <t>01/08/2022 06:59:07 p. m.</t>
  </si>
  <si>
    <t>01/08/2022 07:07:23 p. m.</t>
  </si>
  <si>
    <t>01/08/2022 07:36:03 p. m.</t>
  </si>
  <si>
    <t>01/08/2022 08:12:07 p. m.</t>
  </si>
  <si>
    <t>01/08/2022 08:21:53 p. m.</t>
  </si>
  <si>
    <t>01/08/2022 09:09:11 p. m.</t>
  </si>
  <si>
    <t>01/08/2022 09:30:21 p. m.</t>
  </si>
  <si>
    <t>01/08/2022 09:38:10 p. m.</t>
  </si>
  <si>
    <t>02/08/2022 09:16:37 a. m.</t>
  </si>
  <si>
    <t>02/08/2022 09:54:19 a. m.</t>
  </si>
  <si>
    <t>02/08/2022 09:55:27 a. m.</t>
  </si>
  <si>
    <t>02/08/2022 10:15:07 a. m.</t>
  </si>
  <si>
    <t>02/08/2022 10:39:39 a. m.</t>
  </si>
  <si>
    <t>02/08/2022 10:41:08 a. m.</t>
  </si>
  <si>
    <t>02/08/2022 10:51:42 a. m.</t>
  </si>
  <si>
    <t>02/08/2022 10:53:42 a. m.</t>
  </si>
  <si>
    <t>02/08/2022 10:56:39 a. m.</t>
  </si>
  <si>
    <t>02/08/2022 11:01:31 a. m.</t>
  </si>
  <si>
    <t>02/08/2022 11:12:37 a. m.</t>
  </si>
  <si>
    <t>02/08/2022 11:24:41 a. m.</t>
  </si>
  <si>
    <t>02/08/2022 12:00:32 p. m.</t>
  </si>
  <si>
    <t>02/08/2022 12:11:36 p. m.</t>
  </si>
  <si>
    <t>02/08/2022 12:14:18 p. m.</t>
  </si>
  <si>
    <t>02/08/2022 01:15:37 p. m.</t>
  </si>
  <si>
    <t>02/08/2022 01:42:40 p. m.</t>
  </si>
  <si>
    <t>02/08/2022 01:44:56 p. m.</t>
  </si>
  <si>
    <t>02/08/2022 02:45:27 p. m.</t>
  </si>
  <si>
    <t>02/08/2022 02:49:15 p. m.</t>
  </si>
  <si>
    <t>02/08/2022 02:49:25 p. m.</t>
  </si>
  <si>
    <t>02/08/2022 03:19:11 p. m.</t>
  </si>
  <si>
    <t>02/08/2022 03:24:44 p. m.</t>
  </si>
  <si>
    <t>02/08/2022 03:26:11 p. m.</t>
  </si>
  <si>
    <t>02/08/2022 03:53:30 p. m.</t>
  </si>
  <si>
    <t>02/08/2022 04:47:25 p. m.</t>
  </si>
  <si>
    <t>02/08/2022 05:02:51 p. m.</t>
  </si>
  <si>
    <t>02/08/2022 05:54:08 p. m.</t>
  </si>
  <si>
    <t>02/08/2022 05:56:09 p. m.</t>
  </si>
  <si>
    <t>02/08/2022 06:05:39 p. m.</t>
  </si>
  <si>
    <t>02/08/2022 06:09:25 p. m.</t>
  </si>
  <si>
    <t>02/08/2022 06:44:33 p. m.</t>
  </si>
  <si>
    <t>02/08/2022 06:58:53 p. m.</t>
  </si>
  <si>
    <t>02/08/2022 07:18:01 p. m.</t>
  </si>
  <si>
    <t>02/08/2022 07:24:55 p. m.</t>
  </si>
  <si>
    <t>02/08/2022 07:46:49 p. m.</t>
  </si>
  <si>
    <t>02/08/2022 07:48:29 p. m.</t>
  </si>
  <si>
    <t>02/08/2022 09:23:47 p. m.</t>
  </si>
  <si>
    <t>02/08/2022 09:25:39 p. m.</t>
  </si>
  <si>
    <t>02/08/2022 09:28:11 p. m.</t>
  </si>
  <si>
    <t>03/08/2022 06:00:20 a. m.</t>
  </si>
  <si>
    <t>03/08/2022 07:27:01 a. m.</t>
  </si>
  <si>
    <t>03/08/2022 07:51:27 a. m.</t>
  </si>
  <si>
    <t>03/08/2022 08:03:56 a. m.</t>
  </si>
  <si>
    <t>03/08/2022 08:30:09 a. m.</t>
  </si>
  <si>
    <t>03/08/2022 09:00:10 a. m.</t>
  </si>
  <si>
    <t>03/08/2022 09:13:36 a. m.</t>
  </si>
  <si>
    <t>03/08/2022 09:35:29 a. m.</t>
  </si>
  <si>
    <t>03/08/2022 10:04:36 a. m.</t>
  </si>
  <si>
    <t>03/08/2022 10:15:17 a. m.</t>
  </si>
  <si>
    <t>03/08/2022 10:18:30 a. m.</t>
  </si>
  <si>
    <t>03/08/2022 10:34:35 a. m.</t>
  </si>
  <si>
    <t>03/08/2022 10:37:12 a. m.</t>
  </si>
  <si>
    <t>03/08/2022 11:05:06 a. m.</t>
  </si>
  <si>
    <t>03/08/2022 11:10:05 a. m.</t>
  </si>
  <si>
    <t>03/08/2022 11:37:01 a. m.</t>
  </si>
  <si>
    <t>03/08/2022 11:38:35 a. m.</t>
  </si>
  <si>
    <t>03/08/2022 11:42:40 a. m.</t>
  </si>
  <si>
    <t>03/08/2022 11:49:58 a. m.</t>
  </si>
  <si>
    <t>03/08/2022 11:57:10 a. m.</t>
  </si>
  <si>
    <t>03/08/2022 11:59:22 a. m.</t>
  </si>
  <si>
    <t>03/08/2022 12:15:38 p. m.</t>
  </si>
  <si>
    <t>03/08/2022 12:50:58 p. m.</t>
  </si>
  <si>
    <t>03/08/2022 01:08:10 p. m.</t>
  </si>
  <si>
    <t>03/08/2022 01:19:57 p. m.</t>
  </si>
  <si>
    <t>03/08/2022 01:33:22 p. m.</t>
  </si>
  <si>
    <t>03/08/2022 01:49:15 p. m.</t>
  </si>
  <si>
    <t>03/08/2022 01:58:33 p. m.</t>
  </si>
  <si>
    <t>03/08/2022 02:08:42 p. m.</t>
  </si>
  <si>
    <t>03/08/2022 02:11:39 p. m.</t>
  </si>
  <si>
    <t>03/08/2022 02:21:07 p. m.</t>
  </si>
  <si>
    <t>03/08/2022 02:24:07 p. m.</t>
  </si>
  <si>
    <t>03/08/2022 02:26:14 p. m.</t>
  </si>
  <si>
    <t>03/08/2022 02:28:04 p. m.</t>
  </si>
  <si>
    <t>03/08/2022 02:37:59 p. m.</t>
  </si>
  <si>
    <t>03/08/2022 02:45:57 p. m.</t>
  </si>
  <si>
    <t>03/08/2022 02:47:14 p. m.</t>
  </si>
  <si>
    <t>03/08/2022 02:56:52 p. m.</t>
  </si>
  <si>
    <t>03/08/2022 03:02:03 p. m.</t>
  </si>
  <si>
    <t>03/08/2022 03:02:06 p. m.</t>
  </si>
  <si>
    <t>03/08/2022 03:10:11 p. m.</t>
  </si>
  <si>
    <t>03/08/2022 03:20:52 p. m.</t>
  </si>
  <si>
    <t>03/08/2022 03:21:41 p. m.</t>
  </si>
  <si>
    <t>03/08/2022 03:42:27 p. m.</t>
  </si>
  <si>
    <t>03/08/2022 05:00:59 p. m.</t>
  </si>
  <si>
    <t>03/08/2022 05:24:48 p. m.</t>
  </si>
  <si>
    <t>03/08/2022 06:28:07 p. m.</t>
  </si>
  <si>
    <t>03/08/2022 06:30:01 p. m.</t>
  </si>
  <si>
    <t>03/08/2022 06:45:18 p. m.</t>
  </si>
  <si>
    <t>03/08/2022 07:08:59 p. m.</t>
  </si>
  <si>
    <t>03/08/2022 07:09:25 p. m.</t>
  </si>
  <si>
    <t>03/08/2022 07:10:29 p. m.</t>
  </si>
  <si>
    <t>03/08/2022 07:25:42 p. m.</t>
  </si>
  <si>
    <t>03/08/2022 07:48:36 p. m.</t>
  </si>
  <si>
    <t>03/08/2022 07:53:14 p. m.</t>
  </si>
  <si>
    <t>03/08/2022 08:01:51 p. m.</t>
  </si>
  <si>
    <t>03/08/2022 08:29:51 p. m.</t>
  </si>
  <si>
    <t>03/08/2022 08:31:13 p. m.</t>
  </si>
  <si>
    <t>03/08/2022 09:00:19 p. m.</t>
  </si>
  <si>
    <t>03/08/2022 09:11:07 p. m.</t>
  </si>
  <si>
    <t>03/08/2022 09:35:44 p. m.</t>
  </si>
  <si>
    <t>03/08/2022 09:54:45 p. m.</t>
  </si>
  <si>
    <t>03/08/2022 10:21:27 p. m.</t>
  </si>
  <si>
    <t>04/08/2022 07:13:03 a. m.</t>
  </si>
  <si>
    <t>04/08/2022 07:15:57 a. m.</t>
  </si>
  <si>
    <t>04/08/2022 07:45:12 a. m.</t>
  </si>
  <si>
    <t>04/08/2022 08:27:34 a. m.</t>
  </si>
  <si>
    <t>04/08/2022 08:32:17 a. m.</t>
  </si>
  <si>
    <t>04/08/2022 08:33:24 a. m.</t>
  </si>
  <si>
    <t>04/08/2022 08:34:23 a. m.</t>
  </si>
  <si>
    <t>04/08/2022 08:35:24 a. m.</t>
  </si>
  <si>
    <t>04/08/2022 09:04:19 a. m.</t>
  </si>
  <si>
    <t>04/08/2022 09:05:28 a. m.</t>
  </si>
  <si>
    <t>04/08/2022 09:11:35 a. m.</t>
  </si>
  <si>
    <t>04/08/2022 09:13:27 a. m.</t>
  </si>
  <si>
    <t>04/08/2022 09:16:05 a. m.</t>
  </si>
  <si>
    <t>04/08/2022 09:20:17 a. m.</t>
  </si>
  <si>
    <t>04/08/2022 09:22:38 a. m.</t>
  </si>
  <si>
    <t>04/08/2022 09:24:47 a. m.</t>
  </si>
  <si>
    <t>04/08/2022 09:27:42 a. m.</t>
  </si>
  <si>
    <t>04/08/2022 09:30:56 a. m.</t>
  </si>
  <si>
    <t>04/08/2022 09:54:49 a. m.</t>
  </si>
  <si>
    <t>04/08/2022 09:57:00 a. m.</t>
  </si>
  <si>
    <t>04/08/2022 10:27:18 a. m.</t>
  </si>
  <si>
    <t>04/08/2022 10:38:51 a. m.</t>
  </si>
  <si>
    <t>04/08/2022 11:00:56 a. m.</t>
  </si>
  <si>
    <t>04/08/2022 11:20:29 a. m.</t>
  </si>
  <si>
    <t>04/08/2022 11:22:12 a. m.</t>
  </si>
  <si>
    <t>04/08/2022 11:39:51 a. m.</t>
  </si>
  <si>
    <t>04/08/2022 11:59:32 a. m.</t>
  </si>
  <si>
    <t>04/08/2022 12:03:49 p. m.</t>
  </si>
  <si>
    <t>04/08/2022 12:40:02 p. m.</t>
  </si>
  <si>
    <t>04/08/2022 01:01:18 p. m.</t>
  </si>
  <si>
    <t>04/08/2022 01:01:52 p. m.</t>
  </si>
  <si>
    <t>04/08/2022 01:05:16 p. m.</t>
  </si>
  <si>
    <t>04/08/2022 01:06:44 p. m.</t>
  </si>
  <si>
    <t>04/08/2022 01:22:30 p. m.</t>
  </si>
  <si>
    <t>04/08/2022 01:34:38 p. m.</t>
  </si>
  <si>
    <t>04/08/2022 02:16:38 p. m.</t>
  </si>
  <si>
    <t>04/08/2022 03:09:46 p. m.</t>
  </si>
  <si>
    <t>04/08/2022 03:13:43 p. m.</t>
  </si>
  <si>
    <t>04/08/2022 03:33:41 p. m.</t>
  </si>
  <si>
    <t>04/08/2022 03:50:27 p. m.</t>
  </si>
  <si>
    <t>04/08/2022 03:59:30 p. m.</t>
  </si>
  <si>
    <t>04/08/2022 04:02:34 p. m.</t>
  </si>
  <si>
    <t>04/08/2022 04:21:30 p. m.</t>
  </si>
  <si>
    <t>04/08/2022 04:24:46 p. m.</t>
  </si>
  <si>
    <t>04/08/2022 04:26:34 p. m.</t>
  </si>
  <si>
    <t>04/08/2022 04:49:11 p. m.</t>
  </si>
  <si>
    <t>04/08/2022 05:10:44 p. m.</t>
  </si>
  <si>
    <t>04/08/2022 05:13:21 p. m.</t>
  </si>
  <si>
    <t>04/08/2022 05:19:08 p. m.</t>
  </si>
  <si>
    <t>04/08/2022 05:20:56 p. m.</t>
  </si>
  <si>
    <t>04/08/2022 05:22:20 p. m.</t>
  </si>
  <si>
    <t>04/08/2022 05:24:03 p. m.</t>
  </si>
  <si>
    <t>04/08/2022 05:37:01 p. m.</t>
  </si>
  <si>
    <t>04/08/2022 05:41:21 p. m.</t>
  </si>
  <si>
    <t>04/08/2022 05:47:30 p. m.</t>
  </si>
  <si>
    <t>04/08/2022 05:49:46 p. m.</t>
  </si>
  <si>
    <t>04/08/2022 05:51:28 p. m.</t>
  </si>
  <si>
    <t>04/08/2022 05:55:14 p. m.</t>
  </si>
  <si>
    <t>04/08/2022 05:55:23 p. m.</t>
  </si>
  <si>
    <t>04/08/2022 05:59:14 p. m.</t>
  </si>
  <si>
    <t>04/08/2022 06:00:48 p. m.</t>
  </si>
  <si>
    <t>04/08/2022 06:10:34 p. m.</t>
  </si>
  <si>
    <t>04/08/2022 06:14:01 p. m.</t>
  </si>
  <si>
    <t>04/08/2022 06:17:14 p. m.</t>
  </si>
  <si>
    <t>04/08/2022 06:26:46 p. m.</t>
  </si>
  <si>
    <t>04/08/2022 06:34:51 p. m.</t>
  </si>
  <si>
    <t>04/08/2022 06:38:17 p. m.</t>
  </si>
  <si>
    <t>04/08/2022 06:48:13 p. m.</t>
  </si>
  <si>
    <t>04/08/2022 06:53:43 p. m.</t>
  </si>
  <si>
    <t>04/08/2022 06:56:20 p. m.</t>
  </si>
  <si>
    <t>04/08/2022 06:59:08 p. m.</t>
  </si>
  <si>
    <t>04/08/2022 07:01:33 p. m.</t>
  </si>
  <si>
    <t>04/08/2022 07:02:13 p. m.</t>
  </si>
  <si>
    <t>04/08/2022 07:32:29 p. m.</t>
  </si>
  <si>
    <t>04/08/2022 07:41:47 p. m.</t>
  </si>
  <si>
    <t>04/08/2022 07:42:35 p. m.</t>
  </si>
  <si>
    <t>04/08/2022 07:44:01 p. m.</t>
  </si>
  <si>
    <t>04/08/2022 07:46:02 p. m.</t>
  </si>
  <si>
    <t>04/08/2022 07:46:49 p. m.</t>
  </si>
  <si>
    <t>04/08/2022 07:49:26 p. m.</t>
  </si>
  <si>
    <t>04/08/2022 07:55:32 p. m.</t>
  </si>
  <si>
    <t>04/08/2022 07:56:05 p. m.</t>
  </si>
  <si>
    <t>04/08/2022 07:56:15 p. m.</t>
  </si>
  <si>
    <t>04/08/2022 08:02:02 p. m.</t>
  </si>
  <si>
    <t>04/08/2022 08:02:46 p. m.</t>
  </si>
  <si>
    <t>04/08/2022 08:19:19 p. m.</t>
  </si>
  <si>
    <t>04/08/2022 08:28:54 p. m.</t>
  </si>
  <si>
    <t>04/08/2022 08:31:38 p. m.</t>
  </si>
  <si>
    <t>04/08/2022 08:41:51 p. m.</t>
  </si>
  <si>
    <t>04/08/2022 08:45:29 p. m.</t>
  </si>
  <si>
    <t>04/08/2022 08:46:28 p. m.</t>
  </si>
  <si>
    <t>04/08/2022 08:55:27 p. m.</t>
  </si>
  <si>
    <t>04/08/2022 08:55:30 p. m.</t>
  </si>
  <si>
    <t>04/08/2022 08:59:49 p. m.</t>
  </si>
  <si>
    <t>04/08/2022 09:01:54 p. m.</t>
  </si>
  <si>
    <t>04/08/2022 09:11:11 p. m.</t>
  </si>
  <si>
    <t>04/08/2022 09:15:53 p. m.</t>
  </si>
  <si>
    <t>04/08/2022 09:21:27 p. m.</t>
  </si>
  <si>
    <t>04/08/2022 09:25:34 p. m.</t>
  </si>
  <si>
    <t>04/08/2022 09:27:18 p. m.</t>
  </si>
  <si>
    <t>04/08/2022 09:28:42 p. m.</t>
  </si>
  <si>
    <t>04/08/2022 09:30:48 p. m.</t>
  </si>
  <si>
    <t>04/08/2022 09:37:10 p. m.</t>
  </si>
  <si>
    <t>04/08/2022 09:42:37 p. m.</t>
  </si>
  <si>
    <t>04/08/2022 09:44:38 p. m.</t>
  </si>
  <si>
    <t>04/08/2022 09:45:26 p. m.</t>
  </si>
  <si>
    <t>04/08/2022 09:45:33 p. m.</t>
  </si>
  <si>
    <t>04/08/2022 09:50:33 p. m.</t>
  </si>
  <si>
    <t>04/08/2022 09:57:38 p. m.</t>
  </si>
  <si>
    <t>04/08/2022 09:58:37 p. m.</t>
  </si>
  <si>
    <t>04/08/2022 10:00:35 p. m.</t>
  </si>
  <si>
    <t>04/08/2022 10:04:22 p. m.</t>
  </si>
  <si>
    <t>04/08/2022 10:06:55 p. m.</t>
  </si>
  <si>
    <t>04/08/2022 10:07:11 p. m.</t>
  </si>
  <si>
    <t>04/08/2022 10:40:38 p. m.</t>
  </si>
  <si>
    <t>04/08/2022 10:44:45 p. m.</t>
  </si>
  <si>
    <t>04/08/2022 10:47:34 p. m.</t>
  </si>
  <si>
    <t>04/08/2022 10:54:32 p. m.</t>
  </si>
  <si>
    <t>04/08/2022 10:54:43 p. m.</t>
  </si>
  <si>
    <t>04/08/2022 10:59:16 p. m.</t>
  </si>
  <si>
    <t>04/08/2022 11:04:31 p. m.</t>
  </si>
  <si>
    <t>05/08/2022 12:10:12 a. m.</t>
  </si>
  <si>
    <t>05/08/2022 12:12:43 a. m.</t>
  </si>
  <si>
    <t>05/08/2022 01:06:51 a. m.</t>
  </si>
  <si>
    <t>05/08/2022 01:25:05 a. m.</t>
  </si>
  <si>
    <t>05/08/2022 06:14:16 a. m.</t>
  </si>
  <si>
    <t>05/08/2022 06:21:24 a. m.</t>
  </si>
  <si>
    <t>05/08/2022 06:38:57 a. m.</t>
  </si>
  <si>
    <t>05/08/2022 06:49:10 a. m.</t>
  </si>
  <si>
    <t>05/08/2022 06:58:30 a. m.</t>
  </si>
  <si>
    <t>05/08/2022 07:08:22 a. m.</t>
  </si>
  <si>
    <t>05/08/2022 07:09:08 a. m.</t>
  </si>
  <si>
    <t>05/08/2022 07:10:04 a. m.</t>
  </si>
  <si>
    <t>05/08/2022 07:10:08 a. m.</t>
  </si>
  <si>
    <t>05/08/2022 07:10:27 a. m.</t>
  </si>
  <si>
    <t>05/08/2022 07:12:40 a. m.</t>
  </si>
  <si>
    <t>05/08/2022 07:19:07 a. m.</t>
  </si>
  <si>
    <t>05/08/2022 07:23:08 a. m.</t>
  </si>
  <si>
    <t>05/08/2022 07:25:28 a. m.</t>
  </si>
  <si>
    <t>05/08/2022 07:25:31 a. m.</t>
  </si>
  <si>
    <t>05/08/2022 07:27:42 a. m.</t>
  </si>
  <si>
    <t>05/08/2022 07:27:45 a. m.</t>
  </si>
  <si>
    <t>05/08/2022 07:31:36 a. m.</t>
  </si>
  <si>
    <t>05/08/2022 07:31:45 a. m.</t>
  </si>
  <si>
    <t>05/08/2022 07:33:25 a. m.</t>
  </si>
  <si>
    <t>05/08/2022 07:34:00 a. m.</t>
  </si>
  <si>
    <t>05/08/2022 07:35:02 a. m.</t>
  </si>
  <si>
    <t>05/08/2022 07:35:07 a. m.</t>
  </si>
  <si>
    <t>05/08/2022 07:35:31 a. m.</t>
  </si>
  <si>
    <t>05/08/2022 07:37:05 a. m.</t>
  </si>
  <si>
    <t>05/08/2022 07:38:41 a. m.</t>
  </si>
  <si>
    <t>05/08/2022 07:40:43 a. m.</t>
  </si>
  <si>
    <t>05/08/2022 07:42:39 a. m.</t>
  </si>
  <si>
    <t>05/08/2022 07:42:46 a. m.</t>
  </si>
  <si>
    <t>05/08/2022 07:43:39 a. m.</t>
  </si>
  <si>
    <t>05/08/2022 07:43:58 a. m.</t>
  </si>
  <si>
    <t>05/08/2022 07:45:30 a. m.</t>
  </si>
  <si>
    <t>05/08/2022 07:46:24 a. m.</t>
  </si>
  <si>
    <t>05/08/2022 07:50:16 a. m.</t>
  </si>
  <si>
    <t>05/08/2022 07:50:51 a. m.</t>
  </si>
  <si>
    <t>05/08/2022 07:54:16 a. m.</t>
  </si>
  <si>
    <t>05/08/2022 07:54:42 a. m.</t>
  </si>
  <si>
    <t>05/08/2022 07:56:00 a. m.</t>
  </si>
  <si>
    <t>05/08/2022 07:57:26 a. m.</t>
  </si>
  <si>
    <t>05/08/2022 07:59:42 a. m.</t>
  </si>
  <si>
    <t>05/08/2022 08:00:07 a. m.</t>
  </si>
  <si>
    <t>05/08/2022 08:00:39 a. m.</t>
  </si>
  <si>
    <t>05/08/2022 08:02:20 a. m.</t>
  </si>
  <si>
    <t>05/08/2022 08:02:33 a. m.</t>
  </si>
  <si>
    <t>05/08/2022 08:03:27 a. m.</t>
  </si>
  <si>
    <t>05/08/2022 08:05:02 a. m.</t>
  </si>
  <si>
    <t>05/08/2022 08:07:22 a. m.</t>
  </si>
  <si>
    <t>05/08/2022 08:07:51 a. m.</t>
  </si>
  <si>
    <t>05/08/2022 08:08:27 a. m.</t>
  </si>
  <si>
    <t>05/08/2022 08:09:50 a. m.</t>
  </si>
  <si>
    <t>05/08/2022 08:09:58 a. m.</t>
  </si>
  <si>
    <t>05/08/2022 08:11:06 a. m.</t>
  </si>
  <si>
    <t>05/08/2022 08:12:39 a. m.</t>
  </si>
  <si>
    <t>05/08/2022 08:13:29 a. m.</t>
  </si>
  <si>
    <t>05/08/2022 08:14:25 a. m.</t>
  </si>
  <si>
    <t>05/08/2022 08:14:38 a. m.</t>
  </si>
  <si>
    <t>05/08/2022 08:14:46 a. m.</t>
  </si>
  <si>
    <t>05/08/2022 08:14:48 a. m.</t>
  </si>
  <si>
    <t>05/08/2022 08:15:13 a. m.</t>
  </si>
  <si>
    <t>05/08/2022 08:16:00 a. m.</t>
  </si>
  <si>
    <t>05/08/2022 08:16:34 a. m.</t>
  </si>
  <si>
    <t>05/08/2022 08:16:44 a. m.</t>
  </si>
  <si>
    <t>05/08/2022 08:17:01 a. m.</t>
  </si>
  <si>
    <t>05/08/2022 08:17:26 a. m.</t>
  </si>
  <si>
    <t>05/08/2022 08:18:07 a. m.</t>
  </si>
  <si>
    <t>05/08/2022 08:18:10 a. m.</t>
  </si>
  <si>
    <t>05/08/2022 08:18:53 a. m.</t>
  </si>
  <si>
    <t>05/08/2022 08:18:56 a. m.</t>
  </si>
  <si>
    <t>05/08/2022 08:19:03 a. m.</t>
  </si>
  <si>
    <t>05/08/2022 08:20:54 a. m.</t>
  </si>
  <si>
    <t>05/08/2022 08:21:14 a. m.</t>
  </si>
  <si>
    <t>05/08/2022 08:21:19 a. m.</t>
  </si>
  <si>
    <t>05/08/2022 08:21:23 a. m.</t>
  </si>
  <si>
    <t>05/08/2022 08:21:36 a. m.</t>
  </si>
  <si>
    <t>05/08/2022 08:23:27 a. m.</t>
  </si>
  <si>
    <t>05/08/2022 08:24:06 a. m.</t>
  </si>
  <si>
    <t>05/08/2022 08:24:12 a. m.</t>
  </si>
  <si>
    <t>05/08/2022 08:24:51 a. m.</t>
  </si>
  <si>
    <t>05/08/2022 08:24:56 a. m.</t>
  </si>
  <si>
    <t>05/08/2022 08:26:42 a. m.</t>
  </si>
  <si>
    <t>05/08/2022 08:26:54 a. m.</t>
  </si>
  <si>
    <t>05/08/2022 08:27:21 a. m.</t>
  </si>
  <si>
    <t>05/08/2022 08:28:44 a. m.</t>
  </si>
  <si>
    <t>05/08/2022 08:28:53 a. m.</t>
  </si>
  <si>
    <t>05/08/2022 08:29:29 a. m.</t>
  </si>
  <si>
    <t>05/08/2022 08:30:33 a. m.</t>
  </si>
  <si>
    <t>05/08/2022 08:32:10 a. m.</t>
  </si>
  <si>
    <t>05/08/2022 08:32:12 a. m.</t>
  </si>
  <si>
    <t>05/08/2022 08:32:50 a. m.</t>
  </si>
  <si>
    <t>05/08/2022 08:32:57 a. m.</t>
  </si>
  <si>
    <t>05/08/2022 08:33:35 a. m.</t>
  </si>
  <si>
    <t>05/08/2022 08:36:01 a. m.</t>
  </si>
  <si>
    <t>05/08/2022 08:36:14 a. m.</t>
  </si>
  <si>
    <t>05/08/2022 08:36:16 a. m.</t>
  </si>
  <si>
    <t>05/08/2022 08:36:18 a. m.</t>
  </si>
  <si>
    <t>05/08/2022 08:38:08 a. m.</t>
  </si>
  <si>
    <t>05/08/2022 08:39:12 a. m.</t>
  </si>
  <si>
    <t>05/08/2022 08:39:26 a. m.</t>
  </si>
  <si>
    <t>05/08/2022 08:39:49 a. m.</t>
  </si>
  <si>
    <t>05/08/2022 08:40:29 a. m.</t>
  </si>
  <si>
    <t>05/08/2022 08:41:10 a. m.</t>
  </si>
  <si>
    <t>05/08/2022 08:43:00 a. m.</t>
  </si>
  <si>
    <t>05/08/2022 08:45:43 a. m.</t>
  </si>
  <si>
    <t>05/08/2022 08:46:06 a. m.</t>
  </si>
  <si>
    <t>05/08/2022 08:46:26 a. m.</t>
  </si>
  <si>
    <t>05/08/2022 08:47:32 a. m.</t>
  </si>
  <si>
    <t>05/08/2022 08:48:18 a. m.</t>
  </si>
  <si>
    <t>05/08/2022 08:48:39 a. m.</t>
  </si>
  <si>
    <t>05/08/2022 08:49:17 a. m.</t>
  </si>
  <si>
    <t>05/08/2022 08:49:45 a. m.</t>
  </si>
  <si>
    <t>05/08/2022 08:50:03 a. m.</t>
  </si>
  <si>
    <t>05/08/2022 08:50:23 a. m.</t>
  </si>
  <si>
    <t>05/08/2022 08:50:33 a. m.</t>
  </si>
  <si>
    <t>05/08/2022 08:52:56 a. m.</t>
  </si>
  <si>
    <t>05/08/2022 08:53:53 a. m.</t>
  </si>
  <si>
    <t>05/08/2022 08:54:54 a. m.</t>
  </si>
  <si>
    <t>05/08/2022 08:56:05 a. m.</t>
  </si>
  <si>
    <t>05/08/2022 08:56:22 a. m.</t>
  </si>
  <si>
    <t>05/08/2022 08:56:24 a. m.</t>
  </si>
  <si>
    <t>05/08/2022 08:56:49 a. m.</t>
  </si>
  <si>
    <t>05/08/2022 08:56:51 a. m.</t>
  </si>
  <si>
    <t>05/08/2022 08:59:21 a. m.</t>
  </si>
  <si>
    <t>05/08/2022 08:59:25 a. m.</t>
  </si>
  <si>
    <t>05/08/2022 08:59:41 a. m.</t>
  </si>
  <si>
    <t>05/08/2022 09:00:02 a. m.</t>
  </si>
  <si>
    <t>05/08/2022 09:00:09 a. m.</t>
  </si>
  <si>
    <t>05/08/2022 09:00:47 a. m.</t>
  </si>
  <si>
    <t>05/08/2022 09:01:28 a. m.</t>
  </si>
  <si>
    <t>05/08/2022 09:03:14 a. m.</t>
  </si>
  <si>
    <t>05/08/2022 09:03:27 a. m.</t>
  </si>
  <si>
    <t>05/08/2022 09:04:16 a. m.</t>
  </si>
  <si>
    <t>05/08/2022 09:05:01 a. m.</t>
  </si>
  <si>
    <t>05/08/2022 09:05:36 a. m.</t>
  </si>
  <si>
    <t>05/08/2022 09:05:49 a. m.</t>
  </si>
  <si>
    <t>05/08/2022 09:05:51 a. m.</t>
  </si>
  <si>
    <t>05/08/2022 09:07:58 a. m.</t>
  </si>
  <si>
    <t>05/08/2022 09:08:09 a. m.</t>
  </si>
  <si>
    <t>05/08/2022 09:09:53 a. m.</t>
  </si>
  <si>
    <t>05/08/2022 09:09:57 a. m.</t>
  </si>
  <si>
    <t>05/08/2022 09:11:55 a. m.</t>
  </si>
  <si>
    <t>05/08/2022 09:12:09 a. m.</t>
  </si>
  <si>
    <t>05/08/2022 09:14:26 a. m.</t>
  </si>
  <si>
    <t>05/08/2022 09:14:30 a. m.</t>
  </si>
  <si>
    <t>05/08/2022 09:15:16 a. m.</t>
  </si>
  <si>
    <t>05/08/2022 09:15:32 a. m.</t>
  </si>
  <si>
    <t>05/08/2022 09:16:30 a. m.</t>
  </si>
  <si>
    <t>05/08/2022 09:17:18 a. m.</t>
  </si>
  <si>
    <t>05/08/2022 09:17:42 a. m.</t>
  </si>
  <si>
    <t>05/08/2022 09:17:48 a. m.</t>
  </si>
  <si>
    <t>05/08/2022 09:17:57 a. m.</t>
  </si>
  <si>
    <t>05/08/2022 09:18:10 a. m.</t>
  </si>
  <si>
    <t>05/08/2022 09:19:57 a. m.</t>
  </si>
  <si>
    <t>05/08/2022 09:20:37 a. m.</t>
  </si>
  <si>
    <t>05/08/2022 09:23:32 a. m.</t>
  </si>
  <si>
    <t>05/08/2022 09:24:46 a. m.</t>
  </si>
  <si>
    <t>05/08/2022 09:26:43 a. m.</t>
  </si>
  <si>
    <t>05/08/2022 09:27:26 a. m.</t>
  </si>
  <si>
    <t>05/08/2022 09:28:45 a. m.</t>
  </si>
  <si>
    <t>05/08/2022 09:28:54 a. m.</t>
  </si>
  <si>
    <t>05/08/2022 09:29:29 a. m.</t>
  </si>
  <si>
    <t>05/08/2022 09:30:22 a. m.</t>
  </si>
  <si>
    <t>05/08/2022 09:30:48 a. m.</t>
  </si>
  <si>
    <t>05/08/2022 09:30:51 a. m.</t>
  </si>
  <si>
    <t>05/08/2022 09:31:22 a. m.</t>
  </si>
  <si>
    <t>05/08/2022 09:31:36 a. m.</t>
  </si>
  <si>
    <t>05/08/2022 09:32:06 a. m.</t>
  </si>
  <si>
    <t>05/08/2022 09:32:59 a. m.</t>
  </si>
  <si>
    <t>05/08/2022 09:33:24 a. m.</t>
  </si>
  <si>
    <t>05/08/2022 09:34:01 a. m.</t>
  </si>
  <si>
    <t>05/08/2022 09:34:05 a. m.</t>
  </si>
  <si>
    <t>05/08/2022 09:35:30 a. m.</t>
  </si>
  <si>
    <t>05/08/2022 09:35:49 a. m.</t>
  </si>
  <si>
    <t>05/08/2022 09:36:14 a. m.</t>
  </si>
  <si>
    <t>05/08/2022 09:38:25 a. m.</t>
  </si>
  <si>
    <t>05/08/2022 09:38:38 a. m.</t>
  </si>
  <si>
    <t>05/08/2022 09:40:26 a. m.</t>
  </si>
  <si>
    <t>05/08/2022 09:40:42 a. m.</t>
  </si>
  <si>
    <t>05/08/2022 09:41:19 a. m.</t>
  </si>
  <si>
    <t>05/08/2022 09:42:42 a. m.</t>
  </si>
  <si>
    <t>05/08/2022 09:43:42 a. m.</t>
  </si>
  <si>
    <t>05/08/2022 09:43:51 a. m.</t>
  </si>
  <si>
    <t>05/08/2022 09:44:14 a. m.</t>
  </si>
  <si>
    <t>05/08/2022 09:44:52 a. m.</t>
  </si>
  <si>
    <t>05/08/2022 09:45:25 a. m.</t>
  </si>
  <si>
    <t>05/08/2022 09:45:55 a. m.</t>
  </si>
  <si>
    <t>05/08/2022 09:46:53 a. m.</t>
  </si>
  <si>
    <t>05/08/2022 09:46:54 a. m.</t>
  </si>
  <si>
    <t>05/08/2022 09:47:48 a. m.</t>
  </si>
  <si>
    <t>05/08/2022 09:48:47 a. m.</t>
  </si>
  <si>
    <t>05/08/2022 09:49:44 a. m.</t>
  </si>
  <si>
    <t>05/08/2022 09:49:58 a. m.</t>
  </si>
  <si>
    <t>05/08/2022 09:50:30 a. m.</t>
  </si>
  <si>
    <t>05/08/2022 09:51:25 a. m.</t>
  </si>
  <si>
    <t>05/08/2022 09:51:27 a. m.</t>
  </si>
  <si>
    <t>05/08/2022 09:51:53 a. m.</t>
  </si>
  <si>
    <t>05/08/2022 09:53:28 a. m.</t>
  </si>
  <si>
    <t>05/08/2022 09:53:44 a. m.</t>
  </si>
  <si>
    <t>05/08/2022 09:55:21 a. m.</t>
  </si>
  <si>
    <t>05/08/2022 09:56:09 a. m.</t>
  </si>
  <si>
    <t>05/08/2022 09:57:05 a. m.</t>
  </si>
  <si>
    <t>05/08/2022 09:57:37 a. m.</t>
  </si>
  <si>
    <t>05/08/2022 09:57:48 a. m.</t>
  </si>
  <si>
    <t>05/08/2022 09:58:05 a. m.</t>
  </si>
  <si>
    <t>05/08/2022 09:58:26 a. m.</t>
  </si>
  <si>
    <t>05/08/2022 09:58:44 a. m.</t>
  </si>
  <si>
    <t>05/08/2022 10:01:26 a. m.</t>
  </si>
  <si>
    <t>05/08/2022 10:02:05 a. m.</t>
  </si>
  <si>
    <t>05/08/2022 10:04:14 a. m.</t>
  </si>
  <si>
    <t>05/08/2022 10:06:06 a. m.</t>
  </si>
  <si>
    <t>05/08/2022 10:06:27 a. m.</t>
  </si>
  <si>
    <t>05/08/2022 10:09:58 a. m.</t>
  </si>
  <si>
    <t>05/08/2022 10:10:08 a. m.</t>
  </si>
  <si>
    <t>05/08/2022 10:15:52 a. m.</t>
  </si>
  <si>
    <t>05/08/2022 10:16:18 a. m.</t>
  </si>
  <si>
    <t>05/08/2022 10:19:36 a. m.</t>
  </si>
  <si>
    <t>05/08/2022 10:21:58 a. m.</t>
  </si>
  <si>
    <t>05/08/2022 10:24:33 a. m.</t>
  </si>
  <si>
    <t>05/08/2022 10:26:20 a. m.</t>
  </si>
  <si>
    <t>05/08/2022 10:27:53 a. m.</t>
  </si>
  <si>
    <t>05/08/2022 10:31:12 a. m.</t>
  </si>
  <si>
    <t>05/08/2022 10:33:59 a. m.</t>
  </si>
  <si>
    <t>05/08/2022 10:36:41 a. m.</t>
  </si>
  <si>
    <t>05/08/2022 10:38:26 a. m.</t>
  </si>
  <si>
    <t>05/08/2022 10:38:33 a. m.</t>
  </si>
  <si>
    <t>05/08/2022 10:38:49 a. m.</t>
  </si>
  <si>
    <t>05/08/2022 10:45:18 a. m.</t>
  </si>
  <si>
    <t>05/08/2022 10:47:31 a. m.</t>
  </si>
  <si>
    <t>05/08/2022 10:52:30 a. m.</t>
  </si>
  <si>
    <t>05/08/2022 10:52:55 a. m.</t>
  </si>
  <si>
    <t>05/08/2022 10:53:37 a. m.</t>
  </si>
  <si>
    <t>05/08/2022 10:54:18 a. m.</t>
  </si>
  <si>
    <t>05/08/2022 10:55:50 a. m.</t>
  </si>
  <si>
    <t>05/08/2022 11:00:56 a. m.</t>
  </si>
  <si>
    <t>05/08/2022 11:02:58 a. m.</t>
  </si>
  <si>
    <t>05/08/2022 11:04:05 a. m.</t>
  </si>
  <si>
    <t>05/08/2022 11:05:15 a. m.</t>
  </si>
  <si>
    <t>05/08/2022 11:06:59 a. m.</t>
  </si>
  <si>
    <t>05/08/2022 11:09:45 a. m.</t>
  </si>
  <si>
    <t>05/08/2022 11:10:07 a. m.</t>
  </si>
  <si>
    <t>05/08/2022 11:11:31 a. m.</t>
  </si>
  <si>
    <t>05/08/2022 11:12:30 a. m.</t>
  </si>
  <si>
    <t>05/08/2022 11:12:46 a. m.</t>
  </si>
  <si>
    <t>05/08/2022 11:18:17 a. m.</t>
  </si>
  <si>
    <t>05/08/2022 11:19:01 a. m.</t>
  </si>
  <si>
    <t>05/08/2022 11:21:49 a. m.</t>
  </si>
  <si>
    <t>05/08/2022 11:22:09 a. m.</t>
  </si>
  <si>
    <t>05/08/2022 11:22:11 a. m.</t>
  </si>
  <si>
    <t>05/08/2022 11:24:47 a. m.</t>
  </si>
  <si>
    <t>05/08/2022 11:26:58 a. m.</t>
  </si>
  <si>
    <t>05/08/2022 11:34:56 a. m.</t>
  </si>
  <si>
    <t>05/08/2022 11:36:56 a. m.</t>
  </si>
  <si>
    <t>05/08/2022 11:37:23 a. m.</t>
  </si>
  <si>
    <t>05/08/2022 11:40:23 a. m.</t>
  </si>
  <si>
    <t>05/08/2022 11:40:47 a. m.</t>
  </si>
  <si>
    <t>05/08/2022 11:41:03 a. m.</t>
  </si>
  <si>
    <t>05/08/2022 11:41:17 a. m.</t>
  </si>
  <si>
    <t>05/08/2022 11:44:10 a. m.</t>
  </si>
  <si>
    <t>05/08/2022 11:46:16 a. m.</t>
  </si>
  <si>
    <t>05/08/2022 11:46:36 a. m.</t>
  </si>
  <si>
    <t>05/08/2022 11:58:29 a. m.</t>
  </si>
  <si>
    <t>05/08/2022 12:00:52 p. m.</t>
  </si>
  <si>
    <t>05/08/2022 12:04:01 p. m.</t>
  </si>
  <si>
    <t>05/08/2022 12:04:24 p. m.</t>
  </si>
  <si>
    <t>05/08/2022 12:05:49 p. m.</t>
  </si>
  <si>
    <t>05/08/2022 12:14:04 p. m.</t>
  </si>
  <si>
    <t>05/08/2022 12:15:08 p. m.</t>
  </si>
  <si>
    <t>05/08/2022 12:15:58 p. m.</t>
  </si>
  <si>
    <t>05/08/2022 12:17:01 p. m.</t>
  </si>
  <si>
    <t>05/08/2022 12:17:52 p. m.</t>
  </si>
  <si>
    <t>05/08/2022 12:19:33 p. m.</t>
  </si>
  <si>
    <t>05/08/2022 12:22:04 p. m.</t>
  </si>
  <si>
    <t>05/08/2022 12:23:21 p. m.</t>
  </si>
  <si>
    <t>05/08/2022 12:31:01 p. m.</t>
  </si>
  <si>
    <t>05/08/2022 12:31:33 p. m.</t>
  </si>
  <si>
    <t>05/08/2022 12:32:29 p. m.</t>
  </si>
  <si>
    <t>05/08/2022 12:39:57 p. m.</t>
  </si>
  <si>
    <t>05/08/2022 12:41:43 p. m.</t>
  </si>
  <si>
    <t>05/08/2022 12:44:22 p. m.</t>
  </si>
  <si>
    <t>05/08/2022 12:46:38 p. m.</t>
  </si>
  <si>
    <t>05/08/2022 12:50:11 p. m.</t>
  </si>
  <si>
    <t>05/08/2022 12:50:29 p. m.</t>
  </si>
  <si>
    <t>05/08/2022 01:01:27 p. m.</t>
  </si>
  <si>
    <t>05/08/2022 01:05:04 p. m.</t>
  </si>
  <si>
    <t>05/08/2022 01:06:30 p. m.</t>
  </si>
  <si>
    <t>05/08/2022 01:08:13 p. m.</t>
  </si>
  <si>
    <t>05/08/2022 01:09:35 p. m.</t>
  </si>
  <si>
    <t>05/08/2022 01:22:26 p. m.</t>
  </si>
  <si>
    <t>05/08/2022 01:30:24 p. m.</t>
  </si>
  <si>
    <t>05/08/2022 01:35:55 p. m.</t>
  </si>
  <si>
    <t>05/08/2022 01:37:42 p. m.</t>
  </si>
  <si>
    <t>05/08/2022 01:39:42 p. m.</t>
  </si>
  <si>
    <t>05/08/2022 01:41:17 p. m.</t>
  </si>
  <si>
    <t>05/08/2022 01:42:31 p. m.</t>
  </si>
  <si>
    <t>05/08/2022 01:44:36 p. m.</t>
  </si>
  <si>
    <t>05/08/2022 01:49:12 p. m.</t>
  </si>
  <si>
    <t>05/08/2022 01:49:24 p. m.</t>
  </si>
  <si>
    <t>05/08/2022 01:50:49 p. m.</t>
  </si>
  <si>
    <t>05/08/2022 01:58:00 p. m.</t>
  </si>
  <si>
    <t>05/08/2022 01:58:33 p. m.</t>
  </si>
  <si>
    <t>05/08/2022 02:00:29 p. m.</t>
  </si>
  <si>
    <t>05/08/2022 02:06:15 p. m.</t>
  </si>
  <si>
    <t>05/08/2022 02:10:06 p. m.</t>
  </si>
  <si>
    <t>05/08/2022 02:13:07 p. m.</t>
  </si>
  <si>
    <t>05/08/2022 02:14:25 p. m.</t>
  </si>
  <si>
    <t>05/08/2022 02:17:50 p. m.</t>
  </si>
  <si>
    <t>05/08/2022 02:32:39 p. m.</t>
  </si>
  <si>
    <t>05/08/2022 02:33:27 p. m.</t>
  </si>
  <si>
    <t>05/08/2022 02:34:44 p. m.</t>
  </si>
  <si>
    <t>05/08/2022 02:39:15 p. m.</t>
  </si>
  <si>
    <t>05/08/2022 02:57:46 p. m.</t>
  </si>
  <si>
    <t>05/08/2022 03:19:59 p. m.</t>
  </si>
  <si>
    <t>05/08/2022 03:36:48 p. m.</t>
  </si>
  <si>
    <t>05/08/2022 03:40:50 p. m.</t>
  </si>
  <si>
    <t>05/08/2022 03:42:56 p. m.</t>
  </si>
  <si>
    <t>05/08/2022 03:56:22 p. m.</t>
  </si>
  <si>
    <t>05/08/2022 04:01:09 p. m.</t>
  </si>
  <si>
    <t>05/08/2022 04:03:08 p. m.</t>
  </si>
  <si>
    <t>05/08/2022 04:09:36 p. m.</t>
  </si>
  <si>
    <t>05/08/2022 04:16:43 p. m.</t>
  </si>
  <si>
    <t>05/08/2022 04:33:29 p. m.</t>
  </si>
  <si>
    <t>05/08/2022 04:33:57 p. m.</t>
  </si>
  <si>
    <t>05/08/2022 04:47:24 p. m.</t>
  </si>
  <si>
    <t>05/08/2022 04:55:15 p. m.</t>
  </si>
  <si>
    <t>05/08/2022 05:08:08 p. m.</t>
  </si>
  <si>
    <t>05/08/2022 05:08:42 p. m.</t>
  </si>
  <si>
    <t>05/08/2022 05:18:29 p. m.</t>
  </si>
  <si>
    <t>05/08/2022 05:25:49 p. m.</t>
  </si>
  <si>
    <t>05/08/2022 05:27:30 p. m.</t>
  </si>
  <si>
    <t>05/08/2022 05:40:26 p. m.</t>
  </si>
  <si>
    <t>05/08/2022 05:40:40 p. m.</t>
  </si>
  <si>
    <t>05/08/2022 05:43:24 p. m.</t>
  </si>
  <si>
    <t>05/08/2022 05:44:05 p. m.</t>
  </si>
  <si>
    <t>05/08/2022 05:49:32 p. m.</t>
  </si>
  <si>
    <t>05/08/2022 06:02:12 p. m.</t>
  </si>
  <si>
    <t>05/08/2022 06:20:59 p. m.</t>
  </si>
  <si>
    <t>05/08/2022 06:26:32 p. m.</t>
  </si>
  <si>
    <t>05/08/2022 06:33:46 p. m.</t>
  </si>
  <si>
    <t>05/08/2022 06:35:07 p. m.</t>
  </si>
  <si>
    <t>05/08/2022 06:35:34 p. m.</t>
  </si>
  <si>
    <t>05/08/2022 06:38:21 p. m.</t>
  </si>
  <si>
    <t>05/08/2022 06:46:52 p. m.</t>
  </si>
  <si>
    <t>05/08/2022 06:54:53 p. m.</t>
  </si>
  <si>
    <t>05/08/2022 07:03:15 p. m.</t>
  </si>
  <si>
    <t>05/08/2022 07:13:03 p. m.</t>
  </si>
  <si>
    <t>05/08/2022 07:13:45 p. m.</t>
  </si>
  <si>
    <t>05/08/2022 07:14:15 p. m.</t>
  </si>
  <si>
    <t>05/08/2022 07:14:33 p. m.</t>
  </si>
  <si>
    <t>05/08/2022 07:16:37 p. m.</t>
  </si>
  <si>
    <t>05/08/2022 07:27:54 p. m.</t>
  </si>
  <si>
    <t>05/08/2022 07:30:46 p. m.</t>
  </si>
  <si>
    <t>05/08/2022 07:32:00 p. m.</t>
  </si>
  <si>
    <t>05/08/2022 07:32:43 p. m.</t>
  </si>
  <si>
    <t>05/08/2022 08:00:27 p. m.</t>
  </si>
  <si>
    <t>05/08/2022 08:05:04 p. m.</t>
  </si>
  <si>
    <t>05/08/2022 08:29:50 p. m.</t>
  </si>
  <si>
    <t>05/08/2022 08:30:46 p. m.</t>
  </si>
  <si>
    <t>05/08/2022 08:49:00 p. m.</t>
  </si>
  <si>
    <t>05/08/2022 08:49:14 p. m.</t>
  </si>
  <si>
    <t>05/08/2022 09:12:33 p. m.</t>
  </si>
  <si>
    <t>05/08/2022 09:12:50 p. m.</t>
  </si>
  <si>
    <t>05/08/2022 09:20:32 p. m.</t>
  </si>
  <si>
    <t>05/08/2022 09:38:03 p. m.</t>
  </si>
  <si>
    <t>05/08/2022 10:10:13 p. m.</t>
  </si>
  <si>
    <t>05/08/2022 10:14:10 p. m.</t>
  </si>
  <si>
    <t>05/08/2022 10:22:50 p. m.</t>
  </si>
  <si>
    <t>05/08/2022 10:28:43 p. m.</t>
  </si>
  <si>
    <t>05/08/2022 10:57:43 p. m.</t>
  </si>
  <si>
    <t>05/08/2022 11:02:11 p. m.</t>
  </si>
  <si>
    <t>05/08/2022 11:26:59 p. m.</t>
  </si>
  <si>
    <t>05/08/2022 11:34:09 p. m.</t>
  </si>
  <si>
    <t>06/08/2022 08:20:53 a. m.</t>
  </si>
  <si>
    <t>06/08/2022 09:39:21 a. m.</t>
  </si>
  <si>
    <t>06/08/2022 09:48:52 a. m.</t>
  </si>
  <si>
    <t>06/08/2022 11:17:16 a. m.</t>
  </si>
  <si>
    <t>06/08/2022 11:17:19 a. m.</t>
  </si>
  <si>
    <t>06/08/2022 12:33:21 p. m.</t>
  </si>
  <si>
    <t>06/08/2022 01:35:43 p. m.</t>
  </si>
  <si>
    <t>06/08/2022 02:18:13 p. m.</t>
  </si>
  <si>
    <t>06/08/2022 02:45:01 p. m.</t>
  </si>
  <si>
    <t>06/08/2022 03:12:51 p. m.</t>
  </si>
  <si>
    <t>06/08/2022 03:41:35 p. m.</t>
  </si>
  <si>
    <t>06/08/2022 04:36:58 p. m.</t>
  </si>
  <si>
    <t>06/08/2022 06:00:56 p. m.</t>
  </si>
  <si>
    <t>06/08/2022 08:07:43 p. m.</t>
  </si>
  <si>
    <t>07/08/2022 09:40:50 a. m.</t>
  </si>
  <si>
    <t>07/08/2022 09:45:05 a. m.</t>
  </si>
  <si>
    <t>07/08/2022 11:39:30 a. m.</t>
  </si>
  <si>
    <t>07/08/2022 12:29:55 p. m.</t>
  </si>
  <si>
    <t>07/08/2022 01:08:02 p. m.</t>
  </si>
  <si>
    <t>07/08/2022 02:20:05 p. m.</t>
  </si>
  <si>
    <t>07/08/2022 03:01:21 p. m.</t>
  </si>
  <si>
    <t>07/08/2022 05:04:33 p. m.</t>
  </si>
  <si>
    <t>07/08/2022 07:20:44 p. m.</t>
  </si>
  <si>
    <t>07/08/2022 07:26:53 p. m.</t>
  </si>
  <si>
    <t>07/08/2022 07:57:59 p. m.</t>
  </si>
  <si>
    <t>07/08/2022 08:13:10 p. m.</t>
  </si>
  <si>
    <t>07/08/2022 08:29:07 p. m.</t>
  </si>
  <si>
    <t>07/08/2022 10:07:40 p. m.</t>
  </si>
  <si>
    <t>07:23:08 a. m.</t>
  </si>
  <si>
    <t>08:32:57 a. m.</t>
  </si>
  <si>
    <t>08:36:01 a. m.</t>
  </si>
  <si>
    <t>08:45:43 a. m.</t>
  </si>
  <si>
    <t>10:15:52 a. m.</t>
  </si>
  <si>
    <t>01:22:26 p. m.</t>
  </si>
  <si>
    <t>01:49:24 p. m.</t>
  </si>
  <si>
    <t>08:29:50 p. m.</t>
  </si>
  <si>
    <t>08:49:00 p. m.</t>
  </si>
  <si>
    <t>07:12:40 a. m.</t>
  </si>
  <si>
    <t>08:07:51 a. m.</t>
  </si>
  <si>
    <t>09:17:48 a. m.</t>
  </si>
  <si>
    <t>09:30:51 a. m.</t>
  </si>
  <si>
    <t>01:50:49 p. m.</t>
  </si>
  <si>
    <t>02:14:25 p. m.</t>
  </si>
  <si>
    <t>06:02:12 p. m.</t>
  </si>
  <si>
    <t>08:49:14 p. m.</t>
  </si>
  <si>
    <t>11:17:16 a. m.</t>
  </si>
  <si>
    <t>10:07:40 p. m.</t>
  </si>
  <si>
    <t>08:15:13 a. m.</t>
  </si>
  <si>
    <t>08:18:53 a. m.</t>
  </si>
  <si>
    <t>08:21:36 a. m.</t>
  </si>
  <si>
    <t>08:23:27 a. m.</t>
  </si>
  <si>
    <t>08:50:03 a. m.</t>
  </si>
  <si>
    <t>08:56:22 a. m.</t>
  </si>
  <si>
    <t>08:59:25 a. m.</t>
  </si>
  <si>
    <t>09:14:30 a. m.</t>
  </si>
  <si>
    <t>09:17:18 a. m.</t>
  </si>
  <si>
    <t>09:23:32 a. m.</t>
  </si>
  <si>
    <t>09:34:05 a. m.</t>
  </si>
  <si>
    <t>10:26:20 a. m.</t>
  </si>
  <si>
    <t>10:47:31 a. m.</t>
  </si>
  <si>
    <t>11:09:45 a. m.</t>
  </si>
  <si>
    <t>11:46:16 a. m.</t>
  </si>
  <si>
    <t>01:08:13 p. m.</t>
  </si>
  <si>
    <t>01:41:17 p. m.</t>
  </si>
  <si>
    <t>07:35:31 a. m.</t>
  </si>
  <si>
    <t>07:37:05 a. m.</t>
  </si>
  <si>
    <t>07:38:41 a. m.</t>
  </si>
  <si>
    <t>07:40:43 a. m.</t>
  </si>
  <si>
    <t>09:05:01 a. m.</t>
  </si>
  <si>
    <t>09:15:32 a. m.</t>
  </si>
  <si>
    <t>09:44:52 a. m.</t>
  </si>
  <si>
    <t>09:46:53 a. m.</t>
  </si>
  <si>
    <t>10:10:08 a. m.</t>
  </si>
  <si>
    <t>11:18:17 a. m.</t>
  </si>
  <si>
    <t>11:22:09 a. m.</t>
  </si>
  <si>
    <t>02:39:15 p. m.</t>
  </si>
  <si>
    <t>04:01:09 p. m.</t>
  </si>
  <si>
    <t>05:40:26 p. m.</t>
  </si>
  <si>
    <t>05:49:32 p. m.</t>
  </si>
  <si>
    <t>09:39:21 a. m.</t>
  </si>
  <si>
    <t>08:29:07 p. m.</t>
  </si>
  <si>
    <t>08:56:49 a. m.</t>
  </si>
  <si>
    <t>09:05:36 a. m.</t>
  </si>
  <si>
    <t>09:07:58 a. m.</t>
  </si>
  <si>
    <t>09:11:55 a. m.</t>
  </si>
  <si>
    <t>09:26:43 a. m.</t>
  </si>
  <si>
    <t>09:30:22 a. m.</t>
  </si>
  <si>
    <t>09:33:24 a. m.</t>
  </si>
  <si>
    <t>09:49:58 a. m.</t>
  </si>
  <si>
    <t>01:37:42 p. m.</t>
  </si>
  <si>
    <t>02:45:01 p. m.</t>
  </si>
  <si>
    <t>04:36:58 p. m.</t>
  </si>
  <si>
    <t>09:40:50 a. m.</t>
  </si>
  <si>
    <t>08:02:20 a. m.</t>
  </si>
  <si>
    <t>08:12:39 a. m.</t>
  </si>
  <si>
    <t>08:16:44 a. m.</t>
  </si>
  <si>
    <t>12:44:22 p. m.</t>
  </si>
  <si>
    <t>01:35:55 p. m.</t>
  </si>
  <si>
    <t>07:32:00 p. m.</t>
  </si>
  <si>
    <t>10:22:50 p. m.</t>
  </si>
  <si>
    <t>07:10:27 a. m.</t>
  </si>
  <si>
    <t>07:19:07 a. m.</t>
  </si>
  <si>
    <t>07:27:45 a. m.</t>
  </si>
  <si>
    <t>07:31:45 a. m.</t>
  </si>
  <si>
    <t>08:14:48 a. m.</t>
  </si>
  <si>
    <t>08:18:07 a. m.</t>
  </si>
  <si>
    <t>08:21:19 a. m.</t>
  </si>
  <si>
    <t>08:39:12 a. m.</t>
  </si>
  <si>
    <t>08:53:53 a. m.</t>
  </si>
  <si>
    <t>09:00:47 a. m.</t>
  </si>
  <si>
    <t>09:40:26 a. m.</t>
  </si>
  <si>
    <t>09:43:42 a. m.</t>
  </si>
  <si>
    <t>09:47:48 a. m.</t>
  </si>
  <si>
    <t>09:51:27 a. m.</t>
  </si>
  <si>
    <t>10:09:58 a. m.</t>
  </si>
  <si>
    <t>10:16:18 a. m.</t>
  </si>
  <si>
    <t>10:38:49 a. m.</t>
  </si>
  <si>
    <t>11:22:11 a. m.</t>
  </si>
  <si>
    <t>12:46:38 p. m.</t>
  </si>
  <si>
    <t>01:49:12 p. m.</t>
  </si>
  <si>
    <t>02:57:46 p. m.</t>
  </si>
  <si>
    <t>04:33:57 p. m.</t>
  </si>
  <si>
    <t>05:18:29 p. m.</t>
  </si>
  <si>
    <t>06:20:59 p. m.</t>
  </si>
  <si>
    <t>10:28:43 p. m.</t>
  </si>
  <si>
    <t>08:07:43 p. m.</t>
  </si>
  <si>
    <t>11:39:30 a. m.</t>
  </si>
  <si>
    <t>07:10:08 a. m.</t>
  </si>
  <si>
    <t>07:56:00 a. m.</t>
  </si>
  <si>
    <t>08:00:07 a. m.</t>
  </si>
  <si>
    <t>08:09:58 a. m.</t>
  </si>
  <si>
    <t>08:14:38 a. m.</t>
  </si>
  <si>
    <t>08:18:10 a. m.</t>
  </si>
  <si>
    <t>08:20:54 a. m.</t>
  </si>
  <si>
    <t>08:28:53 a. m.</t>
  </si>
  <si>
    <t>08:36:14 a. m.</t>
  </si>
  <si>
    <t>08:39:26 a. m.</t>
  </si>
  <si>
    <t>08:48:39 a. m.</t>
  </si>
  <si>
    <t>08:56:05 a. m.</t>
  </si>
  <si>
    <t>08:59:21 a. m.</t>
  </si>
  <si>
    <t>09:05:49 a. m.</t>
  </si>
  <si>
    <t>09:08:09 a. m.</t>
  </si>
  <si>
    <t>09:27:26 a. m.</t>
  </si>
  <si>
    <t>09:30:48 a. m.</t>
  </si>
  <si>
    <t>09:34:01 a. m.</t>
  </si>
  <si>
    <t>09:57:37 a. m.</t>
  </si>
  <si>
    <t>10:02:05 a. m.</t>
  </si>
  <si>
    <t>10:27:53 a. m.</t>
  </si>
  <si>
    <t>10:53:37 a. m.</t>
  </si>
  <si>
    <t>11:06:59 a. m.</t>
  </si>
  <si>
    <t>11:26:58 a. m.</t>
  </si>
  <si>
    <t>11:41:17 a. m.</t>
  </si>
  <si>
    <t>02:10:06 p. m.</t>
  </si>
  <si>
    <t>02:32:39 p. m.</t>
  </si>
  <si>
    <t>03:42:56 p. m.</t>
  </si>
  <si>
    <t>04:03:08 p. m.</t>
  </si>
  <si>
    <t>04:09:36 p. m.</t>
  </si>
  <si>
    <t>05:08:08 p. m.</t>
  </si>
  <si>
    <t>06:33:46 p. m.</t>
  </si>
  <si>
    <t>07:13:03 p. m.</t>
  </si>
  <si>
    <t>10:10:13 p. m.</t>
  </si>
  <si>
    <t>10:57:43 p. m.</t>
  </si>
  <si>
    <t>03:12:51 p. m.</t>
  </si>
  <si>
    <t>02:20:05 p. m.</t>
  </si>
  <si>
    <t>06:49:10 a. m.</t>
  </si>
  <si>
    <t>07:10:04 a. m.</t>
  </si>
  <si>
    <t>07:34:00 a. m.</t>
  </si>
  <si>
    <t>07:35:07 a. m.</t>
  </si>
  <si>
    <t>08:03:27 a. m.</t>
  </si>
  <si>
    <t>08:54:54 a. m.</t>
  </si>
  <si>
    <t>09:29:29 a. m.</t>
  </si>
  <si>
    <t>09:32:59 a. m.</t>
  </si>
  <si>
    <t>09:35:30 a. m.</t>
  </si>
  <si>
    <t>09:38:25 a. m.</t>
  </si>
  <si>
    <t>09:42:42 a. m.</t>
  </si>
  <si>
    <t>09:45:25 a. m.</t>
  </si>
  <si>
    <t>10:04:14 a. m.</t>
  </si>
  <si>
    <t>10:19:36 a. m.</t>
  </si>
  <si>
    <t>10:55:50 a. m.</t>
  </si>
  <si>
    <t>11:58:29 a. m.</t>
  </si>
  <si>
    <t>12:22:04 p. m.</t>
  </si>
  <si>
    <t>12:50:11 p. m.</t>
  </si>
  <si>
    <t>03:40:50 p. m.</t>
  </si>
  <si>
    <t>04:55:15 p. m.</t>
  </si>
  <si>
    <t>09:20:32 p. m.</t>
  </si>
  <si>
    <t>09:38:03 p. m.</t>
  </si>
  <si>
    <t>06:00:56 p. m.</t>
  </si>
  <si>
    <t>06:38:57 a. m.</t>
  </si>
  <si>
    <t>07:42:46 a. m.</t>
  </si>
  <si>
    <t>08:05:02 a. m.</t>
  </si>
  <si>
    <t>08:07:22 a. m.</t>
  </si>
  <si>
    <t>08:14:25 a. m.</t>
  </si>
  <si>
    <t>08:16:00 a. m.</t>
  </si>
  <si>
    <t>08:24:12 a. m.</t>
  </si>
  <si>
    <t>08:59:41 a. m.</t>
  </si>
  <si>
    <t>09:01:28 a. m.</t>
  </si>
  <si>
    <t>09:38:38 a. m.</t>
  </si>
  <si>
    <t>10:06:06 a. m.</t>
  </si>
  <si>
    <t>10:36:41 a. m.</t>
  </si>
  <si>
    <t>12:17:52 p. m.</t>
  </si>
  <si>
    <t>12:31:33 p. m.</t>
  </si>
  <si>
    <t>03:19:59 p. m.</t>
  </si>
  <si>
    <t>05:04:33 p. m.</t>
  </si>
  <si>
    <t>07:08:22 a. m.</t>
  </si>
  <si>
    <t>07:35:02 a. m.</t>
  </si>
  <si>
    <t>07:50:51 a. m.</t>
  </si>
  <si>
    <t>08:09:50 a. m.</t>
  </si>
  <si>
    <t>08:13:29 a. m.</t>
  </si>
  <si>
    <t>08:17:26 a. m.</t>
  </si>
  <si>
    <t>08:21:23 a. m.</t>
  </si>
  <si>
    <t>08:27:21 a. m.</t>
  </si>
  <si>
    <t>08:30:33 a. m.</t>
  </si>
  <si>
    <t>08:33:35 a. m.</t>
  </si>
  <si>
    <t>08:39:49 a. m.</t>
  </si>
  <si>
    <t>08:43:00 a. m.</t>
  </si>
  <si>
    <t>08:46:06 a. m.</t>
  </si>
  <si>
    <t>08:49:17 a. m.</t>
  </si>
  <si>
    <t>09:00:09 a. m.</t>
  </si>
  <si>
    <t>09:03:14 a. m.</t>
  </si>
  <si>
    <t>09:05:51 a. m.</t>
  </si>
  <si>
    <t>09:19:57 a. m.</t>
  </si>
  <si>
    <t>09:24:46 a. m.</t>
  </si>
  <si>
    <t>09:28:54 a. m.</t>
  </si>
  <si>
    <t>09:31:36 a. m.</t>
  </si>
  <si>
    <t>09:40:42 a. m.</t>
  </si>
  <si>
    <t>09:43:51 a. m.</t>
  </si>
  <si>
    <t>09:48:47 a. m.</t>
  </si>
  <si>
    <t>09:53:28 a. m.</t>
  </si>
  <si>
    <t>09:57:48 a. m.</t>
  </si>
  <si>
    <t>11:10:07 a. m.</t>
  </si>
  <si>
    <t>11:12:46 a. m.</t>
  </si>
  <si>
    <t>11:40:47 a. m.</t>
  </si>
  <si>
    <t>02:13:07 p. m.</t>
  </si>
  <si>
    <t>02:34:44 p. m.</t>
  </si>
  <si>
    <t>04:47:24 p. m.</t>
  </si>
  <si>
    <t>05:43:24 p. m.</t>
  </si>
  <si>
    <t>07:13:45 p. m.</t>
  </si>
  <si>
    <t>07:30:46 p. m.</t>
  </si>
  <si>
    <t>08:30:46 p. m.</t>
  </si>
  <si>
    <t>09:12:33 p. m.</t>
  </si>
  <si>
    <t>11:26:59 p. m.</t>
  </si>
  <si>
    <t>01:35:43 p. m.</t>
  </si>
  <si>
    <t>03:41:35 p. m.</t>
  </si>
  <si>
    <t>09:45:05 a. m.</t>
  </si>
  <si>
    <t>12:29:55 p. m.</t>
  </si>
  <si>
    <t>07:26:53 p. m.</t>
  </si>
  <si>
    <t>07:25:31 a. m.</t>
  </si>
  <si>
    <t>07:27:42 a. m.</t>
  </si>
  <si>
    <t>07:33:25 a. m.</t>
  </si>
  <si>
    <t>07:43:58 a. m.</t>
  </si>
  <si>
    <t>07:46:24 a. m.</t>
  </si>
  <si>
    <t>07:50:16 a. m.</t>
  </si>
  <si>
    <t>07:54:16 a. m.</t>
  </si>
  <si>
    <t>07:57:26 a. m.</t>
  </si>
  <si>
    <t>07:59:42 a. m.</t>
  </si>
  <si>
    <t>08:11:06 a. m.</t>
  </si>
  <si>
    <t>08:14:46 a. m.</t>
  </si>
  <si>
    <t>08:17:01 a. m.</t>
  </si>
  <si>
    <t>08:19:03 a. m.</t>
  </si>
  <si>
    <t>08:21:14 a. m.</t>
  </si>
  <si>
    <t>08:24:06 a. m.</t>
  </si>
  <si>
    <t>08:26:42 a. m.</t>
  </si>
  <si>
    <t>08:28:44 a. m.</t>
  </si>
  <si>
    <t>08:36:18 a. m.</t>
  </si>
  <si>
    <t>08:38:08 a. m.</t>
  </si>
  <si>
    <t>08:46:26 a. m.</t>
  </si>
  <si>
    <t>08:48:18 a. m.</t>
  </si>
  <si>
    <t>08:50:33 a. m.</t>
  </si>
  <si>
    <t>08:56:51 a. m.</t>
  </si>
  <si>
    <t>09:00:02 a. m.</t>
  </si>
  <si>
    <t>09:04:16 a. m.</t>
  </si>
  <si>
    <t>09:09:57 a. m.</t>
  </si>
  <si>
    <t>09:12:09 a. m.</t>
  </si>
  <si>
    <t>09:14:26 a. m.</t>
  </si>
  <si>
    <t>09:16:30 a. m.</t>
  </si>
  <si>
    <t>09:50:30 a. m.</t>
  </si>
  <si>
    <t>09:57:05 a. m.</t>
  </si>
  <si>
    <t>10:31:12 a. m.</t>
  </si>
  <si>
    <t>10:52:55 a. m.</t>
  </si>
  <si>
    <t>11:21:49 a. m.</t>
  </si>
  <si>
    <t>11:34:56 a. m.</t>
  </si>
  <si>
    <t>11:40:23 a. m.</t>
  </si>
  <si>
    <t>12:05:49 p. m.</t>
  </si>
  <si>
    <t>12:15:58 p. m.</t>
  </si>
  <si>
    <t>01:05:04 p. m.</t>
  </si>
  <si>
    <t>01:09:35 p. m.</t>
  </si>
  <si>
    <t>01:42:31 p. m.</t>
  </si>
  <si>
    <t>01:44:36 p. m.</t>
  </si>
  <si>
    <t>02:06:15 p. m.</t>
  </si>
  <si>
    <t>02:33:27 p. m.</t>
  </si>
  <si>
    <t>03:36:48 p. m.</t>
  </si>
  <si>
    <t>05:08:42 p. m.</t>
  </si>
  <si>
    <t>05:25:49 p. m.</t>
  </si>
  <si>
    <t>07:03:15 p. m.</t>
  </si>
  <si>
    <t>07:27:54 p. m.</t>
  </si>
  <si>
    <t>08:00:27 p. m.</t>
  </si>
  <si>
    <t>08:05:04 p. m.</t>
  </si>
  <si>
    <t>10:14:10 p. m.</t>
  </si>
  <si>
    <t>11:02:11 p. m.</t>
  </si>
  <si>
    <t>11:34:09 p. m.</t>
  </si>
  <si>
    <t>03:01:21 p. m.</t>
  </si>
  <si>
    <t>07:20:44 p. m.</t>
  </si>
  <si>
    <t>08:13:10 p. m.</t>
  </si>
  <si>
    <t>07:31:36 a. m.</t>
  </si>
  <si>
    <t>08:29:29 a. m.</t>
  </si>
  <si>
    <t>08:52:56 a. m.</t>
  </si>
  <si>
    <t>09:35:49 a. m.</t>
  </si>
  <si>
    <t>09:51:25 a. m.</t>
  </si>
  <si>
    <t>11:36:56 a. m.</t>
  </si>
  <si>
    <t>11:46:36 a. m.</t>
  </si>
  <si>
    <t>12:15:08 p. m.</t>
  </si>
  <si>
    <t>12:41:43 p. m.</t>
  </si>
  <si>
    <t>08:20:53 a. m.</t>
  </si>
  <si>
    <t>09:48:52 a. m.</t>
  </si>
  <si>
    <t>11:17:19 a. m.</t>
  </si>
  <si>
    <t>07:54:42 a. m.</t>
  </si>
  <si>
    <t>08:26:54 a. m.</t>
  </si>
  <si>
    <t>08:32:12 a. m.</t>
  </si>
  <si>
    <t>09:32:06 a. m.</t>
  </si>
  <si>
    <t>09:41:19 a. m.</t>
  </si>
  <si>
    <t>09:53:44 a. m.</t>
  </si>
  <si>
    <t>10:01:26 a. m.</t>
  </si>
  <si>
    <t>10:45:18 a. m.</t>
  </si>
  <si>
    <t>10:52:30 a. m.</t>
  </si>
  <si>
    <t>11:05:15 a. m.</t>
  </si>
  <si>
    <t>11:41:03 a. m.</t>
  </si>
  <si>
    <t>01:01:27 p. m.</t>
  </si>
  <si>
    <t>06:35:07 p. m.</t>
  </si>
  <si>
    <t>06:38:21 p. m.</t>
  </si>
  <si>
    <t>06:46:52 p. m.</t>
  </si>
  <si>
    <t>12:33:21 p. m.</t>
  </si>
  <si>
    <t>06:58:30 a. m.</t>
  </si>
  <si>
    <t>07:45:30 a. m.</t>
  </si>
  <si>
    <t>08:08:27 a. m.</t>
  </si>
  <si>
    <t>08:18:56 a. m.</t>
  </si>
  <si>
    <t>08:47:32 a. m.</t>
  </si>
  <si>
    <t>09:15:16 a. m.</t>
  </si>
  <si>
    <t>09:20:37 a. m.</t>
  </si>
  <si>
    <t>09:36:14 a. m.</t>
  </si>
  <si>
    <t>09:44:14 a. m.</t>
  </si>
  <si>
    <t>09:46:54 a. m.</t>
  </si>
  <si>
    <t>09:49:44 a. m.</t>
  </si>
  <si>
    <t>09:51:53 a. m.</t>
  </si>
  <si>
    <t>09:56:09 a. m.</t>
  </si>
  <si>
    <t>09:58:44 a. m.</t>
  </si>
  <si>
    <t>10:06:27 a. m.</t>
  </si>
  <si>
    <t>10:21:58 a. m.</t>
  </si>
  <si>
    <t>10:38:26 a. m.</t>
  </si>
  <si>
    <t>11:02:58 a. m.</t>
  </si>
  <si>
    <t>11:24:47 a. m.</t>
  </si>
  <si>
    <t>12:04:24 p. m.</t>
  </si>
  <si>
    <t>12:14:04 p. m.</t>
  </si>
  <si>
    <t>12:17:01 p. m.</t>
  </si>
  <si>
    <t>12:19:33 p. m.</t>
  </si>
  <si>
    <t>01:06:30 p. m.</t>
  </si>
  <si>
    <t>07:32:43 p. m.</t>
  </si>
  <si>
    <t>09:55:21 a. m.</t>
  </si>
  <si>
    <t>09:58:05 a. m.</t>
  </si>
  <si>
    <t>11:44:10 a. m.</t>
  </si>
  <si>
    <t>12:39:57 p. m.</t>
  </si>
  <si>
    <t>01:58:00 p. m.</t>
  </si>
  <si>
    <t>01:08:02 p. m.</t>
  </si>
  <si>
    <t>04:33:29 p. m.</t>
  </si>
  <si>
    <t>07:09:08 a. m.</t>
  </si>
  <si>
    <t>09:17:57 a. m.</t>
  </si>
  <si>
    <t>10:24:33 a. m.</t>
  </si>
  <si>
    <t>10:33:59 a. m.</t>
  </si>
  <si>
    <t>10:38:33 a. m.</t>
  </si>
  <si>
    <t>12:31:01 p. m.</t>
  </si>
  <si>
    <t>05:40:40 p. m.</t>
  </si>
  <si>
    <t>06:26:32 p. m.</t>
  </si>
  <si>
    <t>06:35:34 p. m.</t>
  </si>
  <si>
    <t>07:14:15 p. m.</t>
  </si>
  <si>
    <t>08:40:29 a. m.</t>
  </si>
  <si>
    <t>09:31:22 a. m.</t>
  </si>
  <si>
    <t>10:54:18 a. m.</t>
  </si>
  <si>
    <t>11:11:31 a. m.</t>
  </si>
  <si>
    <t>12:23:21 p. m.</t>
  </si>
  <si>
    <t>09:12:50 p. m.</t>
  </si>
  <si>
    <t>07:57:59 p. m.</t>
  </si>
  <si>
    <t>08:24:56 a. m.</t>
  </si>
  <si>
    <t>08:32:50 a. m.</t>
  </si>
  <si>
    <t>08:41:10 a. m.</t>
  </si>
  <si>
    <t>09:18:10 a. m.</t>
  </si>
  <si>
    <t>09:28:45 a. m.</t>
  </si>
  <si>
    <t>09:45:55 a. m.</t>
  </si>
  <si>
    <t>12:32:29 p. m.</t>
  </si>
  <si>
    <t>01:30:24 p. m.</t>
  </si>
  <si>
    <t>02:17:50 p. m.</t>
  </si>
  <si>
    <t>03:56:22 p. m.</t>
  </si>
  <si>
    <t>04:16:43 p. m.</t>
  </si>
  <si>
    <t>06:54:53 p. m.</t>
  </si>
  <si>
    <t>07:42:39 a. m.</t>
  </si>
  <si>
    <t>09:03:27 a. m.</t>
  </si>
  <si>
    <t>09:09:53 a. m.</t>
  </si>
  <si>
    <t>11:19:01 a. m.</t>
  </si>
  <si>
    <t>11:37:23 a. m.</t>
  </si>
  <si>
    <t>05:27:30 p. m.</t>
  </si>
  <si>
    <t>08:00:39 a. m.</t>
  </si>
  <si>
    <t>08:02:33 a. m.</t>
  </si>
  <si>
    <t>01:06:51 a. m.</t>
  </si>
  <si>
    <t>06:14:16 a. m.</t>
  </si>
  <si>
    <t>08:16:34 a. m.</t>
  </si>
  <si>
    <t>08:50:23 a. m.</t>
  </si>
  <si>
    <t>08:56:24 a. m.</t>
  </si>
  <si>
    <t>09:17:42 a. m.</t>
  </si>
  <si>
    <t>09:58:26 a. m.</t>
  </si>
  <si>
    <t>12:00:52 p. m.</t>
  </si>
  <si>
    <t>12:04:01 p. m.</t>
  </si>
  <si>
    <t>07:14:33 p. m.</t>
  </si>
  <si>
    <t>06:21:24 a. m.</t>
  </si>
  <si>
    <t>07:25:28 a. m.</t>
  </si>
  <si>
    <t>08:24:51 a. m.</t>
  </si>
  <si>
    <t>08:36:16 a. m.</t>
  </si>
  <si>
    <t>12:10:12 a. m.</t>
  </si>
  <si>
    <t>12:12:43 a. m.</t>
  </si>
  <si>
    <t>01:25:05 a. m.</t>
  </si>
  <si>
    <t>07:43:39 a. m.</t>
  </si>
  <si>
    <t>08:32:10 a. m.</t>
  </si>
  <si>
    <t>08:49:45 a. m.</t>
  </si>
  <si>
    <t>11:04:05 a. m.</t>
  </si>
  <si>
    <t>11:12:30 a. m.</t>
  </si>
  <si>
    <t>05:44:05 p. m.</t>
  </si>
  <si>
    <t>07:16:37 p. m.</t>
  </si>
  <si>
    <t>SUPER PLUS 201</t>
  </si>
  <si>
    <t>697140183718</t>
  </si>
  <si>
    <t>E697140183718</t>
  </si>
  <si>
    <t>697050313744</t>
  </si>
  <si>
    <t>E697050313744</t>
  </si>
  <si>
    <t>697010251649</t>
  </si>
  <si>
    <t>E697010251649</t>
  </si>
  <si>
    <t>697960722117</t>
  </si>
  <si>
    <t>E697960722117</t>
  </si>
  <si>
    <t>697890100024</t>
  </si>
  <si>
    <t>E697890100024</t>
  </si>
  <si>
    <t>697050813631</t>
  </si>
  <si>
    <t>E697050813631</t>
  </si>
  <si>
    <t>697021154319</t>
  </si>
  <si>
    <t>697091297001</t>
  </si>
  <si>
    <t>E697091297001</t>
  </si>
  <si>
    <t>697150691304</t>
  </si>
  <si>
    <t>E697150691304</t>
  </si>
  <si>
    <t>697150291641</t>
  </si>
  <si>
    <t>E697150291641</t>
  </si>
  <si>
    <t>697050912940</t>
  </si>
  <si>
    <t>E697050912940</t>
  </si>
  <si>
    <t>697190210791</t>
  </si>
  <si>
    <t>E697190210791</t>
  </si>
  <si>
    <t>697081192333</t>
  </si>
  <si>
    <t>E697081192333</t>
  </si>
  <si>
    <t>697890800280</t>
  </si>
  <si>
    <t>E697890800280</t>
  </si>
  <si>
    <t>697050113478</t>
  </si>
  <si>
    <t>E697050113478</t>
  </si>
  <si>
    <t>697040952609</t>
  </si>
  <si>
    <t>E697040952609</t>
  </si>
  <si>
    <t>697150591288</t>
  </si>
  <si>
    <t>E697150591288</t>
  </si>
  <si>
    <t>697131281880</t>
  </si>
  <si>
    <t>E697131281880</t>
  </si>
  <si>
    <t>697050613616</t>
  </si>
  <si>
    <t>E697050613616</t>
  </si>
  <si>
    <t>697770900256</t>
  </si>
  <si>
    <t>E697770900256</t>
  </si>
  <si>
    <t>697030533993</t>
  </si>
  <si>
    <t>E697030533993</t>
  </si>
  <si>
    <t>697080793732</t>
  </si>
  <si>
    <t>E697080793732</t>
  </si>
  <si>
    <t>697001034821</t>
  </si>
  <si>
    <t>E697001034821</t>
  </si>
  <si>
    <t>697141080947</t>
  </si>
  <si>
    <t>E697141080947</t>
  </si>
  <si>
    <t>697050511074</t>
  </si>
  <si>
    <t>697890700439</t>
  </si>
  <si>
    <t>E697890700439</t>
  </si>
  <si>
    <t>697700900143</t>
  </si>
  <si>
    <t>E697700900143</t>
  </si>
  <si>
    <t>697930808441</t>
  </si>
  <si>
    <t>E697930808441</t>
  </si>
  <si>
    <t>697071150608</t>
  </si>
  <si>
    <t>E697071150608</t>
  </si>
  <si>
    <t>697120291441</t>
  </si>
  <si>
    <t>E697120291441</t>
  </si>
  <si>
    <t>697981232390</t>
  </si>
  <si>
    <t>E697981232390</t>
  </si>
  <si>
    <t>697070350085</t>
  </si>
  <si>
    <t>E697070350085</t>
  </si>
  <si>
    <t>697050313426</t>
  </si>
  <si>
    <t>E697050313426</t>
  </si>
  <si>
    <t>697010755515</t>
  </si>
  <si>
    <t>E697010755515</t>
  </si>
  <si>
    <t>697120493044</t>
  </si>
  <si>
    <t>E697120493044</t>
  </si>
  <si>
    <t>697171201935</t>
  </si>
  <si>
    <t>E697171201935</t>
  </si>
  <si>
    <t>697171201919</t>
  </si>
  <si>
    <t>E697171201919</t>
  </si>
  <si>
    <t>697980931154</t>
  </si>
  <si>
    <t>E697980931154</t>
  </si>
  <si>
    <t>697171202052</t>
  </si>
  <si>
    <t>E697171202052</t>
  </si>
  <si>
    <t>697751100141</t>
  </si>
  <si>
    <t>E697751100141</t>
  </si>
  <si>
    <t>697140971503</t>
  </si>
  <si>
    <t>E697140971503</t>
  </si>
  <si>
    <t>697110799668</t>
  </si>
  <si>
    <t>E697110799668</t>
  </si>
  <si>
    <t>697061233874</t>
  </si>
  <si>
    <t>E697061233874</t>
  </si>
  <si>
    <t>697100692181</t>
  </si>
  <si>
    <t>E697100692181</t>
  </si>
  <si>
    <t>697050511830</t>
  </si>
  <si>
    <t>E697050511830</t>
  </si>
  <si>
    <t>697150492832</t>
  </si>
  <si>
    <t>E697150492832</t>
  </si>
  <si>
    <t>697930408507</t>
  </si>
  <si>
    <t>E697930408507</t>
  </si>
  <si>
    <t>697050511911</t>
  </si>
  <si>
    <t>E697050511911</t>
  </si>
  <si>
    <t>697080333146</t>
  </si>
  <si>
    <t>E697080333146</t>
  </si>
  <si>
    <t>697030133219</t>
  </si>
  <si>
    <t>E697030133219</t>
  </si>
  <si>
    <t>697920904735</t>
  </si>
  <si>
    <t>E697920904735</t>
  </si>
  <si>
    <t>697840900178</t>
  </si>
  <si>
    <t>E697840900178</t>
  </si>
  <si>
    <t>697031236097</t>
  </si>
  <si>
    <t>E697031236097</t>
  </si>
  <si>
    <t>697060331201</t>
  </si>
  <si>
    <t>E697060331201</t>
  </si>
  <si>
    <t>697940660921</t>
  </si>
  <si>
    <t>E697940660921</t>
  </si>
  <si>
    <t>697090196457</t>
  </si>
  <si>
    <t>E697090196457</t>
  </si>
  <si>
    <t>697950121506</t>
  </si>
  <si>
    <t>E697950121506</t>
  </si>
  <si>
    <t>697080993316</t>
  </si>
  <si>
    <t>E697080993316</t>
  </si>
  <si>
    <t>697140778509</t>
  </si>
  <si>
    <t>E697140778509</t>
  </si>
  <si>
    <t>697060739758</t>
  </si>
  <si>
    <t>E697060739758</t>
  </si>
  <si>
    <t>697140583317</t>
  </si>
  <si>
    <t>E697140583317</t>
  </si>
  <si>
    <t>697110496495</t>
  </si>
  <si>
    <t>E697110496495</t>
  </si>
  <si>
    <t>697140771164</t>
  </si>
  <si>
    <t>E697140771164</t>
  </si>
  <si>
    <t>697040434098</t>
  </si>
  <si>
    <t>E697040434098</t>
  </si>
  <si>
    <t>697011250751</t>
  </si>
  <si>
    <t>E697011250751</t>
  </si>
  <si>
    <t>697020130220</t>
  </si>
  <si>
    <t>E697020130220</t>
  </si>
  <si>
    <t>697080330228</t>
  </si>
  <si>
    <t>E697080330228</t>
  </si>
  <si>
    <t>697060832111</t>
  </si>
  <si>
    <t>E697060832111</t>
  </si>
  <si>
    <t>697000833232</t>
  </si>
  <si>
    <t>E697000833232</t>
  </si>
  <si>
    <t>697110892510</t>
  </si>
  <si>
    <t>E697110892510</t>
  </si>
  <si>
    <t>697180710494</t>
  </si>
  <si>
    <t>E697180710494</t>
  </si>
  <si>
    <t>697021150275</t>
  </si>
  <si>
    <t>E697021150275</t>
  </si>
  <si>
    <t>697140380408</t>
  </si>
  <si>
    <t>E697140380408</t>
  </si>
  <si>
    <t>697970204467</t>
  </si>
  <si>
    <t>E697970204467</t>
  </si>
  <si>
    <t>697080992379</t>
  </si>
  <si>
    <t>E697080992379</t>
  </si>
  <si>
    <t>697830900820</t>
  </si>
  <si>
    <t>E697830900820</t>
  </si>
  <si>
    <t>697770100756</t>
  </si>
  <si>
    <t>E697770100756</t>
  </si>
  <si>
    <t>697770105669</t>
  </si>
  <si>
    <t>E697770105669</t>
  </si>
  <si>
    <t>697981230079</t>
  </si>
  <si>
    <t>697130181474</t>
  </si>
  <si>
    <t>E697130181474</t>
  </si>
  <si>
    <t>697080132965</t>
  </si>
  <si>
    <t>E697080132965</t>
  </si>
  <si>
    <t>697150592136</t>
  </si>
  <si>
    <t>E697150592136</t>
  </si>
  <si>
    <t>697050511996</t>
  </si>
  <si>
    <t>E697050511996</t>
  </si>
  <si>
    <t>697981032111</t>
  </si>
  <si>
    <t>E697981032111</t>
  </si>
  <si>
    <t>697870501138</t>
  </si>
  <si>
    <t>E697870501138</t>
  </si>
  <si>
    <t>697020533588</t>
  </si>
  <si>
    <t>E697020533588</t>
  </si>
  <si>
    <t>697200410069</t>
  </si>
  <si>
    <t>E697200410069</t>
  </si>
  <si>
    <t>697870500859</t>
  </si>
  <si>
    <t>E697870500859</t>
  </si>
  <si>
    <t>697090295765</t>
  </si>
  <si>
    <t>E697090295765</t>
  </si>
  <si>
    <t>697031135282</t>
  </si>
  <si>
    <t>E697031135282</t>
  </si>
  <si>
    <t>697070950678</t>
  </si>
  <si>
    <t>E697070950678</t>
  </si>
  <si>
    <t>697940200181</t>
  </si>
  <si>
    <t>E697940200181</t>
  </si>
  <si>
    <t>697061130871</t>
  </si>
  <si>
    <t>E697061130871</t>
  </si>
  <si>
    <t>697090703367</t>
  </si>
  <si>
    <t>E697090703367</t>
  </si>
  <si>
    <t>697050722245</t>
  </si>
  <si>
    <t>E697050722245</t>
  </si>
  <si>
    <t>697140775275</t>
  </si>
  <si>
    <t>E697140775275</t>
  </si>
  <si>
    <t>697770100730</t>
  </si>
  <si>
    <t>E697770100730</t>
  </si>
  <si>
    <t>697140778495</t>
  </si>
  <si>
    <t>E697140778495</t>
  </si>
  <si>
    <t>$157.5, FALTA GENERAR $157.5</t>
  </si>
  <si>
    <t>697140585964</t>
  </si>
  <si>
    <t>E697140585964</t>
  </si>
  <si>
    <t>697920705228</t>
  </si>
  <si>
    <t>E697920705228</t>
  </si>
  <si>
    <t>697090300068</t>
  </si>
  <si>
    <t>E697090300068</t>
  </si>
  <si>
    <t>697080797126</t>
  </si>
  <si>
    <t>E697080797126</t>
  </si>
  <si>
    <t>697051011008</t>
  </si>
  <si>
    <t>E697051011008</t>
  </si>
  <si>
    <t>697070352541</t>
  </si>
  <si>
    <t>E697070352541</t>
  </si>
  <si>
    <t>697120704100</t>
  </si>
  <si>
    <t>E697120704100</t>
  </si>
  <si>
    <t>697150594651</t>
  </si>
  <si>
    <t>E697150594651</t>
  </si>
  <si>
    <t>697071250238</t>
  </si>
  <si>
    <t>E697071250238</t>
  </si>
  <si>
    <t>697010450161</t>
  </si>
  <si>
    <t>E697010450161</t>
  </si>
  <si>
    <t>697030435240</t>
  </si>
  <si>
    <t>E697030435240</t>
  </si>
  <si>
    <t>697850400459</t>
  </si>
  <si>
    <t>E697850400459</t>
  </si>
  <si>
    <t>697000731634</t>
  </si>
  <si>
    <t>E697000731634</t>
  </si>
  <si>
    <t>697111291790</t>
  </si>
  <si>
    <t>E697111291790</t>
  </si>
  <si>
    <t>697950322293</t>
  </si>
  <si>
    <t>E697950322293</t>
  </si>
  <si>
    <t>697920505202</t>
  </si>
  <si>
    <t>E697920505202</t>
  </si>
  <si>
    <t>697061134566</t>
  </si>
  <si>
    <t>E697061134566</t>
  </si>
  <si>
    <t>697110991496</t>
  </si>
  <si>
    <t>E697110991496</t>
  </si>
  <si>
    <t>697080593776</t>
  </si>
  <si>
    <t>E697080593776</t>
  </si>
  <si>
    <t>697020132401</t>
  </si>
  <si>
    <t>E697020132401</t>
  </si>
  <si>
    <t>697850901351</t>
  </si>
  <si>
    <t>E697850901351</t>
  </si>
  <si>
    <t>697931103793</t>
  </si>
  <si>
    <t>E697931103793</t>
  </si>
  <si>
    <t>697030834471</t>
  </si>
  <si>
    <t>E697030834471</t>
  </si>
  <si>
    <t>697071251170</t>
  </si>
  <si>
    <t>E697071251170</t>
  </si>
  <si>
    <t>697080131179</t>
  </si>
  <si>
    <t>E697080131179</t>
  </si>
  <si>
    <t>697041252830</t>
  </si>
  <si>
    <t>E697041252830</t>
  </si>
  <si>
    <t>697850600067</t>
  </si>
  <si>
    <t>E697850600067</t>
  </si>
  <si>
    <t>697141185463</t>
  </si>
  <si>
    <t>E697141185463</t>
  </si>
  <si>
    <t>697140971597</t>
  </si>
  <si>
    <t>E697140971597</t>
  </si>
  <si>
    <t>697980831141</t>
  </si>
  <si>
    <t>E697980831141</t>
  </si>
  <si>
    <t>697921006021</t>
  </si>
  <si>
    <t>E697921006021</t>
  </si>
  <si>
    <t>697060420913</t>
  </si>
  <si>
    <t>E697060420913</t>
  </si>
  <si>
    <t>697141081811</t>
  </si>
  <si>
    <t>E697141081811</t>
  </si>
  <si>
    <t>697931003268</t>
  </si>
  <si>
    <t>E697931003268</t>
  </si>
  <si>
    <t>697980831761</t>
  </si>
  <si>
    <t>E697980831761</t>
  </si>
  <si>
    <t>697951020797</t>
  </si>
  <si>
    <t>E697951020797</t>
  </si>
  <si>
    <t>697090996313</t>
  </si>
  <si>
    <t>697020233169</t>
  </si>
  <si>
    <t>E697020233169</t>
  </si>
  <si>
    <t>697861100775</t>
  </si>
  <si>
    <t>E697861100775</t>
  </si>
  <si>
    <t>697880300980</t>
  </si>
  <si>
    <t>E697880300980</t>
  </si>
  <si>
    <t>697810900611</t>
  </si>
  <si>
    <t>E697810900611</t>
  </si>
  <si>
    <t>697140880842</t>
  </si>
  <si>
    <t>E697140880842</t>
  </si>
  <si>
    <t>697100795176</t>
  </si>
  <si>
    <t>697020431289</t>
  </si>
  <si>
    <t>E697020431289</t>
  </si>
  <si>
    <t>697120192796</t>
  </si>
  <si>
    <t>E697120192796</t>
  </si>
  <si>
    <t>697050113753</t>
  </si>
  <si>
    <t>E697050113753</t>
  </si>
  <si>
    <t>697071054081</t>
  </si>
  <si>
    <t>E697071054081</t>
  </si>
  <si>
    <t>697040755137</t>
  </si>
  <si>
    <t>E697040755137</t>
  </si>
  <si>
    <t>697120891139</t>
  </si>
  <si>
    <t>697101090079</t>
  </si>
  <si>
    <t>E697101090079</t>
  </si>
  <si>
    <t>697030930771</t>
  </si>
  <si>
    <t>E697030930771</t>
  </si>
  <si>
    <t>697131181575</t>
  </si>
  <si>
    <t>E697131181575</t>
  </si>
  <si>
    <t>697770107807</t>
  </si>
  <si>
    <t>E697770107807</t>
  </si>
  <si>
    <t>697020532964</t>
  </si>
  <si>
    <t>E697020532964</t>
  </si>
  <si>
    <t>697121190975</t>
  </si>
  <si>
    <t>E697121190975</t>
  </si>
  <si>
    <t>697180410423</t>
  </si>
  <si>
    <t>E697180410423</t>
  </si>
  <si>
    <t>697110695137</t>
  </si>
  <si>
    <t>E697110695137</t>
  </si>
  <si>
    <t>697920602755</t>
  </si>
  <si>
    <t>E697920602755</t>
  </si>
  <si>
    <t>697100992028</t>
  </si>
  <si>
    <t>E697100992028</t>
  </si>
  <si>
    <t>697980430937</t>
  </si>
  <si>
    <t>E697980430937</t>
  </si>
  <si>
    <t>697181010615</t>
  </si>
  <si>
    <t>E697181010615</t>
  </si>
  <si>
    <t>697150593990</t>
  </si>
  <si>
    <t>E697150593990</t>
  </si>
  <si>
    <t>697010450757</t>
  </si>
  <si>
    <t>E697010450757</t>
  </si>
  <si>
    <t>697980735291</t>
  </si>
  <si>
    <t>E697980735291</t>
  </si>
  <si>
    <t>697150295514</t>
  </si>
  <si>
    <t>E697150295514</t>
  </si>
  <si>
    <t>697990930911</t>
  </si>
  <si>
    <t>E697990930911</t>
  </si>
  <si>
    <t>697040431447</t>
  </si>
  <si>
    <t>E697040431447</t>
  </si>
  <si>
    <t>697150291276</t>
  </si>
  <si>
    <t>E697150291276</t>
  </si>
  <si>
    <t>697110593415</t>
  </si>
  <si>
    <t>E697110593415</t>
  </si>
  <si>
    <t>697140880869</t>
  </si>
  <si>
    <t>E697140880869</t>
  </si>
  <si>
    <t>697141180143</t>
  </si>
  <si>
    <t>E697141180143</t>
  </si>
  <si>
    <t>697900700475</t>
  </si>
  <si>
    <t>E697900700475</t>
  </si>
  <si>
    <t>697770111596</t>
  </si>
  <si>
    <t>E697770111596</t>
  </si>
  <si>
    <t>697100692270</t>
  </si>
  <si>
    <t>E697100692270</t>
  </si>
  <si>
    <t>697891200499</t>
  </si>
  <si>
    <t>E697891200499</t>
  </si>
  <si>
    <t>697930903311</t>
  </si>
  <si>
    <t>E697930903311</t>
  </si>
  <si>
    <t>697040655167</t>
  </si>
  <si>
    <t>E697040655167</t>
  </si>
  <si>
    <t>697150397821</t>
  </si>
  <si>
    <t>E697150397821</t>
  </si>
  <si>
    <t>697050251757</t>
  </si>
  <si>
    <t>E697050251757</t>
  </si>
  <si>
    <t>697930903010</t>
  </si>
  <si>
    <t>E697930903010</t>
  </si>
  <si>
    <t>697120894243</t>
  </si>
  <si>
    <t>E697120894243</t>
  </si>
  <si>
    <t>697861200605</t>
  </si>
  <si>
    <t>E697861200605</t>
  </si>
  <si>
    <t>697000334198</t>
  </si>
  <si>
    <t>E697000334198</t>
  </si>
  <si>
    <t>697111191906</t>
  </si>
  <si>
    <t>E697111191906</t>
  </si>
  <si>
    <t>697930903397</t>
  </si>
  <si>
    <t>E697930903397</t>
  </si>
  <si>
    <t>697140584151</t>
  </si>
  <si>
    <t>E697140584151</t>
  </si>
  <si>
    <t>697080454741</t>
  </si>
  <si>
    <t>E697080454741</t>
  </si>
  <si>
    <t>697060423611</t>
  </si>
  <si>
    <t>E697060423611</t>
  </si>
  <si>
    <t>697840400434</t>
  </si>
  <si>
    <t>E697840400434</t>
  </si>
  <si>
    <t>697031134162</t>
  </si>
  <si>
    <t>E697031134162</t>
  </si>
  <si>
    <t>697180611542</t>
  </si>
  <si>
    <t>E697180611542</t>
  </si>
  <si>
    <t>697851100602</t>
  </si>
  <si>
    <t>E697851100602</t>
  </si>
  <si>
    <t>697050910963</t>
  </si>
  <si>
    <t>E697050910963</t>
  </si>
  <si>
    <t>697080454377</t>
  </si>
  <si>
    <t>E697080454377</t>
  </si>
  <si>
    <t>697141084799</t>
  </si>
  <si>
    <t>E697141084799</t>
  </si>
  <si>
    <t>697060121789</t>
  </si>
  <si>
    <t>E697060121789</t>
  </si>
  <si>
    <t>697870200651</t>
  </si>
  <si>
    <t>E697870200651</t>
  </si>
  <si>
    <t>697030834004</t>
  </si>
  <si>
    <t>E697030834004</t>
  </si>
  <si>
    <t>697080332182</t>
  </si>
  <si>
    <t>E697080332182</t>
  </si>
  <si>
    <t>697870501430</t>
  </si>
  <si>
    <t>E697870501430</t>
  </si>
  <si>
    <t>697080892188</t>
  </si>
  <si>
    <t>E697080892188</t>
  </si>
  <si>
    <t>697080454512</t>
  </si>
  <si>
    <t>E697080454512</t>
  </si>
  <si>
    <t>697040251929</t>
  </si>
  <si>
    <t>E697040251929</t>
  </si>
  <si>
    <t>697130481401</t>
  </si>
  <si>
    <t>697101295258</t>
  </si>
  <si>
    <t>E697101295258</t>
  </si>
  <si>
    <t>697150192901</t>
  </si>
  <si>
    <t>E697150192901</t>
  </si>
  <si>
    <t>697150392676</t>
  </si>
  <si>
    <t>E697150392676</t>
  </si>
  <si>
    <t>697020330296</t>
  </si>
  <si>
    <t>E697020330296</t>
  </si>
  <si>
    <t>697140881504</t>
  </si>
  <si>
    <t>E697140881504</t>
  </si>
  <si>
    <t>697110193395</t>
  </si>
  <si>
    <t>E697110193395</t>
  </si>
  <si>
    <t>697130682627</t>
  </si>
  <si>
    <t>E697130682627</t>
  </si>
  <si>
    <t>697130580336</t>
  </si>
  <si>
    <t>E697130580336</t>
  </si>
  <si>
    <t>697140881661</t>
  </si>
  <si>
    <t>E697140881661</t>
  </si>
  <si>
    <t>697100694493</t>
  </si>
  <si>
    <t>E697100694493</t>
  </si>
  <si>
    <t>697080235675</t>
  </si>
  <si>
    <t>E697080235675</t>
  </si>
  <si>
    <t>697930902498</t>
  </si>
  <si>
    <t>E697930902498</t>
  </si>
  <si>
    <t>697930903257</t>
  </si>
  <si>
    <t>E697930903257</t>
  </si>
  <si>
    <t>697110799366</t>
  </si>
  <si>
    <t>E697110799366</t>
  </si>
  <si>
    <t>697001032438</t>
  </si>
  <si>
    <t>E697001032438</t>
  </si>
  <si>
    <t>697950121492</t>
  </si>
  <si>
    <t>E697950121492</t>
  </si>
  <si>
    <t>697020930382</t>
  </si>
  <si>
    <t>E697020930382</t>
  </si>
  <si>
    <t>697150700737</t>
  </si>
  <si>
    <t>E697150700737</t>
  </si>
  <si>
    <t>697130385487</t>
  </si>
  <si>
    <t>E697130385487</t>
  </si>
  <si>
    <t>697940300593</t>
  </si>
  <si>
    <t>E697940300593</t>
  </si>
  <si>
    <t>697110991437</t>
  </si>
  <si>
    <t>E697110991437</t>
  </si>
  <si>
    <t>697030531613</t>
  </si>
  <si>
    <t>E697030531613</t>
  </si>
  <si>
    <t>697980230474</t>
  </si>
  <si>
    <t>E697980230474</t>
  </si>
  <si>
    <t>697180610449</t>
  </si>
  <si>
    <t>E697180610449</t>
  </si>
  <si>
    <t>697050113168</t>
  </si>
  <si>
    <t>E697050113168</t>
  </si>
  <si>
    <t>697100797403</t>
  </si>
  <si>
    <t>E697100797403</t>
  </si>
  <si>
    <t>697150295727</t>
  </si>
  <si>
    <t>E697150295727</t>
  </si>
  <si>
    <t>697930508030</t>
  </si>
  <si>
    <t>E697930508030</t>
  </si>
  <si>
    <t>697970103741</t>
  </si>
  <si>
    <t>E697970103741</t>
  </si>
  <si>
    <t>697950820269</t>
  </si>
  <si>
    <t>E697950820269</t>
  </si>
  <si>
    <t>697100393264</t>
  </si>
  <si>
    <t>E697100393264</t>
  </si>
  <si>
    <t>697080790822</t>
  </si>
  <si>
    <t>E697080790822</t>
  </si>
  <si>
    <t>697040853406</t>
  </si>
  <si>
    <t>E697040853406</t>
  </si>
  <si>
    <t>697930108783</t>
  </si>
  <si>
    <t>E697930108783</t>
  </si>
  <si>
    <t>697141081897</t>
  </si>
  <si>
    <t>697080236892</t>
  </si>
  <si>
    <t>E697080236892</t>
  </si>
  <si>
    <t>697060739677</t>
  </si>
  <si>
    <t>E697060739677</t>
  </si>
  <si>
    <t>697870101229</t>
  </si>
  <si>
    <t>E697870101229</t>
  </si>
  <si>
    <t>697870101237</t>
  </si>
  <si>
    <t>E697870101237</t>
  </si>
  <si>
    <t>697100190495</t>
  </si>
  <si>
    <t>E697100190495</t>
  </si>
  <si>
    <t>697940660972</t>
  </si>
  <si>
    <t>E697940660972</t>
  </si>
  <si>
    <t>697050710662</t>
  </si>
  <si>
    <t>E697050710662</t>
  </si>
  <si>
    <t>697990630811</t>
  </si>
  <si>
    <t>E697990630811</t>
  </si>
  <si>
    <t>697870101211</t>
  </si>
  <si>
    <t>E697870101211</t>
  </si>
  <si>
    <t>697950421283</t>
  </si>
  <si>
    <t>E697950421283</t>
  </si>
  <si>
    <t>697840500218</t>
  </si>
  <si>
    <t>E697840500218</t>
  </si>
  <si>
    <t>697870800445</t>
  </si>
  <si>
    <t>E697870800445</t>
  </si>
  <si>
    <t>697100992419</t>
  </si>
  <si>
    <t>E697100992419</t>
  </si>
  <si>
    <t>697990233722</t>
  </si>
  <si>
    <t>E697990233722</t>
  </si>
  <si>
    <t>697070554110</t>
  </si>
  <si>
    <t>E697070554110</t>
  </si>
  <si>
    <t>697091100470</t>
  </si>
  <si>
    <t>E697091100470</t>
  </si>
  <si>
    <t>697000630773</t>
  </si>
  <si>
    <t>E697000630773</t>
  </si>
  <si>
    <t>697110690691</t>
  </si>
  <si>
    <t>E697110690691</t>
  </si>
  <si>
    <t>697070255805</t>
  </si>
  <si>
    <t>E697070255805</t>
  </si>
  <si>
    <t>697971103966</t>
  </si>
  <si>
    <t>E697971103966</t>
  </si>
  <si>
    <t>697021150453</t>
  </si>
  <si>
    <t>E697021150453</t>
  </si>
  <si>
    <t>697990745421</t>
  </si>
  <si>
    <t>E697990745421</t>
  </si>
  <si>
    <t>697180410351</t>
  </si>
  <si>
    <t>E697180410351</t>
  </si>
  <si>
    <t>697100591643</t>
  </si>
  <si>
    <t>E697100591643</t>
  </si>
  <si>
    <t>697130180419</t>
  </si>
  <si>
    <t>E697130180419</t>
  </si>
  <si>
    <t>697921104457</t>
  </si>
  <si>
    <t>E697921104457</t>
  </si>
  <si>
    <t>697090899504</t>
  </si>
  <si>
    <t>E697090899504</t>
  </si>
  <si>
    <t>697910700694</t>
  </si>
  <si>
    <t>E697910700694</t>
  </si>
  <si>
    <t>697091100283</t>
  </si>
  <si>
    <t>E697091100283</t>
  </si>
  <si>
    <t>697050310401</t>
  </si>
  <si>
    <t>E697050310401</t>
  </si>
  <si>
    <t>697141080998</t>
  </si>
  <si>
    <t>E697141080998</t>
  </si>
  <si>
    <t>697081292419</t>
  </si>
  <si>
    <t>E697081292419</t>
  </si>
  <si>
    <t>697130485252</t>
  </si>
  <si>
    <t>E697130485252</t>
  </si>
  <si>
    <t>697991233718</t>
  </si>
  <si>
    <t>E697991233718</t>
  </si>
  <si>
    <t>697050318479</t>
  </si>
  <si>
    <t>E697050318479</t>
  </si>
  <si>
    <t>697070650585</t>
  </si>
  <si>
    <t>E697070650585</t>
  </si>
  <si>
    <t>697100591601</t>
  </si>
  <si>
    <t>E697100591601</t>
  </si>
  <si>
    <t>697131091720</t>
  </si>
  <si>
    <t>E697131091720</t>
  </si>
  <si>
    <t>697840900828</t>
  </si>
  <si>
    <t>E697840900828</t>
  </si>
  <si>
    <t>697141180844</t>
  </si>
  <si>
    <t>E697141180844</t>
  </si>
  <si>
    <t>697061136348</t>
  </si>
  <si>
    <t>E697061136348</t>
  </si>
  <si>
    <t>697140475638</t>
  </si>
  <si>
    <t>E697140475638</t>
  </si>
  <si>
    <t>697121092621</t>
  </si>
  <si>
    <t>E697121092621</t>
  </si>
  <si>
    <t>697090597982</t>
  </si>
  <si>
    <t>E697090597982</t>
  </si>
  <si>
    <t>697991231821</t>
  </si>
  <si>
    <t>697000530663</t>
  </si>
  <si>
    <t>E697000530663</t>
  </si>
  <si>
    <t>697141183207</t>
  </si>
  <si>
    <t>E697141183207</t>
  </si>
  <si>
    <t>697980734120</t>
  </si>
  <si>
    <t>E697980734120</t>
  </si>
  <si>
    <t>697050811523</t>
  </si>
  <si>
    <t>E697050811523</t>
  </si>
  <si>
    <t>697020432455</t>
  </si>
  <si>
    <t>E697020432455</t>
  </si>
  <si>
    <t>697850900087</t>
  </si>
  <si>
    <t>E697850900087</t>
  </si>
  <si>
    <t>697140183777</t>
  </si>
  <si>
    <t>E697140183777</t>
  </si>
  <si>
    <t>697141081021</t>
  </si>
  <si>
    <t>E697141081021</t>
  </si>
  <si>
    <t>697070850363</t>
  </si>
  <si>
    <t>E697070850363</t>
  </si>
  <si>
    <t>697180610058</t>
  </si>
  <si>
    <t>E697180610058</t>
  </si>
  <si>
    <t>697991130251</t>
  </si>
  <si>
    <t>E697991130251</t>
  </si>
  <si>
    <t>697060223409</t>
  </si>
  <si>
    <t>E697060223409</t>
  </si>
  <si>
    <t>697110690364</t>
  </si>
  <si>
    <t>E697110690364</t>
  </si>
  <si>
    <t>697150195986</t>
  </si>
  <si>
    <t>E697150195986</t>
  </si>
  <si>
    <t>697931103360</t>
  </si>
  <si>
    <t>E697931103360</t>
  </si>
  <si>
    <t>697021053164</t>
  </si>
  <si>
    <t>E697021053164</t>
  </si>
  <si>
    <t>697120191021</t>
  </si>
  <si>
    <t>E697120191021</t>
  </si>
  <si>
    <t>697770105936</t>
  </si>
  <si>
    <t>E697770105936</t>
  </si>
  <si>
    <t>697111191965</t>
  </si>
  <si>
    <t>E697111191965</t>
  </si>
  <si>
    <t>697970606093</t>
  </si>
  <si>
    <t>E697970606093</t>
  </si>
  <si>
    <t>697840700390</t>
  </si>
  <si>
    <t>E697840700390</t>
  </si>
  <si>
    <t>697090399005</t>
  </si>
  <si>
    <t>E697090399005</t>
  </si>
  <si>
    <t>697030652283</t>
  </si>
  <si>
    <t>E697030652283</t>
  </si>
  <si>
    <t>696130750821</t>
  </si>
  <si>
    <t>E696130750821</t>
  </si>
  <si>
    <t>696850800311</t>
  </si>
  <si>
    <t>696850700162</t>
  </si>
  <si>
    <t>E696850700162</t>
  </si>
  <si>
    <t>696150150285</t>
  </si>
  <si>
    <t>E696150150285</t>
  </si>
  <si>
    <t>696130950871</t>
  </si>
  <si>
    <t>E696130950871</t>
  </si>
  <si>
    <t>696030205329</t>
  </si>
  <si>
    <t>E696030205329</t>
  </si>
  <si>
    <t>696080231576</t>
  </si>
  <si>
    <t>E696080231576</t>
  </si>
  <si>
    <t>696030710694</t>
  </si>
  <si>
    <t>E696030710694</t>
  </si>
  <si>
    <t>696780800016</t>
  </si>
  <si>
    <t>E696780800016</t>
  </si>
  <si>
    <t>696981030472</t>
  </si>
  <si>
    <t>E696981030472</t>
  </si>
  <si>
    <t>696000506154</t>
  </si>
  <si>
    <t>E696000506154</t>
  </si>
  <si>
    <t>696150871144</t>
  </si>
  <si>
    <t>E696150871144</t>
  </si>
  <si>
    <t>696110691313</t>
  </si>
  <si>
    <t>E696110691313</t>
  </si>
  <si>
    <t>696070136095</t>
  </si>
  <si>
    <t>E696070136095</t>
  </si>
  <si>
    <t>696761102405</t>
  </si>
  <si>
    <t>E696761102405</t>
  </si>
  <si>
    <t>696720100597</t>
  </si>
  <si>
    <t>E696720100597</t>
  </si>
  <si>
    <t>696150970410</t>
  </si>
  <si>
    <t>E696150970410</t>
  </si>
  <si>
    <t>696761100755</t>
  </si>
  <si>
    <t>E696761100755</t>
  </si>
  <si>
    <t>696150670041</t>
  </si>
  <si>
    <t>E696150670041</t>
  </si>
  <si>
    <t>696770300031</t>
  </si>
  <si>
    <t>E696770300031</t>
  </si>
  <si>
    <t>696080751049</t>
  </si>
  <si>
    <t>E696080751049</t>
  </si>
  <si>
    <t>696080751031</t>
  </si>
  <si>
    <t>E696080751031</t>
  </si>
  <si>
    <t>696860200427</t>
  </si>
  <si>
    <t>E696860200427</t>
  </si>
  <si>
    <t>699130282257</t>
  </si>
  <si>
    <t>E699130282257</t>
  </si>
  <si>
    <t>699081272267</t>
  </si>
  <si>
    <t>E699081272267</t>
  </si>
  <si>
    <t>699150880843</t>
  </si>
  <si>
    <t>E699150880843</t>
  </si>
  <si>
    <t>699090573555</t>
  </si>
  <si>
    <t>E699090573555</t>
  </si>
  <si>
    <t>699140972120</t>
  </si>
  <si>
    <t>E699140972120</t>
  </si>
  <si>
    <t>699150941605</t>
  </si>
  <si>
    <t>E699150941605</t>
  </si>
  <si>
    <t>697071054544</t>
  </si>
  <si>
    <t>E697071054544</t>
  </si>
  <si>
    <t>697961021325</t>
  </si>
  <si>
    <t>E697961021325</t>
  </si>
  <si>
    <t>697140283399</t>
  </si>
  <si>
    <t>E697140283399</t>
  </si>
  <si>
    <t>697140283372</t>
  </si>
  <si>
    <t>E697140283372</t>
  </si>
  <si>
    <t>697140283381</t>
  </si>
  <si>
    <t>E697140283381</t>
  </si>
  <si>
    <t>697001130375</t>
  </si>
  <si>
    <t>E697001130375</t>
  </si>
  <si>
    <t>697950321432</t>
  </si>
  <si>
    <t>E697950321432</t>
  </si>
  <si>
    <t>697081091022</t>
  </si>
  <si>
    <t>E697081091022</t>
  </si>
  <si>
    <t>697090195621</t>
  </si>
  <si>
    <t>E697090195621</t>
  </si>
  <si>
    <t>697050914454</t>
  </si>
  <si>
    <t>E697050914454</t>
  </si>
  <si>
    <t>697051110511</t>
  </si>
  <si>
    <t>E697051110511</t>
  </si>
  <si>
    <t>697100190037</t>
  </si>
  <si>
    <t>E697100190037</t>
  </si>
  <si>
    <t>697180512005</t>
  </si>
  <si>
    <t>E697180512005</t>
  </si>
  <si>
    <t>697070553105</t>
  </si>
  <si>
    <t>697041051192</t>
  </si>
  <si>
    <t>E697041051192</t>
  </si>
  <si>
    <t>697090795075</t>
  </si>
  <si>
    <t>E697090795075</t>
  </si>
  <si>
    <t>697870801026</t>
  </si>
  <si>
    <t>E697870801026</t>
  </si>
  <si>
    <t>697041250829</t>
  </si>
  <si>
    <t>E697041250829</t>
  </si>
  <si>
    <t>697140882365</t>
  </si>
  <si>
    <t>E697140882365</t>
  </si>
  <si>
    <t>$115.5, FALTA GENERAR $2</t>
  </si>
  <si>
    <t>697950722852</t>
  </si>
  <si>
    <t>E697950722852</t>
  </si>
  <si>
    <t>697080455039</t>
  </si>
  <si>
    <t>E697080455039</t>
  </si>
  <si>
    <t>697171201927</t>
  </si>
  <si>
    <t>E697171201927</t>
  </si>
  <si>
    <t>697030240538</t>
  </si>
  <si>
    <t>E697030240538</t>
  </si>
  <si>
    <t>697840100384</t>
  </si>
  <si>
    <t>E697840100384</t>
  </si>
  <si>
    <t>697180610465</t>
  </si>
  <si>
    <t>697791100012</t>
  </si>
  <si>
    <t>E697791100012</t>
  </si>
  <si>
    <t>697150591695</t>
  </si>
  <si>
    <t>E697150591695</t>
  </si>
  <si>
    <t>697190211119</t>
  </si>
  <si>
    <t>E697190211119</t>
  </si>
  <si>
    <t>697130583033</t>
  </si>
  <si>
    <t>E697130583033</t>
  </si>
  <si>
    <t>697120590155</t>
  </si>
  <si>
    <t>E697120590155</t>
  </si>
  <si>
    <t>$84.5, FALTA GENERAR $1</t>
  </si>
  <si>
    <t>697940990999</t>
  </si>
  <si>
    <t>E697940990999</t>
  </si>
  <si>
    <t>697040352750</t>
  </si>
  <si>
    <t>E697040352750</t>
  </si>
  <si>
    <t>697100594847</t>
  </si>
  <si>
    <t>E697100594847</t>
  </si>
  <si>
    <t>697150398020</t>
  </si>
  <si>
    <t>E697150398020</t>
  </si>
  <si>
    <t>697180710885</t>
  </si>
  <si>
    <t>E697180710885</t>
  </si>
  <si>
    <t>697150398275</t>
  </si>
  <si>
    <t>E697150398275</t>
  </si>
  <si>
    <t>697900100907</t>
  </si>
  <si>
    <t>E697900100907</t>
  </si>
  <si>
    <t>697021250636</t>
  </si>
  <si>
    <t>E697021250636</t>
  </si>
  <si>
    <t>697970706209</t>
  </si>
  <si>
    <t>E697970706209</t>
  </si>
  <si>
    <t>697930408523</t>
  </si>
  <si>
    <t>E697930408523</t>
  </si>
  <si>
    <t>697080797118</t>
  </si>
  <si>
    <t>E697080797118</t>
  </si>
  <si>
    <t>697131284455</t>
  </si>
  <si>
    <t>E697131284455</t>
  </si>
  <si>
    <t>697130183507</t>
  </si>
  <si>
    <t>E697130183507</t>
  </si>
  <si>
    <t>697120991915</t>
  </si>
  <si>
    <t>E697120991915</t>
  </si>
  <si>
    <t>705171000584</t>
  </si>
  <si>
    <t>E705171000584</t>
  </si>
  <si>
    <t>705060630449</t>
  </si>
  <si>
    <t>E705060630449</t>
  </si>
  <si>
    <t>705100981428</t>
  </si>
  <si>
    <t>E705100981428</t>
  </si>
  <si>
    <t>705861100263</t>
  </si>
  <si>
    <t>E705861100263</t>
  </si>
  <si>
    <t>697080130342</t>
  </si>
  <si>
    <t>E697080130342</t>
  </si>
  <si>
    <t>697930108325</t>
  </si>
  <si>
    <t>E697930108325</t>
  </si>
  <si>
    <t>697140284522</t>
  </si>
  <si>
    <t>E697140284522</t>
  </si>
  <si>
    <t>697081294497</t>
  </si>
  <si>
    <t>E697081294497</t>
  </si>
  <si>
    <t>697101190227</t>
  </si>
  <si>
    <t>E697101190227</t>
  </si>
  <si>
    <t>697090995911</t>
  </si>
  <si>
    <t>E697090995911</t>
  </si>
  <si>
    <t>697180610414</t>
  </si>
  <si>
    <t>E697180610414</t>
  </si>
  <si>
    <t>697080454091</t>
  </si>
  <si>
    <t>E697080454091</t>
  </si>
  <si>
    <t>697100290791</t>
  </si>
  <si>
    <t>E697100290791</t>
  </si>
  <si>
    <t>CAMBIO DE CONCEPTO A CFE IUSA, $142.5, FALTA GENERAR $-142.5</t>
  </si>
  <si>
    <t>697150195251</t>
  </si>
  <si>
    <t>E697150195251</t>
  </si>
  <si>
    <t>697140970108</t>
  </si>
  <si>
    <t>E697140970108</t>
  </si>
  <si>
    <t>697150691533</t>
  </si>
  <si>
    <t>E697150691533</t>
  </si>
  <si>
    <t>697140583171</t>
  </si>
  <si>
    <t>E697140583171</t>
  </si>
  <si>
    <t>697130981756</t>
  </si>
  <si>
    <t>E697130981756</t>
  </si>
  <si>
    <t>697970805771</t>
  </si>
  <si>
    <t>E697970805771</t>
  </si>
  <si>
    <t>697980631436</t>
  </si>
  <si>
    <t>E697980631436</t>
  </si>
  <si>
    <t>697080793562</t>
  </si>
  <si>
    <t>E697080793562</t>
  </si>
  <si>
    <t>696950930050</t>
  </si>
  <si>
    <t>E696950930050</t>
  </si>
  <si>
    <t>696820700036</t>
  </si>
  <si>
    <t>E696820700036</t>
  </si>
  <si>
    <t>699150683771</t>
  </si>
  <si>
    <t>E699150683771</t>
  </si>
  <si>
    <t>697000930301</t>
  </si>
  <si>
    <t>E697000930301</t>
  </si>
  <si>
    <t>697021153461</t>
  </si>
  <si>
    <t>E697021153461</t>
  </si>
  <si>
    <t>697090695127</t>
  </si>
  <si>
    <t>E697090695127</t>
  </si>
  <si>
    <t>501100242228</t>
  </si>
  <si>
    <t>16970112517232228</t>
  </si>
  <si>
    <t>Caja: 201</t>
  </si>
  <si>
    <t>Caja: 351</t>
  </si>
  <si>
    <t>-258.5</t>
  </si>
  <si>
    <t>GENERAR</t>
  </si>
  <si>
    <t>PAGO PENDIENTE DE 10/08/2022</t>
  </si>
  <si>
    <t>-157.5</t>
  </si>
  <si>
    <t>-59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</si>
</sst>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theme="1"/>
      <name val="Tahoma"/>
      <family val="2"/>
    </font>
    <font>
      <b/>
      <sz val="12"/>
      <color theme="1"/>
      <name val="Tahoma"/>
      <family val="2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1" fontId="0" fillId="2" borderId="2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2" xfId="0" applyFill="1" applyBorder="1" applyAlignment="1">
      <alignment horizontal="left"/>
    </xf>
    <xf numFmtId="0" fontId="1" fillId="0" borderId="3" xfId="0" applyFont="1" applyBorder="1" applyAlignment="1">
      <alignment horizontal="left"/>
    </xf>
    <xf numFmtId="14" fontId="0" fillId="2" borderId="2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1" fillId="0" borderId="0" xfId="0" applyFont="1"/>
    <xf numFmtId="0" fontId="1" fillId="4" borderId="0" xfId="0" applyFont="1" applyFill="1"/>
    <xf numFmtId="0" fontId="1" fillId="3" borderId="0" xfId="0" applyFont="1" applyFill="1"/>
    <xf numFmtId="2" fontId="0" fillId="0" borderId="0" xfId="0" applyNumberFormat="1"/>
    <xf numFmtId="0" fontId="0" fillId="5" borderId="0" xfId="0" applyFill="1"/>
    <xf numFmtId="0" fontId="1" fillId="5" borderId="0" xfId="0" applyFont="1" applyFill="1"/>
    <xf numFmtId="0" fontId="3" fillId="0" borderId="0" xfId="0" applyFont="1"/>
    <xf numFmtId="0" fontId="0" fillId="0" borderId="0" xfId="0" applyFont="1"/>
    <xf numFmtId="14" fontId="0" fillId="0" borderId="0" xfId="0" applyNumberFormat="1"/>
    <xf numFmtId="19" fontId="0" fillId="0" borderId="0" xfId="0" applyNumberFormat="1"/>
    <xf numFmtId="0" fontId="0" fillId="0" borderId="0" xfId="0" quotePrefix="1"/>
    <xf numFmtId="164" fontId="0" fillId="0" borderId="0" xfId="0" applyNumberFormat="1"/>
    <xf numFmtId="0" fontId="0" fillId="0" borderId="0" xfId="0" applyFill="1"/>
    <xf numFmtId="0" fontId="4" fillId="0" borderId="5" xfId="0" applyFont="1" applyBorder="1"/>
    <xf numFmtId="14" fontId="4" fillId="0" borderId="5" xfId="0" applyNumberFormat="1" applyFont="1" applyBorder="1"/>
    <xf numFmtId="164" fontId="4" fillId="0" borderId="5" xfId="0" applyNumberFormat="1" applyFont="1" applyBorder="1"/>
    <xf numFmtId="0" fontId="4" fillId="0" borderId="5" xfId="0" applyFont="1" applyFill="1" applyBorder="1"/>
    <xf numFmtId="0" fontId="4" fillId="0" borderId="5" xfId="0" quotePrefix="1" applyFont="1" applyBorder="1"/>
    <xf numFmtId="14" fontId="4" fillId="4" borderId="5" xfId="0" applyNumberFormat="1" applyFont="1" applyFill="1" applyBorder="1"/>
    <xf numFmtId="164" fontId="4" fillId="4" borderId="5" xfId="0" applyNumberFormat="1" applyFont="1" applyFill="1" applyBorder="1"/>
    <xf numFmtId="0" fontId="4" fillId="4" borderId="5" xfId="0" applyFont="1" applyFill="1" applyBorder="1"/>
    <xf numFmtId="0" fontId="4" fillId="4" borderId="5" xfId="0" quotePrefix="1" applyFont="1" applyFill="1" applyBorder="1"/>
    <xf numFmtId="2" fontId="4" fillId="0" borderId="5" xfId="0" applyNumberFormat="1" applyFont="1" applyFill="1" applyBorder="1"/>
    <xf numFmtId="0" fontId="4" fillId="0" borderId="5" xfId="0" applyFont="1" applyBorder="1" applyAlignment="1"/>
    <xf numFmtId="0" fontId="4" fillId="4" borderId="5" xfId="0" applyFont="1" applyFill="1" applyBorder="1" applyAlignment="1"/>
    <xf numFmtId="0" fontId="0" fillId="0" borderId="0" xfId="0" applyAlignment="1"/>
    <xf numFmtId="4" fontId="5" fillId="0" borderId="5" xfId="0" applyNumberFormat="1" applyFont="1" applyBorder="1"/>
    <xf numFmtId="4" fontId="6" fillId="0" borderId="0" xfId="0" applyNumberFormat="1" applyFont="1"/>
    <xf numFmtId="14" fontId="4" fillId="6" borderId="5" xfId="0" applyNumberFormat="1" applyFont="1" applyFill="1" applyBorder="1"/>
    <xf numFmtId="164" fontId="4" fillId="6" borderId="5" xfId="0" applyNumberFormat="1" applyFont="1" applyFill="1" applyBorder="1"/>
    <xf numFmtId="0" fontId="4" fillId="6" borderId="5" xfId="0" applyFont="1" applyFill="1" applyBorder="1"/>
    <xf numFmtId="0" fontId="4" fillId="6" borderId="5" xfId="0" quotePrefix="1" applyFont="1" applyFill="1" applyBorder="1"/>
    <xf numFmtId="14" fontId="4" fillId="3" borderId="5" xfId="0" applyNumberFormat="1" applyFont="1" applyFill="1" applyBorder="1"/>
    <xf numFmtId="164" fontId="4" fillId="3" borderId="5" xfId="0" applyNumberFormat="1" applyFont="1" applyFill="1" applyBorder="1"/>
    <xf numFmtId="0" fontId="4" fillId="3" borderId="5" xfId="0" applyFont="1" applyFill="1" applyBorder="1"/>
    <xf numFmtId="0" fontId="4" fillId="3" borderId="5" xfId="0" quotePrefix="1" applyFont="1" applyFill="1" applyBorder="1"/>
    <xf numFmtId="14" fontId="4" fillId="5" borderId="5" xfId="0" applyNumberFormat="1" applyFont="1" applyFill="1" applyBorder="1"/>
    <xf numFmtId="164" fontId="4" fillId="5" borderId="5" xfId="0" applyNumberFormat="1" applyFont="1" applyFill="1" applyBorder="1"/>
    <xf numFmtId="0" fontId="4" fillId="5" borderId="5" xfId="0" applyFont="1" applyFill="1" applyBorder="1"/>
    <xf numFmtId="0" fontId="4" fillId="5" borderId="5" xfId="0" quotePrefix="1" applyFont="1" applyFill="1" applyBorder="1"/>
    <xf numFmtId="0" fontId="4" fillId="6" borderId="5" xfId="0" applyFont="1" applyFill="1" applyBorder="1" applyAlignment="1"/>
    <xf numFmtId="0" fontId="4" fillId="3" borderId="5" xfId="0" applyFont="1" applyFill="1" applyBorder="1" applyAlignment="1"/>
    <xf numFmtId="0" fontId="4" fillId="5" borderId="5" xfId="0" applyFont="1" applyFill="1" applyBorder="1" applyAlignment="1"/>
    <xf numFmtId="14" fontId="0" fillId="0" borderId="0" xfId="0" applyNumberFormat="1"/>
    <xf numFmtId="14" fontId="4" fillId="0" borderId="5" xfId="0" applyNumberFormat="1" applyFont="1" applyFill="1" applyBorder="1"/>
    <xf numFmtId="0" fontId="4" fillId="0" borderId="5" xfId="0" applyFont="1" applyFill="1" applyBorder="1" applyAlignment="1">
      <alignment horizontal="center" vertical="top"/>
    </xf>
    <xf numFmtId="164" fontId="4" fillId="0" borderId="5" xfId="0" applyNumberFormat="1" applyFont="1" applyFill="1" applyBorder="1"/>
    <xf numFmtId="14" fontId="4" fillId="0" borderId="5" xfId="0" applyNumberFormat="1" applyFont="1" applyFill="1" applyBorder="1"/>
    <xf numFmtId="14" fontId="4" fillId="3" borderId="5" xfId="0" applyNumberFormat="1" applyFont="1" applyFill="1" applyBorder="1" applyAlignment="1">
      <alignment horizontal="center" vertical="center"/>
    </xf>
    <xf numFmtId="14" fontId="4" fillId="5" borderId="5" xfId="0" applyNumberFormat="1" applyFont="1" applyFill="1" applyBorder="1" applyAlignment="1">
      <alignment horizontal="center" vertical="center"/>
    </xf>
    <xf numFmtId="14" fontId="4" fillId="6" borderId="5" xfId="0" applyNumberFormat="1" applyFont="1" applyFill="1" applyBorder="1" applyAlignment="1">
      <alignment horizontal="center" vertical="center"/>
    </xf>
    <xf numFmtId="14" fontId="7" fillId="0" borderId="8" xfId="0" applyNumberFormat="1" applyFont="1" applyBorder="1"/>
    <xf numFmtId="14" fontId="0" fillId="0" borderId="9" xfId="0" applyNumberFormat="1" applyBorder="1"/>
    <xf numFmtId="4" fontId="7" fillId="0" borderId="9" xfId="0" applyNumberFormat="1" applyFont="1" applyBorder="1"/>
    <xf numFmtId="0" fontId="0" fillId="0" borderId="9" xfId="0" applyBorder="1"/>
    <xf numFmtId="0" fontId="0" fillId="0" borderId="10" xfId="0" applyBorder="1"/>
    <xf numFmtId="14" fontId="4" fillId="0" borderId="4" xfId="0" applyNumberFormat="1" applyFont="1" applyBorder="1" applyAlignment="1">
      <alignment horizontal="center"/>
    </xf>
    <xf numFmtId="14" fontId="4" fillId="0" borderId="6" xfId="0" applyNumberFormat="1" applyFont="1" applyBorder="1" applyAlignment="1">
      <alignment horizontal="center"/>
    </xf>
    <xf numFmtId="14" fontId="4" fillId="0" borderId="7" xfId="0" applyNumberFormat="1" applyFont="1" applyBorder="1" applyAlignment="1">
      <alignment horizontal="center"/>
    </xf>
    <xf numFmtId="14" fontId="5" fillId="0" borderId="4" xfId="0" applyNumberFormat="1" applyFont="1" applyBorder="1"/>
    <xf numFmtId="14" fontId="4" fillId="0" borderId="6" xfId="0" applyNumberFormat="1" applyFont="1" applyBorder="1"/>
    <xf numFmtId="14" fontId="4" fillId="0" borderId="7" xfId="0" applyNumberFormat="1" applyFont="1" applyBorder="1"/>
    <xf numFmtId="14" fontId="6" fillId="0" borderId="0" xfId="0" applyNumberFormat="1" applyFont="1"/>
    <xf numFmtId="14" fontId="0" fillId="0" borderId="0" xfId="0" applyNumberFormat="1"/>
    <xf numFmtId="2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4</xdr:col>
          <xdr:colOff>285750</xdr:colOff>
          <xdr:row>11</xdr:row>
          <xdr:rowOff>76200</xdr:rowOff>
        </xdr:to>
        <xdr:sp macro="" textlink="">
          <xdr:nvSpPr>
            <xdr:cNvPr id="2049" name="BTNInicio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C7A7A-4E62-463D-B3C7-BBBD7FC26974}">
  <sheetPr codeName="Hoja14"/>
  <dimension ref="A1:B40"/>
  <sheetViews>
    <sheetView workbookViewId="0"/>
    <sheetView workbookViewId="1"/>
  </sheetViews>
  <sheetFormatPr baseColWidth="10" defaultRowHeight="15" x14ac:dyDescent="0.25"/>
  <cols>
    <col min="1" max="1" width="13.7109375" bestFit="1" customWidth="1"/>
  </cols>
  <sheetData>
    <row r="1" spans="1:2" x14ac:dyDescent="0.25">
      <c r="A1" t="s">
        <v>38</v>
      </c>
      <c r="B1">
        <v>11</v>
      </c>
    </row>
    <row r="2" spans="1:2" x14ac:dyDescent="0.25">
      <c r="A2" t="s">
        <v>40</v>
      </c>
      <c r="B2">
        <v>21</v>
      </c>
    </row>
    <row r="3" spans="1:2" x14ac:dyDescent="0.25">
      <c r="A3" t="s">
        <v>37</v>
      </c>
      <c r="B3">
        <v>31</v>
      </c>
    </row>
    <row r="4" spans="1:2" x14ac:dyDescent="0.25">
      <c r="A4" t="s">
        <v>30</v>
      </c>
      <c r="B4">
        <v>41</v>
      </c>
    </row>
    <row r="5" spans="1:2" x14ac:dyDescent="0.25">
      <c r="A5" t="s">
        <v>29</v>
      </c>
      <c r="B5">
        <v>51</v>
      </c>
    </row>
    <row r="6" spans="1:2" x14ac:dyDescent="0.25">
      <c r="A6" t="s">
        <v>31</v>
      </c>
      <c r="B6">
        <v>61</v>
      </c>
    </row>
    <row r="7" spans="1:2" x14ac:dyDescent="0.25">
      <c r="A7" t="s">
        <v>44</v>
      </c>
      <c r="B7">
        <v>71</v>
      </c>
    </row>
    <row r="8" spans="1:2" x14ac:dyDescent="0.25">
      <c r="A8" t="s">
        <v>33</v>
      </c>
      <c r="B8">
        <v>81</v>
      </c>
    </row>
    <row r="9" spans="1:2" x14ac:dyDescent="0.25">
      <c r="A9" t="s">
        <v>32</v>
      </c>
      <c r="B9">
        <v>91</v>
      </c>
    </row>
    <row r="10" spans="1:2" x14ac:dyDescent="0.25">
      <c r="A10" t="s">
        <v>35</v>
      </c>
      <c r="B10">
        <v>101</v>
      </c>
    </row>
    <row r="11" spans="1:2" x14ac:dyDescent="0.25">
      <c r="A11" t="s">
        <v>39</v>
      </c>
      <c r="B11">
        <v>111</v>
      </c>
    </row>
    <row r="12" spans="1:2" x14ac:dyDescent="0.25">
      <c r="A12" t="s">
        <v>36</v>
      </c>
      <c r="B12">
        <v>121</v>
      </c>
    </row>
    <row r="13" spans="1:2" x14ac:dyDescent="0.25">
      <c r="A13" t="s">
        <v>42</v>
      </c>
      <c r="B13">
        <v>131</v>
      </c>
    </row>
    <row r="14" spans="1:2" x14ac:dyDescent="0.25">
      <c r="A14" t="s">
        <v>27</v>
      </c>
      <c r="B14">
        <v>141</v>
      </c>
    </row>
    <row r="15" spans="1:2" x14ac:dyDescent="0.25">
      <c r="A15" t="s">
        <v>45</v>
      </c>
      <c r="B15">
        <v>151</v>
      </c>
    </row>
    <row r="16" spans="1:2" x14ac:dyDescent="0.25">
      <c r="A16" t="s">
        <v>28</v>
      </c>
      <c r="B16">
        <v>161</v>
      </c>
    </row>
    <row r="17" spans="1:2" x14ac:dyDescent="0.25">
      <c r="A17" t="s">
        <v>46</v>
      </c>
      <c r="B17">
        <v>171</v>
      </c>
    </row>
    <row r="18" spans="1:2" x14ac:dyDescent="0.25">
      <c r="A18" t="s">
        <v>47</v>
      </c>
      <c r="B18">
        <v>181</v>
      </c>
    </row>
    <row r="19" spans="1:2" x14ac:dyDescent="0.25">
      <c r="A19" t="s">
        <v>48</v>
      </c>
      <c r="B19">
        <v>191</v>
      </c>
    </row>
    <row r="20" spans="1:2" x14ac:dyDescent="0.25">
      <c r="A20" t="s">
        <v>49</v>
      </c>
      <c r="B20">
        <v>201</v>
      </c>
    </row>
    <row r="21" spans="1:2" x14ac:dyDescent="0.25">
      <c r="A21" t="s">
        <v>50</v>
      </c>
      <c r="B21">
        <v>211</v>
      </c>
    </row>
    <row r="22" spans="1:2" x14ac:dyDescent="0.25">
      <c r="A22" t="s">
        <v>34</v>
      </c>
      <c r="B22">
        <v>271</v>
      </c>
    </row>
    <row r="23" spans="1:2" x14ac:dyDescent="0.25">
      <c r="A23" t="s">
        <v>51</v>
      </c>
      <c r="B23">
        <v>231</v>
      </c>
    </row>
    <row r="24" spans="1:2" x14ac:dyDescent="0.25">
      <c r="A24" t="s">
        <v>52</v>
      </c>
      <c r="B24">
        <v>241</v>
      </c>
    </row>
    <row r="25" spans="1:2" x14ac:dyDescent="0.25">
      <c r="A25" t="s">
        <v>53</v>
      </c>
      <c r="B25">
        <v>251</v>
      </c>
    </row>
    <row r="26" spans="1:2" x14ac:dyDescent="0.25">
      <c r="A26" t="s">
        <v>54</v>
      </c>
      <c r="B26">
        <v>261</v>
      </c>
    </row>
    <row r="27" spans="1:2" x14ac:dyDescent="0.25">
      <c r="A27" t="s">
        <v>55</v>
      </c>
      <c r="B27">
        <v>271</v>
      </c>
    </row>
    <row r="28" spans="1:2" x14ac:dyDescent="0.25">
      <c r="A28" t="s">
        <v>56</v>
      </c>
      <c r="B28">
        <v>281</v>
      </c>
    </row>
    <row r="29" spans="1:2" x14ac:dyDescent="0.25">
      <c r="A29" t="s">
        <v>57</v>
      </c>
      <c r="B29">
        <v>291</v>
      </c>
    </row>
    <row r="30" spans="1:2" x14ac:dyDescent="0.25">
      <c r="A30" t="s">
        <v>58</v>
      </c>
      <c r="B30">
        <v>301</v>
      </c>
    </row>
    <row r="31" spans="1:2" x14ac:dyDescent="0.25">
      <c r="A31" t="s">
        <v>59</v>
      </c>
      <c r="B31">
        <v>311</v>
      </c>
    </row>
    <row r="32" spans="1:2" x14ac:dyDescent="0.25">
      <c r="A32" t="s">
        <v>60</v>
      </c>
      <c r="B32">
        <v>321</v>
      </c>
    </row>
    <row r="33" spans="1:2" x14ac:dyDescent="0.25">
      <c r="A33" t="s">
        <v>61</v>
      </c>
      <c r="B33">
        <v>331</v>
      </c>
    </row>
    <row r="34" spans="1:2" x14ac:dyDescent="0.25">
      <c r="A34" t="s">
        <v>62</v>
      </c>
      <c r="B34">
        <v>341</v>
      </c>
    </row>
    <row r="35" spans="1:2" x14ac:dyDescent="0.25">
      <c r="A35" t="s">
        <v>63</v>
      </c>
      <c r="B35">
        <v>351</v>
      </c>
    </row>
    <row r="36" spans="1:2" x14ac:dyDescent="0.25">
      <c r="A36" t="s">
        <v>41</v>
      </c>
      <c r="B36">
        <v>361</v>
      </c>
    </row>
    <row r="37" spans="1:2" x14ac:dyDescent="0.25">
      <c r="A37" t="s">
        <v>64</v>
      </c>
      <c r="B37">
        <v>371</v>
      </c>
    </row>
    <row r="38" spans="1:2" x14ac:dyDescent="0.25">
      <c r="A38" t="s">
        <v>65</v>
      </c>
      <c r="B38">
        <v>381</v>
      </c>
    </row>
    <row r="39" spans="1:2" x14ac:dyDescent="0.25">
      <c r="A39" t="s">
        <v>66</v>
      </c>
      <c r="B39">
        <v>391</v>
      </c>
    </row>
    <row r="40" spans="1:2" x14ac:dyDescent="0.25">
      <c r="A40" t="s">
        <v>43</v>
      </c>
      <c r="B40">
        <v>401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655E-1F31-49BD-9557-60DA9B2980ED}">
  <sheetPr codeName="Hoja1"/>
  <dimension ref="A1:H28"/>
  <sheetViews>
    <sheetView workbookViewId="0">
      <selection activeCell="B5" sqref="B5"/>
    </sheetView>
    <sheetView workbookViewId="1"/>
  </sheetViews>
  <sheetFormatPr baseColWidth="10" defaultRowHeight="15" x14ac:dyDescent="0.25"/>
  <cols>
    <col min="1" max="1" width="17.42578125" bestFit="1" customWidth="1"/>
    <col min="2" max="2" width="23.85546875" bestFit="1" customWidth="1"/>
    <col min="3" max="3" width="19.5703125" bestFit="1" customWidth="1"/>
    <col min="4" max="4" width="20.42578125" bestFit="1" customWidth="1"/>
    <col min="5" max="5" width="13" bestFit="1" customWidth="1"/>
    <col min="6" max="6" width="52.5703125" bestFit="1" customWidth="1"/>
  </cols>
  <sheetData>
    <row r="1" spans="1:6" ht="15.75" thickBot="1" x14ac:dyDescent="0.3">
      <c r="A1" s="2" t="s">
        <v>0</v>
      </c>
      <c r="B1" s="3">
        <v>4.9400000000000004</v>
      </c>
      <c r="C1" s="4" t="s">
        <v>1</v>
      </c>
      <c r="D1" s="5">
        <f ca="1">TODAY()</f>
        <v>44783</v>
      </c>
      <c r="E1" s="6"/>
      <c r="F1" s="6"/>
    </row>
    <row r="2" spans="1:6" ht="15.75" thickBot="1" x14ac:dyDescent="0.3">
      <c r="A2" s="2" t="s">
        <v>2</v>
      </c>
      <c r="B2" s="3" t="s">
        <v>3</v>
      </c>
      <c r="C2" s="4" t="s">
        <v>4</v>
      </c>
      <c r="D2" s="5" t="s">
        <v>5</v>
      </c>
      <c r="E2" s="6"/>
      <c r="F2" s="6"/>
    </row>
    <row r="3" spans="1:6" ht="15.75" thickBot="1" x14ac:dyDescent="0.3">
      <c r="A3" s="2" t="s">
        <v>6</v>
      </c>
      <c r="B3" s="3">
        <v>1</v>
      </c>
      <c r="C3" s="4" t="s">
        <v>7</v>
      </c>
      <c r="D3" s="1">
        <v>8</v>
      </c>
      <c r="E3" s="2" t="s">
        <v>8</v>
      </c>
      <c r="F3" s="3">
        <v>2022</v>
      </c>
    </row>
    <row r="4" spans="1:6" ht="15.75" thickBot="1" x14ac:dyDescent="0.3">
      <c r="A4" s="2" t="s">
        <v>9</v>
      </c>
      <c r="B4" s="3">
        <v>7</v>
      </c>
      <c r="C4" s="4" t="s">
        <v>7</v>
      </c>
      <c r="D4" s="1">
        <v>8</v>
      </c>
      <c r="E4" s="2" t="s">
        <v>8</v>
      </c>
      <c r="F4" s="3">
        <v>2022</v>
      </c>
    </row>
    <row r="5" spans="1:6" ht="15.75" thickBot="1" x14ac:dyDescent="0.3">
      <c r="A5" s="2" t="s">
        <v>10</v>
      </c>
      <c r="B5" s="3" t="s">
        <v>702</v>
      </c>
      <c r="C5" s="4" t="s">
        <v>11</v>
      </c>
      <c r="D5" s="1" t="s">
        <v>1630</v>
      </c>
      <c r="E5" s="4" t="s">
        <v>12</v>
      </c>
      <c r="F5" s="1" t="s">
        <v>13</v>
      </c>
    </row>
    <row r="6" spans="1:6" ht="15.75" thickBot="1" x14ac:dyDescent="0.3">
      <c r="A6" s="2"/>
      <c r="B6" s="3" t="s">
        <v>26</v>
      </c>
      <c r="C6" s="4" t="s">
        <v>14</v>
      </c>
      <c r="D6" s="1" t="s">
        <v>689</v>
      </c>
      <c r="E6" s="4" t="s">
        <v>15</v>
      </c>
      <c r="F6" s="1" t="s">
        <v>16</v>
      </c>
    </row>
    <row r="7" spans="1:6" ht="15.75" thickBot="1" x14ac:dyDescent="0.3">
      <c r="A7" s="2" t="s">
        <v>17</v>
      </c>
      <c r="B7" s="3" t="s">
        <v>18</v>
      </c>
      <c r="C7" s="4" t="s">
        <v>25</v>
      </c>
      <c r="D7" s="1" t="s">
        <v>690</v>
      </c>
      <c r="E7" s="2"/>
      <c r="F7" s="3"/>
    </row>
    <row r="8" spans="1:6" ht="15.75" thickBot="1" x14ac:dyDescent="0.3">
      <c r="A8" s="2"/>
      <c r="B8" s="3" t="s">
        <v>19</v>
      </c>
      <c r="C8" s="4" t="s">
        <v>692</v>
      </c>
      <c r="D8" s="1" t="s">
        <v>1631</v>
      </c>
      <c r="E8" s="2"/>
      <c r="F8" s="3"/>
    </row>
    <row r="9" spans="1:6" ht="15.75" thickBot="1" x14ac:dyDescent="0.3">
      <c r="A9" s="2"/>
      <c r="B9" s="3" t="s">
        <v>20</v>
      </c>
    </row>
    <row r="10" spans="1:6" ht="15.75" thickBot="1" x14ac:dyDescent="0.3">
      <c r="A10" s="2"/>
      <c r="B10" s="3" t="s">
        <v>21</v>
      </c>
    </row>
    <row r="11" spans="1:6" ht="15.75" thickBot="1" x14ac:dyDescent="0.3">
      <c r="A11" s="2"/>
      <c r="B11" s="3" t="s">
        <v>22</v>
      </c>
    </row>
    <row r="12" spans="1:6" ht="15.75" thickBot="1" x14ac:dyDescent="0.3">
      <c r="A12" s="2" t="s">
        <v>23</v>
      </c>
      <c r="B12" s="3" t="s">
        <v>24</v>
      </c>
    </row>
    <row r="13" spans="1:6" x14ac:dyDescent="0.25">
      <c r="E13" s="16"/>
    </row>
    <row r="14" spans="1:6" x14ac:dyDescent="0.25">
      <c r="D14" s="15"/>
    </row>
    <row r="16" spans="1:6" x14ac:dyDescent="0.25">
      <c r="D16" s="16"/>
    </row>
    <row r="17" spans="4:8" x14ac:dyDescent="0.25">
      <c r="D17" s="15"/>
    </row>
    <row r="18" spans="4:8" x14ac:dyDescent="0.25">
      <c r="H18" s="15"/>
    </row>
    <row r="26" spans="4:8" x14ac:dyDescent="0.25">
      <c r="D26" s="15"/>
    </row>
    <row r="28" spans="4:8" x14ac:dyDescent="0.25">
      <c r="D28" s="1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Inicio">
          <controlPr defaultSize="0" autoLine="0" r:id="rId5">
            <anchor moveWithCells="1">
              <from>
                <xdr:col>3</xdr:col>
                <xdr:colOff>9525</xdr:colOff>
                <xdr:row>9</xdr:row>
                <xdr:rowOff>9525</xdr:rowOff>
              </from>
              <to>
                <xdr:col>4</xdr:col>
                <xdr:colOff>285750</xdr:colOff>
                <xdr:row>11</xdr:row>
                <xdr:rowOff>76200</xdr:rowOff>
              </to>
            </anchor>
          </controlPr>
        </control>
      </mc:Choice>
      <mc:Fallback>
        <control shapeId="2049" r:id="rId4" name="BTNInici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72BBF-5B3A-4616-BEBB-5AE3A4906C9B}">
  <sheetPr codeName="Hoja2"/>
  <dimension ref="A1:J5"/>
  <sheetViews>
    <sheetView workbookViewId="0">
      <selection activeCell="N15" sqref="N15"/>
    </sheetView>
    <sheetView workbookViewId="1"/>
  </sheetViews>
  <sheetFormatPr baseColWidth="10" defaultRowHeight="15" x14ac:dyDescent="0.25"/>
  <sheetData>
    <row r="1" spans="1:10" x14ac:dyDescent="0.25">
      <c r="A1" t="s">
        <v>693</v>
      </c>
      <c r="B1" t="s">
        <v>694</v>
      </c>
      <c r="C1" t="s">
        <v>695</v>
      </c>
      <c r="D1" t="s">
        <v>696</v>
      </c>
      <c r="E1" t="s">
        <v>697</v>
      </c>
      <c r="F1" t="s">
        <v>698</v>
      </c>
      <c r="G1" t="s">
        <v>691</v>
      </c>
      <c r="H1" t="s">
        <v>700</v>
      </c>
      <c r="I1" t="s">
        <v>699</v>
      </c>
      <c r="J1" t="s">
        <v>701</v>
      </c>
    </row>
    <row r="2" spans="1:10" x14ac:dyDescent="0.25">
      <c r="A2">
        <v>81</v>
      </c>
      <c r="B2" s="17">
        <v>44778</v>
      </c>
      <c r="C2">
        <v>0.33193287037037039</v>
      </c>
      <c r="D2" t="s">
        <v>718</v>
      </c>
      <c r="E2" t="s">
        <v>709</v>
      </c>
      <c r="F2" s="19" t="s">
        <v>2914</v>
      </c>
      <c r="G2">
        <v>0</v>
      </c>
      <c r="H2" t="s">
        <v>1625</v>
      </c>
      <c r="I2">
        <v>157.5</v>
      </c>
      <c r="J2" s="17">
        <v>44783</v>
      </c>
    </row>
    <row r="3" spans="1:10" x14ac:dyDescent="0.25">
      <c r="A3">
        <v>91</v>
      </c>
      <c r="B3" s="17">
        <v>44776</v>
      </c>
      <c r="C3">
        <v>0.70973379629629629</v>
      </c>
      <c r="D3" t="s">
        <v>719</v>
      </c>
      <c r="E3" t="s">
        <v>709</v>
      </c>
      <c r="F3" s="19" t="s">
        <v>1266</v>
      </c>
      <c r="G3">
        <v>-43.5</v>
      </c>
      <c r="H3" t="s">
        <v>1625</v>
      </c>
      <c r="I3">
        <v>1</v>
      </c>
      <c r="J3" s="17">
        <v>44783</v>
      </c>
    </row>
    <row r="4" spans="1:10" x14ac:dyDescent="0.25">
      <c r="A4">
        <v>271</v>
      </c>
      <c r="B4" s="17">
        <v>44778</v>
      </c>
      <c r="C4">
        <v>0.36363425925925924</v>
      </c>
      <c r="D4" t="s">
        <v>736</v>
      </c>
      <c r="E4" t="s">
        <v>709</v>
      </c>
      <c r="F4" s="19" t="s">
        <v>3417</v>
      </c>
      <c r="G4">
        <v>-113.5</v>
      </c>
      <c r="H4" t="s">
        <v>3527</v>
      </c>
      <c r="I4">
        <v>2</v>
      </c>
      <c r="J4" s="17">
        <v>44783</v>
      </c>
    </row>
    <row r="5" spans="1:10" x14ac:dyDescent="0.25">
      <c r="A5">
        <v>321</v>
      </c>
      <c r="B5" s="17">
        <v>44778</v>
      </c>
      <c r="C5">
        <v>0.47332175925925929</v>
      </c>
      <c r="D5" t="s">
        <v>738</v>
      </c>
      <c r="E5" t="s">
        <v>709</v>
      </c>
      <c r="F5" s="19" t="s">
        <v>3439</v>
      </c>
      <c r="G5">
        <v>-83.5</v>
      </c>
      <c r="H5" t="s">
        <v>3527</v>
      </c>
      <c r="I5">
        <v>1</v>
      </c>
      <c r="J5" s="17">
        <v>44783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F0587-776E-42D4-8EE9-43B71C95D1B8}">
  <sheetPr codeName="Hoja3"/>
  <dimension ref="A1:I25"/>
  <sheetViews>
    <sheetView workbookViewId="0">
      <selection activeCell="N15" sqref="N15"/>
    </sheetView>
    <sheetView workbookViewId="1"/>
  </sheetViews>
  <sheetFormatPr baseColWidth="10" defaultRowHeight="15" x14ac:dyDescent="0.25"/>
  <sheetData>
    <row r="1" spans="1:9" x14ac:dyDescent="0.25">
      <c r="A1" t="s">
        <v>693</v>
      </c>
      <c r="B1" t="s">
        <v>694</v>
      </c>
      <c r="C1" t="s">
        <v>695</v>
      </c>
      <c r="D1" t="s">
        <v>696</v>
      </c>
      <c r="E1" t="s">
        <v>697</v>
      </c>
      <c r="F1" t="s">
        <v>698</v>
      </c>
      <c r="G1" t="s">
        <v>691</v>
      </c>
      <c r="I1" t="s">
        <v>699</v>
      </c>
    </row>
    <row r="2" spans="1:9" x14ac:dyDescent="0.25">
      <c r="A2">
        <v>11</v>
      </c>
      <c r="B2" s="17">
        <v>44778</v>
      </c>
      <c r="C2">
        <v>0.4430324074074074</v>
      </c>
      <c r="D2" t="s">
        <v>703</v>
      </c>
      <c r="E2" t="s">
        <v>709</v>
      </c>
      <c r="F2" s="19" t="s">
        <v>3522</v>
      </c>
      <c r="G2">
        <v>-258.5</v>
      </c>
      <c r="H2" t="s">
        <v>1459</v>
      </c>
    </row>
    <row r="3" spans="1:9" x14ac:dyDescent="0.25">
      <c r="A3">
        <v>41</v>
      </c>
      <c r="B3" s="17">
        <v>44774</v>
      </c>
      <c r="C3">
        <v>0.74306712962962962</v>
      </c>
      <c r="D3" t="s">
        <v>708</v>
      </c>
      <c r="E3" t="s">
        <v>704</v>
      </c>
      <c r="F3" s="19" t="s">
        <v>1608</v>
      </c>
      <c r="G3">
        <v>-180.5</v>
      </c>
      <c r="H3" t="s">
        <v>1607</v>
      </c>
    </row>
    <row r="4" spans="1:9" x14ac:dyDescent="0.25">
      <c r="A4">
        <v>91</v>
      </c>
      <c r="B4" s="17">
        <v>44774</v>
      </c>
      <c r="C4">
        <v>0.90219907407407407</v>
      </c>
      <c r="D4" t="s">
        <v>720</v>
      </c>
      <c r="E4" t="s">
        <v>709</v>
      </c>
      <c r="F4" s="19" t="s">
        <v>1559</v>
      </c>
      <c r="G4">
        <v>-209</v>
      </c>
      <c r="H4" t="s">
        <v>1277</v>
      </c>
    </row>
    <row r="5" spans="1:9" x14ac:dyDescent="0.25">
      <c r="A5">
        <v>91</v>
      </c>
      <c r="B5" s="17">
        <v>44777</v>
      </c>
      <c r="C5">
        <v>0.90520833333333339</v>
      </c>
      <c r="D5" t="s">
        <v>720</v>
      </c>
      <c r="E5" t="s">
        <v>709</v>
      </c>
      <c r="F5" s="19" t="s">
        <v>1123</v>
      </c>
      <c r="G5">
        <v>-91</v>
      </c>
      <c r="H5" t="s">
        <v>1277</v>
      </c>
    </row>
    <row r="6" spans="1:9" x14ac:dyDescent="0.25">
      <c r="A6">
        <v>111</v>
      </c>
      <c r="B6" s="17">
        <v>44774</v>
      </c>
      <c r="C6">
        <v>0.38232638888888887</v>
      </c>
      <c r="D6" t="s">
        <v>1465</v>
      </c>
      <c r="E6" t="s">
        <v>709</v>
      </c>
      <c r="F6" s="19" t="s">
        <v>1619</v>
      </c>
      <c r="G6">
        <v>-238.5</v>
      </c>
      <c r="H6" t="s">
        <v>1459</v>
      </c>
    </row>
    <row r="7" spans="1:9" x14ac:dyDescent="0.25">
      <c r="A7">
        <v>111</v>
      </c>
      <c r="B7" s="17">
        <v>44774</v>
      </c>
      <c r="C7">
        <v>0.54355324074074074</v>
      </c>
      <c r="D7" t="s">
        <v>723</v>
      </c>
      <c r="E7" t="s">
        <v>709</v>
      </c>
      <c r="F7" s="19" t="s">
        <v>1620</v>
      </c>
      <c r="G7">
        <v>-148.5</v>
      </c>
      <c r="H7" t="s">
        <v>1459</v>
      </c>
    </row>
    <row r="8" spans="1:9" x14ac:dyDescent="0.25">
      <c r="A8">
        <v>121</v>
      </c>
      <c r="B8" s="17">
        <v>44778</v>
      </c>
      <c r="C8">
        <v>0.98299768518518515</v>
      </c>
      <c r="D8" t="s">
        <v>725</v>
      </c>
      <c r="E8" t="s">
        <v>709</v>
      </c>
      <c r="F8" s="19" t="s">
        <v>3253</v>
      </c>
      <c r="G8">
        <v>-185</v>
      </c>
      <c r="H8" t="s">
        <v>1277</v>
      </c>
    </row>
    <row r="9" spans="1:9" x14ac:dyDescent="0.25">
      <c r="A9">
        <v>131</v>
      </c>
      <c r="B9" s="17">
        <v>44777</v>
      </c>
      <c r="C9">
        <v>0.54331018518518526</v>
      </c>
      <c r="D9" t="s">
        <v>726</v>
      </c>
      <c r="E9" t="s">
        <v>709</v>
      </c>
      <c r="F9" s="19" t="s">
        <v>1195</v>
      </c>
      <c r="G9">
        <v>-711.5</v>
      </c>
      <c r="H9" t="s">
        <v>1278</v>
      </c>
    </row>
    <row r="10" spans="1:9" x14ac:dyDescent="0.25">
      <c r="A10">
        <v>161</v>
      </c>
      <c r="B10" s="17">
        <v>44778</v>
      </c>
      <c r="C10">
        <v>0.51116898148148149</v>
      </c>
      <c r="D10" t="s">
        <v>730</v>
      </c>
      <c r="E10" t="s">
        <v>709</v>
      </c>
      <c r="F10" s="19" t="s">
        <v>3359</v>
      </c>
      <c r="G10">
        <v>-47</v>
      </c>
      <c r="H10" t="s">
        <v>1277</v>
      </c>
    </row>
    <row r="11" spans="1:9" x14ac:dyDescent="0.25">
      <c r="A11">
        <v>161</v>
      </c>
      <c r="B11" s="17">
        <v>44778</v>
      </c>
      <c r="C11">
        <v>0.51283564814814808</v>
      </c>
      <c r="D11" t="s">
        <v>730</v>
      </c>
      <c r="E11" t="s">
        <v>709</v>
      </c>
      <c r="F11" s="19" t="s">
        <v>3361</v>
      </c>
      <c r="G11">
        <v>-77</v>
      </c>
      <c r="H11" t="s">
        <v>1277</v>
      </c>
    </row>
    <row r="12" spans="1:9" x14ac:dyDescent="0.25">
      <c r="A12">
        <v>191</v>
      </c>
      <c r="B12" s="17">
        <v>44777</v>
      </c>
      <c r="C12">
        <v>0.91778935185185195</v>
      </c>
      <c r="D12" t="s">
        <v>731</v>
      </c>
      <c r="E12" t="s">
        <v>712</v>
      </c>
      <c r="F12" s="19" t="s">
        <v>1255</v>
      </c>
      <c r="G12">
        <v>-60</v>
      </c>
      <c r="H12" t="s">
        <v>1277</v>
      </c>
    </row>
    <row r="13" spans="1:9" x14ac:dyDescent="0.25">
      <c r="A13">
        <v>261</v>
      </c>
      <c r="B13" s="17">
        <v>44776</v>
      </c>
      <c r="C13">
        <v>0.81718750000000007</v>
      </c>
      <c r="D13" t="s">
        <v>735</v>
      </c>
      <c r="E13" t="s">
        <v>709</v>
      </c>
      <c r="F13" s="19" t="s">
        <v>1460</v>
      </c>
      <c r="G13">
        <v>-1990</v>
      </c>
      <c r="H13" t="s">
        <v>1459</v>
      </c>
    </row>
    <row r="14" spans="1:9" x14ac:dyDescent="0.25">
      <c r="A14">
        <v>351</v>
      </c>
      <c r="B14" s="17">
        <v>44779</v>
      </c>
      <c r="C14">
        <v>0.59355324074074078</v>
      </c>
      <c r="D14" t="s">
        <v>740</v>
      </c>
      <c r="E14" t="s">
        <v>709</v>
      </c>
      <c r="F14" s="19" t="s">
        <v>3523</v>
      </c>
      <c r="G14">
        <v>-59</v>
      </c>
      <c r="H14" t="s">
        <v>1459</v>
      </c>
    </row>
    <row r="15" spans="1:9" x14ac:dyDescent="0.25">
      <c r="B15" s="17"/>
      <c r="F15" s="19"/>
    </row>
    <row r="16" spans="1:9" x14ac:dyDescent="0.25">
      <c r="B16" s="17"/>
      <c r="F16" s="19"/>
    </row>
    <row r="17" spans="2:6" x14ac:dyDescent="0.25">
      <c r="B17" s="17"/>
      <c r="F17" s="19"/>
    </row>
    <row r="18" spans="2:6" x14ac:dyDescent="0.25">
      <c r="B18" s="17"/>
      <c r="F18" s="19"/>
    </row>
    <row r="19" spans="2:6" x14ac:dyDescent="0.25">
      <c r="B19" s="17"/>
      <c r="F19" s="19"/>
    </row>
    <row r="20" spans="2:6" x14ac:dyDescent="0.25">
      <c r="B20" s="17"/>
      <c r="F20" s="19"/>
    </row>
    <row r="21" spans="2:6" x14ac:dyDescent="0.25">
      <c r="B21" s="17"/>
      <c r="F21" s="19"/>
    </row>
    <row r="22" spans="2:6" x14ac:dyDescent="0.25">
      <c r="B22" s="17"/>
      <c r="F22" s="19"/>
    </row>
    <row r="23" spans="2:6" x14ac:dyDescent="0.25">
      <c r="B23" s="17"/>
      <c r="F23" s="19"/>
    </row>
    <row r="24" spans="2:6" x14ac:dyDescent="0.25">
      <c r="B24" s="17"/>
      <c r="F24" s="19"/>
    </row>
    <row r="25" spans="2:6" x14ac:dyDescent="0.25">
      <c r="B25" s="17"/>
      <c r="F25" s="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0CF94-ABC2-46FE-9172-57949E38B6F7}">
  <dimension ref="A3:H18"/>
  <sheetViews>
    <sheetView workbookViewId="0"/>
    <sheetView tabSelected="1" workbookViewId="1">
      <selection activeCell="E24" sqref="E24"/>
    </sheetView>
  </sheetViews>
  <sheetFormatPr baseColWidth="10" defaultRowHeight="15" x14ac:dyDescent="0.25"/>
  <cols>
    <col min="1" max="1" width="10.7109375" bestFit="1" customWidth="1"/>
    <col min="2" max="2" width="14.7109375" bestFit="1" customWidth="1"/>
    <col min="3" max="3" width="10.7109375" bestFit="1" customWidth="1"/>
    <col min="4" max="4" width="13" bestFit="1" customWidth="1"/>
    <col min="5" max="5" width="28.7109375" bestFit="1" customWidth="1"/>
    <col min="6" max="6" width="6" bestFit="1" customWidth="1"/>
    <col min="7" max="7" width="12" bestFit="1" customWidth="1"/>
    <col min="8" max="8" width="33.140625" bestFit="1" customWidth="1"/>
  </cols>
  <sheetData>
    <row r="3" spans="1:8" x14ac:dyDescent="0.25">
      <c r="A3" t="s">
        <v>1343</v>
      </c>
      <c r="B3" t="s">
        <v>42</v>
      </c>
      <c r="C3" s="52">
        <v>44776</v>
      </c>
      <c r="D3" s="18">
        <v>0.83461805555555557</v>
      </c>
      <c r="E3" t="s">
        <v>877</v>
      </c>
      <c r="F3">
        <v>44.5</v>
      </c>
      <c r="G3">
        <v>697131093005</v>
      </c>
      <c r="H3" t="s">
        <v>892</v>
      </c>
    </row>
    <row r="4" spans="1:8" x14ac:dyDescent="0.25">
      <c r="A4" t="s">
        <v>1343</v>
      </c>
      <c r="B4" t="s">
        <v>42</v>
      </c>
      <c r="C4" s="52">
        <v>44778</v>
      </c>
      <c r="D4" s="18">
        <v>0.53505787037037034</v>
      </c>
      <c r="E4" t="s">
        <v>877</v>
      </c>
      <c r="F4">
        <v>101.5</v>
      </c>
      <c r="G4">
        <v>697991231821</v>
      </c>
      <c r="H4" t="s">
        <v>892</v>
      </c>
    </row>
    <row r="5" spans="1:8" x14ac:dyDescent="0.25">
      <c r="A5" t="s">
        <v>1343</v>
      </c>
      <c r="B5" t="s">
        <v>42</v>
      </c>
      <c r="C5" s="52">
        <v>44778</v>
      </c>
      <c r="D5" s="18">
        <v>0.56923611111111116</v>
      </c>
      <c r="E5" t="s">
        <v>877</v>
      </c>
      <c r="F5">
        <v>152.5</v>
      </c>
      <c r="G5">
        <v>697000530663</v>
      </c>
      <c r="H5" t="s">
        <v>892</v>
      </c>
    </row>
    <row r="6" spans="1:8" x14ac:dyDescent="0.25">
      <c r="A6" t="s">
        <v>1343</v>
      </c>
      <c r="B6" t="s">
        <v>42</v>
      </c>
      <c r="C6" s="52">
        <v>44778</v>
      </c>
      <c r="D6" s="18">
        <v>0.5836689814814815</v>
      </c>
      <c r="E6" t="s">
        <v>877</v>
      </c>
      <c r="F6">
        <v>287.5</v>
      </c>
      <c r="G6">
        <v>697141183207</v>
      </c>
      <c r="H6" t="s">
        <v>892</v>
      </c>
    </row>
    <row r="7" spans="1:8" x14ac:dyDescent="0.25">
      <c r="A7" t="s">
        <v>1343</v>
      </c>
      <c r="B7" t="s">
        <v>42</v>
      </c>
      <c r="C7" s="52">
        <v>44779</v>
      </c>
      <c r="D7" s="18">
        <v>0.59598379629629628</v>
      </c>
      <c r="E7" t="s">
        <v>877</v>
      </c>
      <c r="F7">
        <v>58.5</v>
      </c>
      <c r="G7">
        <v>697020432455</v>
      </c>
      <c r="H7" t="s">
        <v>892</v>
      </c>
    </row>
    <row r="8" spans="1:8" x14ac:dyDescent="0.25">
      <c r="A8" t="s">
        <v>1343</v>
      </c>
      <c r="B8" t="s">
        <v>27</v>
      </c>
      <c r="C8" s="52">
        <v>44775</v>
      </c>
      <c r="D8" s="18">
        <v>0.71031250000000001</v>
      </c>
      <c r="E8" t="s">
        <v>877</v>
      </c>
      <c r="F8">
        <v>44.5</v>
      </c>
      <c r="G8">
        <v>697140180867</v>
      </c>
      <c r="H8" t="s">
        <v>892</v>
      </c>
    </row>
    <row r="9" spans="1:8" x14ac:dyDescent="0.25">
      <c r="A9" t="s">
        <v>1343</v>
      </c>
      <c r="B9" t="s">
        <v>48</v>
      </c>
      <c r="C9" s="52">
        <v>44777</v>
      </c>
      <c r="D9" s="18">
        <v>0.91570601851851852</v>
      </c>
      <c r="E9" t="s">
        <v>877</v>
      </c>
      <c r="F9">
        <v>57.5</v>
      </c>
      <c r="G9">
        <v>699110691584</v>
      </c>
      <c r="H9" t="s">
        <v>892</v>
      </c>
    </row>
    <row r="10" spans="1:8" x14ac:dyDescent="0.25">
      <c r="A10" t="s">
        <v>1343</v>
      </c>
      <c r="B10" t="s">
        <v>54</v>
      </c>
      <c r="C10" s="52">
        <v>44776</v>
      </c>
      <c r="D10" s="18">
        <v>0.85501157407407413</v>
      </c>
      <c r="E10" t="s">
        <v>877</v>
      </c>
      <c r="F10">
        <v>98.5</v>
      </c>
      <c r="G10">
        <v>697890500120</v>
      </c>
      <c r="H10" t="s">
        <v>892</v>
      </c>
    </row>
    <row r="11" spans="1:8" x14ac:dyDescent="0.25">
      <c r="A11" t="s">
        <v>1343</v>
      </c>
      <c r="B11" t="s">
        <v>43</v>
      </c>
      <c r="C11" s="52">
        <v>44774</v>
      </c>
      <c r="D11" s="18">
        <v>0.81670138888888888</v>
      </c>
      <c r="E11" t="s">
        <v>877</v>
      </c>
      <c r="F11">
        <v>137.5</v>
      </c>
      <c r="G11">
        <v>697141082371</v>
      </c>
      <c r="H11" t="s">
        <v>892</v>
      </c>
    </row>
    <row r="13" spans="1:8" x14ac:dyDescent="0.25">
      <c r="A13" t="s">
        <v>1524</v>
      </c>
      <c r="B13" t="s">
        <v>879</v>
      </c>
      <c r="C13" s="52">
        <v>44775</v>
      </c>
      <c r="D13" s="18">
        <v>0.78187499999999999</v>
      </c>
      <c r="E13" t="s">
        <v>710</v>
      </c>
      <c r="H13" t="s">
        <v>1464</v>
      </c>
    </row>
    <row r="14" spans="1:8" x14ac:dyDescent="0.25">
      <c r="A14" t="s">
        <v>1524</v>
      </c>
      <c r="B14" t="s">
        <v>881</v>
      </c>
      <c r="C14" s="52">
        <v>44775</v>
      </c>
      <c r="D14" s="18">
        <v>0.56732638888888887</v>
      </c>
      <c r="E14" t="s">
        <v>716</v>
      </c>
      <c r="H14" t="s">
        <v>1464</v>
      </c>
    </row>
    <row r="15" spans="1:8" x14ac:dyDescent="0.25">
      <c r="A15" t="s">
        <v>1524</v>
      </c>
      <c r="B15" t="s">
        <v>882</v>
      </c>
      <c r="C15" s="52">
        <v>44775</v>
      </c>
      <c r="D15" s="18">
        <v>0.748113425925926</v>
      </c>
      <c r="E15" t="s">
        <v>717</v>
      </c>
      <c r="H15" t="s">
        <v>1464</v>
      </c>
    </row>
    <row r="16" spans="1:8" x14ac:dyDescent="0.25">
      <c r="A16" t="s">
        <v>1524</v>
      </c>
      <c r="B16" t="s">
        <v>885</v>
      </c>
      <c r="C16" s="52">
        <v>44775</v>
      </c>
      <c r="D16" s="18">
        <v>0.64415509259259263</v>
      </c>
      <c r="E16" t="s">
        <v>723</v>
      </c>
      <c r="H16" t="s">
        <v>1464</v>
      </c>
    </row>
    <row r="17" spans="1:8" x14ac:dyDescent="0.25">
      <c r="A17" t="s">
        <v>1524</v>
      </c>
      <c r="B17" t="s">
        <v>1629</v>
      </c>
      <c r="C17" s="52">
        <v>44775</v>
      </c>
      <c r="D17" s="18">
        <v>0.75020833333333325</v>
      </c>
      <c r="E17" t="s">
        <v>740</v>
      </c>
      <c r="H17" t="s">
        <v>1464</v>
      </c>
    </row>
    <row r="18" spans="1:8" x14ac:dyDescent="0.25">
      <c r="A18" t="s">
        <v>1524</v>
      </c>
      <c r="B18" t="s">
        <v>1031</v>
      </c>
      <c r="C18" s="52">
        <v>44775</v>
      </c>
      <c r="D18" s="18">
        <v>0.74821759259259257</v>
      </c>
      <c r="E18" t="s">
        <v>742</v>
      </c>
      <c r="H18" t="s">
        <v>1464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CCDC1-D9C2-4902-9AC7-356EE0F3DAA1}">
  <dimension ref="A2:F1359"/>
  <sheetViews>
    <sheetView workbookViewId="0">
      <selection activeCell="D1" sqref="D1:D1048576"/>
    </sheetView>
    <sheetView workbookViewId="1"/>
  </sheetViews>
  <sheetFormatPr baseColWidth="10" defaultRowHeight="15" x14ac:dyDescent="0.25"/>
  <cols>
    <col min="4" max="4" width="13" style="20" bestFit="1" customWidth="1"/>
  </cols>
  <sheetData>
    <row r="2" spans="1:6" x14ac:dyDescent="0.25">
      <c r="A2" t="s">
        <v>876</v>
      </c>
      <c r="B2" t="s">
        <v>38</v>
      </c>
      <c r="C2" s="52">
        <v>44569</v>
      </c>
      <c r="D2" s="20" t="s">
        <v>1466</v>
      </c>
      <c r="E2" t="s">
        <v>877</v>
      </c>
      <c r="F2" t="s">
        <v>754</v>
      </c>
    </row>
    <row r="3" spans="1:6" x14ac:dyDescent="0.25">
      <c r="A3" t="s">
        <v>878</v>
      </c>
      <c r="B3" t="s">
        <v>39</v>
      </c>
      <c r="C3" s="52">
        <v>44569</v>
      </c>
      <c r="D3" s="20">
        <v>1.54513888888889E-2</v>
      </c>
      <c r="E3" t="s">
        <v>722</v>
      </c>
      <c r="F3" t="s">
        <v>754</v>
      </c>
    </row>
    <row r="4" spans="1:6" x14ac:dyDescent="0.25">
      <c r="A4" t="s">
        <v>876</v>
      </c>
      <c r="B4" t="s">
        <v>38</v>
      </c>
      <c r="C4" s="52">
        <v>44569</v>
      </c>
      <c r="D4" s="20" t="s">
        <v>1467</v>
      </c>
      <c r="E4" t="s">
        <v>877</v>
      </c>
      <c r="F4" t="s">
        <v>754</v>
      </c>
    </row>
    <row r="5" spans="1:6" x14ac:dyDescent="0.25">
      <c r="A5" t="s">
        <v>878</v>
      </c>
      <c r="B5" t="s">
        <v>39</v>
      </c>
      <c r="C5" s="52">
        <v>44569</v>
      </c>
      <c r="D5" s="20">
        <v>0.51245370370370402</v>
      </c>
      <c r="E5" t="s">
        <v>703</v>
      </c>
      <c r="F5" t="s">
        <v>754</v>
      </c>
    </row>
    <row r="6" spans="1:6" x14ac:dyDescent="0.25">
      <c r="A6" t="s">
        <v>876</v>
      </c>
      <c r="B6" t="s">
        <v>38</v>
      </c>
      <c r="C6" s="52">
        <v>44569</v>
      </c>
      <c r="D6" s="20" t="s">
        <v>1468</v>
      </c>
      <c r="E6" t="s">
        <v>877</v>
      </c>
      <c r="F6" t="s">
        <v>754</v>
      </c>
    </row>
    <row r="7" spans="1:6" x14ac:dyDescent="0.25">
      <c r="A7" t="s">
        <v>878</v>
      </c>
      <c r="B7" t="s">
        <v>39</v>
      </c>
      <c r="C7" s="52">
        <v>44569</v>
      </c>
      <c r="D7" s="20">
        <v>0.51418981481481496</v>
      </c>
      <c r="E7" t="s">
        <v>703</v>
      </c>
      <c r="F7" t="s">
        <v>754</v>
      </c>
    </row>
    <row r="8" spans="1:6" x14ac:dyDescent="0.25">
      <c r="A8" t="s">
        <v>876</v>
      </c>
      <c r="B8" t="s">
        <v>38</v>
      </c>
      <c r="C8" s="52">
        <v>44569</v>
      </c>
      <c r="D8" s="20" t="s">
        <v>1469</v>
      </c>
      <c r="E8" t="s">
        <v>877</v>
      </c>
      <c r="F8" t="s">
        <v>754</v>
      </c>
    </row>
    <row r="9" spans="1:6" x14ac:dyDescent="0.25">
      <c r="A9" t="s">
        <v>878</v>
      </c>
      <c r="B9" t="s">
        <v>39</v>
      </c>
      <c r="C9" s="52">
        <v>44569</v>
      </c>
      <c r="D9" s="20">
        <v>0.515856481481482</v>
      </c>
      <c r="E9" t="s">
        <v>703</v>
      </c>
      <c r="F9" t="s">
        <v>754</v>
      </c>
    </row>
    <row r="10" spans="1:6" x14ac:dyDescent="0.25">
      <c r="A10" t="s">
        <v>876</v>
      </c>
      <c r="B10" t="s">
        <v>38</v>
      </c>
      <c r="C10" s="52">
        <v>44628</v>
      </c>
      <c r="D10" s="20" t="s">
        <v>1281</v>
      </c>
      <c r="E10" t="s">
        <v>877</v>
      </c>
      <c r="F10" t="s">
        <v>754</v>
      </c>
    </row>
    <row r="11" spans="1:6" x14ac:dyDescent="0.25">
      <c r="A11" t="s">
        <v>878</v>
      </c>
      <c r="B11" t="s">
        <v>39</v>
      </c>
      <c r="C11" s="52">
        <v>44628</v>
      </c>
      <c r="D11" s="20">
        <v>0.53689814814814796</v>
      </c>
      <c r="E11" t="s">
        <v>703</v>
      </c>
      <c r="F11" t="s">
        <v>754</v>
      </c>
    </row>
    <row r="12" spans="1:6" x14ac:dyDescent="0.25">
      <c r="A12" t="s">
        <v>876</v>
      </c>
      <c r="B12" t="s">
        <v>38</v>
      </c>
      <c r="C12" s="52">
        <v>44628</v>
      </c>
      <c r="D12" s="20" t="s">
        <v>1282</v>
      </c>
      <c r="E12" t="s">
        <v>877</v>
      </c>
      <c r="F12" t="s">
        <v>754</v>
      </c>
    </row>
    <row r="13" spans="1:6" x14ac:dyDescent="0.25">
      <c r="A13" t="s">
        <v>878</v>
      </c>
      <c r="B13" t="s">
        <v>39</v>
      </c>
      <c r="C13" s="52">
        <v>44628</v>
      </c>
      <c r="D13" s="20">
        <v>0.64040509259259304</v>
      </c>
      <c r="E13" t="s">
        <v>703</v>
      </c>
      <c r="F13" t="s">
        <v>754</v>
      </c>
    </row>
    <row r="14" spans="1:6" x14ac:dyDescent="0.25">
      <c r="A14" t="s">
        <v>876</v>
      </c>
      <c r="B14" t="s">
        <v>38</v>
      </c>
      <c r="C14" s="52">
        <v>44659</v>
      </c>
      <c r="D14" s="20" t="s">
        <v>907</v>
      </c>
      <c r="E14" t="s">
        <v>877</v>
      </c>
      <c r="F14" t="s">
        <v>754</v>
      </c>
    </row>
    <row r="15" spans="1:6" x14ac:dyDescent="0.25">
      <c r="A15" t="s">
        <v>878</v>
      </c>
      <c r="B15" t="s">
        <v>39</v>
      </c>
      <c r="C15" s="52">
        <v>44659</v>
      </c>
      <c r="D15" s="20">
        <v>0.38523148148148101</v>
      </c>
      <c r="E15" t="s">
        <v>703</v>
      </c>
      <c r="F15" t="s">
        <v>754</v>
      </c>
    </row>
    <row r="16" spans="1:6" x14ac:dyDescent="0.25">
      <c r="A16" t="s">
        <v>876</v>
      </c>
      <c r="B16" t="s">
        <v>38</v>
      </c>
      <c r="C16" s="52">
        <v>44659</v>
      </c>
      <c r="D16" s="20" t="s">
        <v>908</v>
      </c>
      <c r="E16" t="s">
        <v>877</v>
      </c>
      <c r="F16" t="s">
        <v>754</v>
      </c>
    </row>
    <row r="17" spans="1:6" x14ac:dyDescent="0.25">
      <c r="A17" t="s">
        <v>878</v>
      </c>
      <c r="B17" t="s">
        <v>39</v>
      </c>
      <c r="C17" s="52">
        <v>44659</v>
      </c>
      <c r="D17" s="20">
        <v>0.73818287037037</v>
      </c>
      <c r="E17" t="s">
        <v>703</v>
      </c>
      <c r="F17" t="s">
        <v>754</v>
      </c>
    </row>
    <row r="18" spans="1:6" x14ac:dyDescent="0.25">
      <c r="A18" t="s">
        <v>876</v>
      </c>
      <c r="B18" t="s">
        <v>38</v>
      </c>
      <c r="C18" s="52">
        <v>44659</v>
      </c>
      <c r="D18" s="20" t="s">
        <v>909</v>
      </c>
      <c r="E18" t="s">
        <v>877</v>
      </c>
      <c r="F18" t="s">
        <v>754</v>
      </c>
    </row>
    <row r="19" spans="1:6" x14ac:dyDescent="0.25">
      <c r="A19" t="s">
        <v>878</v>
      </c>
      <c r="B19" t="s">
        <v>39</v>
      </c>
      <c r="C19" s="52">
        <v>44659</v>
      </c>
      <c r="D19" s="20">
        <v>0.74230324074074105</v>
      </c>
      <c r="E19" t="s">
        <v>703</v>
      </c>
      <c r="F19" t="s">
        <v>754</v>
      </c>
    </row>
    <row r="20" spans="1:6" x14ac:dyDescent="0.25">
      <c r="A20" t="s">
        <v>876</v>
      </c>
      <c r="B20" t="s">
        <v>38</v>
      </c>
      <c r="C20" s="52">
        <v>44659</v>
      </c>
      <c r="D20" s="20" t="s">
        <v>910</v>
      </c>
      <c r="E20" t="s">
        <v>877</v>
      </c>
      <c r="F20" t="s">
        <v>754</v>
      </c>
    </row>
    <row r="21" spans="1:6" x14ac:dyDescent="0.25">
      <c r="A21" t="s">
        <v>878</v>
      </c>
      <c r="B21" t="s">
        <v>39</v>
      </c>
      <c r="C21" s="52">
        <v>44659</v>
      </c>
      <c r="D21" s="20">
        <v>0.92043981481481496</v>
      </c>
      <c r="E21" t="s">
        <v>706</v>
      </c>
      <c r="F21" t="s">
        <v>754</v>
      </c>
    </row>
    <row r="22" spans="1:6" x14ac:dyDescent="0.25">
      <c r="A22" t="s">
        <v>876</v>
      </c>
      <c r="B22" t="s">
        <v>38</v>
      </c>
      <c r="C22" s="52">
        <v>44689</v>
      </c>
      <c r="D22" s="20" t="s">
        <v>2323</v>
      </c>
      <c r="E22" t="s">
        <v>877</v>
      </c>
      <c r="F22" t="s">
        <v>754</v>
      </c>
    </row>
    <row r="23" spans="1:6" x14ac:dyDescent="0.25">
      <c r="A23" t="s">
        <v>878</v>
      </c>
      <c r="B23" t="s">
        <v>39</v>
      </c>
      <c r="C23" s="52">
        <v>44689</v>
      </c>
      <c r="D23" s="20">
        <v>0.30865740740740699</v>
      </c>
      <c r="E23" t="s">
        <v>703</v>
      </c>
      <c r="F23" t="s">
        <v>754</v>
      </c>
    </row>
    <row r="24" spans="1:6" x14ac:dyDescent="0.25">
      <c r="A24" t="s">
        <v>876</v>
      </c>
      <c r="B24" t="s">
        <v>38</v>
      </c>
      <c r="C24" s="52">
        <v>44689</v>
      </c>
      <c r="D24" s="20" t="s">
        <v>2324</v>
      </c>
      <c r="E24" t="s">
        <v>877</v>
      </c>
      <c r="F24" t="s">
        <v>754</v>
      </c>
    </row>
    <row r="25" spans="1:6" x14ac:dyDescent="0.25">
      <c r="A25" t="s">
        <v>878</v>
      </c>
      <c r="B25" t="s">
        <v>39</v>
      </c>
      <c r="C25" s="52">
        <v>44689</v>
      </c>
      <c r="D25" s="20">
        <v>0.35788194444444399</v>
      </c>
      <c r="E25" t="s">
        <v>703</v>
      </c>
      <c r="F25" t="s">
        <v>754</v>
      </c>
    </row>
    <row r="26" spans="1:6" x14ac:dyDescent="0.25">
      <c r="A26" t="s">
        <v>876</v>
      </c>
      <c r="B26" t="s">
        <v>38</v>
      </c>
      <c r="C26" s="52">
        <v>44689</v>
      </c>
      <c r="D26" s="20" t="s">
        <v>2325</v>
      </c>
      <c r="E26" t="s">
        <v>877</v>
      </c>
      <c r="F26" t="s">
        <v>754</v>
      </c>
    </row>
    <row r="27" spans="1:6" x14ac:dyDescent="0.25">
      <c r="A27" t="s">
        <v>878</v>
      </c>
      <c r="B27" t="s">
        <v>39</v>
      </c>
      <c r="C27" s="52">
        <v>44689</v>
      </c>
      <c r="D27" s="20">
        <v>0.35947916666666702</v>
      </c>
      <c r="E27" t="s">
        <v>703</v>
      </c>
      <c r="F27" t="s">
        <v>754</v>
      </c>
    </row>
    <row r="28" spans="1:6" x14ac:dyDescent="0.25">
      <c r="A28" t="s">
        <v>876</v>
      </c>
      <c r="B28" t="s">
        <v>38</v>
      </c>
      <c r="C28" s="52">
        <v>44689</v>
      </c>
      <c r="D28" s="20" t="s">
        <v>2326</v>
      </c>
      <c r="E28" t="s">
        <v>877</v>
      </c>
      <c r="F28" t="s">
        <v>754</v>
      </c>
    </row>
    <row r="29" spans="1:6" x14ac:dyDescent="0.25">
      <c r="A29" t="s">
        <v>878</v>
      </c>
      <c r="B29" t="s">
        <v>39</v>
      </c>
      <c r="C29" s="52">
        <v>44689</v>
      </c>
      <c r="D29" s="20">
        <v>0.36633101851851901</v>
      </c>
      <c r="E29" t="s">
        <v>703</v>
      </c>
      <c r="F29" t="s">
        <v>754</v>
      </c>
    </row>
    <row r="30" spans="1:6" x14ac:dyDescent="0.25">
      <c r="A30" t="s">
        <v>876</v>
      </c>
      <c r="B30" t="s">
        <v>38</v>
      </c>
      <c r="C30" s="52">
        <v>44689</v>
      </c>
      <c r="D30" s="20" t="s">
        <v>2327</v>
      </c>
      <c r="E30" t="s">
        <v>877</v>
      </c>
      <c r="F30" t="s">
        <v>754</v>
      </c>
    </row>
    <row r="31" spans="1:6" x14ac:dyDescent="0.25">
      <c r="A31" t="s">
        <v>878</v>
      </c>
      <c r="B31" t="s">
        <v>39</v>
      </c>
      <c r="C31" s="52">
        <v>44689</v>
      </c>
      <c r="D31" s="20">
        <v>0.429108796296296</v>
      </c>
      <c r="E31" t="s">
        <v>703</v>
      </c>
      <c r="F31" t="s">
        <v>754</v>
      </c>
    </row>
    <row r="32" spans="1:6" x14ac:dyDescent="0.25">
      <c r="A32" t="s">
        <v>876</v>
      </c>
      <c r="B32" t="s">
        <v>38</v>
      </c>
      <c r="C32" s="52">
        <v>44689</v>
      </c>
      <c r="D32" s="20" t="s">
        <v>2328</v>
      </c>
      <c r="E32" t="s">
        <v>877</v>
      </c>
      <c r="F32" t="s">
        <v>754</v>
      </c>
    </row>
    <row r="33" spans="1:6" x14ac:dyDescent="0.25">
      <c r="A33" t="s">
        <v>878</v>
      </c>
      <c r="B33" t="s">
        <v>39</v>
      </c>
      <c r="C33" s="52">
        <v>44689</v>
      </c>
      <c r="D33" s="20">
        <v>0.55917824074074096</v>
      </c>
      <c r="E33" t="s">
        <v>703</v>
      </c>
      <c r="F33" t="s">
        <v>754</v>
      </c>
    </row>
    <row r="34" spans="1:6" x14ac:dyDescent="0.25">
      <c r="A34" t="s">
        <v>876</v>
      </c>
      <c r="B34" t="s">
        <v>38</v>
      </c>
      <c r="C34" s="52">
        <v>44689</v>
      </c>
      <c r="D34" s="20" t="s">
        <v>2329</v>
      </c>
      <c r="E34" t="s">
        <v>877</v>
      </c>
      <c r="F34" t="s">
        <v>754</v>
      </c>
    </row>
    <row r="35" spans="1:6" x14ac:dyDescent="0.25">
      <c r="A35" t="s">
        <v>878</v>
      </c>
      <c r="B35" t="s">
        <v>39</v>
      </c>
      <c r="C35" s="52">
        <v>44689</v>
      </c>
      <c r="D35" s="20">
        <v>0.57687500000000003</v>
      </c>
      <c r="E35" t="s">
        <v>703</v>
      </c>
      <c r="F35" t="s">
        <v>754</v>
      </c>
    </row>
    <row r="36" spans="1:6" x14ac:dyDescent="0.25">
      <c r="A36" t="s">
        <v>876</v>
      </c>
      <c r="B36" t="s">
        <v>38</v>
      </c>
      <c r="C36" s="52">
        <v>44689</v>
      </c>
      <c r="D36" s="20" t="s">
        <v>2330</v>
      </c>
      <c r="E36" t="s">
        <v>877</v>
      </c>
      <c r="F36" t="s">
        <v>754</v>
      </c>
    </row>
    <row r="37" spans="1:6" x14ac:dyDescent="0.25">
      <c r="A37" t="s">
        <v>878</v>
      </c>
      <c r="B37" t="s">
        <v>39</v>
      </c>
      <c r="C37" s="52">
        <v>44689</v>
      </c>
      <c r="D37" s="20">
        <v>0.85478009259259302</v>
      </c>
      <c r="E37" t="s">
        <v>706</v>
      </c>
      <c r="F37" t="s">
        <v>754</v>
      </c>
    </row>
    <row r="38" spans="1:6" x14ac:dyDescent="0.25">
      <c r="A38" t="s">
        <v>876</v>
      </c>
      <c r="B38" t="s">
        <v>38</v>
      </c>
      <c r="C38" s="52">
        <v>44689</v>
      </c>
      <c r="D38" s="20" t="s">
        <v>2331</v>
      </c>
      <c r="E38" t="s">
        <v>877</v>
      </c>
      <c r="F38" t="s">
        <v>754</v>
      </c>
    </row>
    <row r="39" spans="1:6" x14ac:dyDescent="0.25">
      <c r="A39" t="s">
        <v>878</v>
      </c>
      <c r="B39" t="s">
        <v>39</v>
      </c>
      <c r="C39" s="52">
        <v>44689</v>
      </c>
      <c r="D39" s="20">
        <v>0.86813657407407396</v>
      </c>
      <c r="E39" t="s">
        <v>706</v>
      </c>
      <c r="F39" t="s">
        <v>754</v>
      </c>
    </row>
    <row r="40" spans="1:6" x14ac:dyDescent="0.25">
      <c r="A40" t="s">
        <v>876</v>
      </c>
      <c r="B40" t="s">
        <v>40</v>
      </c>
      <c r="C40" s="52">
        <v>44569</v>
      </c>
      <c r="D40" s="20" t="s">
        <v>1470</v>
      </c>
      <c r="E40" t="s">
        <v>877</v>
      </c>
      <c r="F40" t="s">
        <v>754</v>
      </c>
    </row>
    <row r="41" spans="1:6" x14ac:dyDescent="0.25">
      <c r="A41" t="s">
        <v>878</v>
      </c>
      <c r="B41" t="s">
        <v>50</v>
      </c>
      <c r="C41" s="52">
        <v>44569</v>
      </c>
      <c r="D41" s="20">
        <v>0.48736111111111102</v>
      </c>
      <c r="E41" t="s">
        <v>707</v>
      </c>
      <c r="F41" t="s">
        <v>754</v>
      </c>
    </row>
    <row r="42" spans="1:6" x14ac:dyDescent="0.25">
      <c r="A42" t="s">
        <v>876</v>
      </c>
      <c r="B42" t="s">
        <v>40</v>
      </c>
      <c r="C42" s="52">
        <v>44569</v>
      </c>
      <c r="D42" s="20" t="s">
        <v>1471</v>
      </c>
      <c r="E42" t="s">
        <v>877</v>
      </c>
      <c r="F42" t="s">
        <v>754</v>
      </c>
    </row>
    <row r="43" spans="1:6" x14ac:dyDescent="0.25">
      <c r="A43" t="s">
        <v>878</v>
      </c>
      <c r="B43" t="s">
        <v>50</v>
      </c>
      <c r="C43" s="52">
        <v>44569</v>
      </c>
      <c r="D43" s="20">
        <v>0.54996527777777804</v>
      </c>
      <c r="E43" t="s">
        <v>707</v>
      </c>
      <c r="F43" t="s">
        <v>754</v>
      </c>
    </row>
    <row r="44" spans="1:6" x14ac:dyDescent="0.25">
      <c r="A44" t="s">
        <v>876</v>
      </c>
      <c r="B44" t="s">
        <v>40</v>
      </c>
      <c r="C44" s="52">
        <v>44569</v>
      </c>
      <c r="D44" s="20" t="s">
        <v>1472</v>
      </c>
      <c r="E44" t="s">
        <v>877</v>
      </c>
      <c r="F44" t="s">
        <v>754</v>
      </c>
    </row>
    <row r="45" spans="1:6" x14ac:dyDescent="0.25">
      <c r="A45" t="s">
        <v>878</v>
      </c>
      <c r="B45" t="s">
        <v>50</v>
      </c>
      <c r="C45" s="52">
        <v>44569</v>
      </c>
      <c r="D45" s="20">
        <v>0.89723379629629596</v>
      </c>
      <c r="E45" t="s">
        <v>893</v>
      </c>
      <c r="F45" t="s">
        <v>754</v>
      </c>
    </row>
    <row r="46" spans="1:6" x14ac:dyDescent="0.25">
      <c r="A46" t="s">
        <v>876</v>
      </c>
      <c r="B46" t="s">
        <v>40</v>
      </c>
      <c r="C46" s="52">
        <v>44628</v>
      </c>
      <c r="D46" s="20" t="s">
        <v>1283</v>
      </c>
      <c r="E46" t="s">
        <v>877</v>
      </c>
      <c r="F46" t="s">
        <v>754</v>
      </c>
    </row>
    <row r="47" spans="1:6" x14ac:dyDescent="0.25">
      <c r="A47" t="s">
        <v>878</v>
      </c>
      <c r="B47" t="s">
        <v>50</v>
      </c>
      <c r="C47" s="52">
        <v>44628</v>
      </c>
      <c r="D47" s="20">
        <v>0.79906250000000001</v>
      </c>
      <c r="E47" t="s">
        <v>707</v>
      </c>
      <c r="F47" t="s">
        <v>754</v>
      </c>
    </row>
    <row r="48" spans="1:6" x14ac:dyDescent="0.25">
      <c r="A48" t="s">
        <v>876</v>
      </c>
      <c r="B48" t="s">
        <v>40</v>
      </c>
      <c r="C48" s="52">
        <v>44628</v>
      </c>
      <c r="D48" s="20" t="s">
        <v>1284</v>
      </c>
      <c r="E48" t="s">
        <v>877</v>
      </c>
      <c r="F48" t="s">
        <v>754</v>
      </c>
    </row>
    <row r="49" spans="1:6" x14ac:dyDescent="0.25">
      <c r="A49" t="s">
        <v>878</v>
      </c>
      <c r="B49" t="s">
        <v>50</v>
      </c>
      <c r="C49" s="52">
        <v>44628</v>
      </c>
      <c r="D49" s="20">
        <v>0.87631944444444398</v>
      </c>
      <c r="E49" t="s">
        <v>731</v>
      </c>
      <c r="F49" t="s">
        <v>754</v>
      </c>
    </row>
    <row r="50" spans="1:6" x14ac:dyDescent="0.25">
      <c r="A50" t="s">
        <v>876</v>
      </c>
      <c r="B50" t="s">
        <v>40</v>
      </c>
      <c r="C50" s="52">
        <v>44689</v>
      </c>
      <c r="D50" s="20" t="s">
        <v>2332</v>
      </c>
      <c r="E50" t="s">
        <v>877</v>
      </c>
      <c r="F50" t="s">
        <v>754</v>
      </c>
    </row>
    <row r="51" spans="1:6" x14ac:dyDescent="0.25">
      <c r="A51" t="s">
        <v>878</v>
      </c>
      <c r="B51" t="s">
        <v>50</v>
      </c>
      <c r="C51" s="52">
        <v>44689</v>
      </c>
      <c r="D51" s="20">
        <v>0.30146990740740698</v>
      </c>
      <c r="E51" t="s">
        <v>707</v>
      </c>
      <c r="F51" t="s">
        <v>754</v>
      </c>
    </row>
    <row r="52" spans="1:6" x14ac:dyDescent="0.25">
      <c r="A52" t="s">
        <v>876</v>
      </c>
      <c r="B52" t="s">
        <v>40</v>
      </c>
      <c r="C52" s="52">
        <v>44689</v>
      </c>
      <c r="D52" s="20" t="s">
        <v>2333</v>
      </c>
      <c r="E52" t="s">
        <v>877</v>
      </c>
      <c r="F52" t="s">
        <v>754</v>
      </c>
    </row>
    <row r="53" spans="1:6" x14ac:dyDescent="0.25">
      <c r="A53" t="s">
        <v>878</v>
      </c>
      <c r="B53" t="s">
        <v>50</v>
      </c>
      <c r="C53" s="52">
        <v>44689</v>
      </c>
      <c r="D53" s="20">
        <v>0.34008101851851902</v>
      </c>
      <c r="E53" t="s">
        <v>707</v>
      </c>
      <c r="F53" t="s">
        <v>754</v>
      </c>
    </row>
    <row r="54" spans="1:6" x14ac:dyDescent="0.25">
      <c r="A54" t="s">
        <v>876</v>
      </c>
      <c r="B54" t="s">
        <v>40</v>
      </c>
      <c r="C54" s="52">
        <v>44689</v>
      </c>
      <c r="D54" s="20" t="s">
        <v>2334</v>
      </c>
      <c r="E54" t="s">
        <v>877</v>
      </c>
      <c r="F54" t="s">
        <v>754</v>
      </c>
    </row>
    <row r="55" spans="1:6" x14ac:dyDescent="0.25">
      <c r="A55" t="s">
        <v>878</v>
      </c>
      <c r="B55" t="s">
        <v>50</v>
      </c>
      <c r="C55" s="52">
        <v>44689</v>
      </c>
      <c r="D55" s="20">
        <v>0.38844907407407397</v>
      </c>
      <c r="E55" t="s">
        <v>707</v>
      </c>
      <c r="F55" t="s">
        <v>754</v>
      </c>
    </row>
    <row r="56" spans="1:6" x14ac:dyDescent="0.25">
      <c r="A56" t="s">
        <v>876</v>
      </c>
      <c r="B56" t="s">
        <v>40</v>
      </c>
      <c r="C56" s="52">
        <v>44689</v>
      </c>
      <c r="D56" s="20" t="s">
        <v>2335</v>
      </c>
      <c r="E56" t="s">
        <v>877</v>
      </c>
      <c r="F56" t="s">
        <v>754</v>
      </c>
    </row>
    <row r="57" spans="1:6" x14ac:dyDescent="0.25">
      <c r="A57" t="s">
        <v>878</v>
      </c>
      <c r="B57" t="s">
        <v>50</v>
      </c>
      <c r="C57" s="52">
        <v>44689</v>
      </c>
      <c r="D57" s="20">
        <v>0.397824074074074</v>
      </c>
      <c r="E57" t="s">
        <v>707</v>
      </c>
      <c r="F57" t="s">
        <v>754</v>
      </c>
    </row>
    <row r="58" spans="1:6" x14ac:dyDescent="0.25">
      <c r="A58" t="s">
        <v>876</v>
      </c>
      <c r="B58" t="s">
        <v>40</v>
      </c>
      <c r="C58" s="52">
        <v>44689</v>
      </c>
      <c r="D58" s="20" t="s">
        <v>2336</v>
      </c>
      <c r="E58" t="s">
        <v>877</v>
      </c>
      <c r="F58" t="s">
        <v>754</v>
      </c>
    </row>
    <row r="59" spans="1:6" x14ac:dyDescent="0.25">
      <c r="A59" t="s">
        <v>878</v>
      </c>
      <c r="B59" t="s">
        <v>50</v>
      </c>
      <c r="C59" s="52">
        <v>44689</v>
      </c>
      <c r="D59" s="20">
        <v>0.57837962962962997</v>
      </c>
      <c r="E59" t="s">
        <v>707</v>
      </c>
      <c r="F59" t="s">
        <v>754</v>
      </c>
    </row>
    <row r="60" spans="1:6" x14ac:dyDescent="0.25">
      <c r="A60" t="s">
        <v>876</v>
      </c>
      <c r="B60" t="s">
        <v>40</v>
      </c>
      <c r="C60" s="52">
        <v>44689</v>
      </c>
      <c r="D60" s="20" t="s">
        <v>2337</v>
      </c>
      <c r="E60" t="s">
        <v>877</v>
      </c>
      <c r="F60" t="s">
        <v>754</v>
      </c>
    </row>
    <row r="61" spans="1:6" x14ac:dyDescent="0.25">
      <c r="A61" t="s">
        <v>878</v>
      </c>
      <c r="B61" t="s">
        <v>50</v>
      </c>
      <c r="C61" s="52">
        <v>44689</v>
      </c>
      <c r="D61" s="20">
        <v>0.59587962962963004</v>
      </c>
      <c r="E61" t="s">
        <v>707</v>
      </c>
      <c r="F61" t="s">
        <v>754</v>
      </c>
    </row>
    <row r="62" spans="1:6" x14ac:dyDescent="0.25">
      <c r="A62" t="s">
        <v>876</v>
      </c>
      <c r="B62" t="s">
        <v>40</v>
      </c>
      <c r="C62" s="52">
        <v>44689</v>
      </c>
      <c r="D62" s="20" t="s">
        <v>2338</v>
      </c>
      <c r="E62" t="s">
        <v>877</v>
      </c>
      <c r="F62" t="s">
        <v>754</v>
      </c>
    </row>
    <row r="63" spans="1:6" x14ac:dyDescent="0.25">
      <c r="A63" t="s">
        <v>878</v>
      </c>
      <c r="B63" t="s">
        <v>50</v>
      </c>
      <c r="C63" s="52">
        <v>44689</v>
      </c>
      <c r="D63" s="20">
        <v>0.752118055555556</v>
      </c>
      <c r="E63" t="s">
        <v>707</v>
      </c>
      <c r="F63" t="s">
        <v>754</v>
      </c>
    </row>
    <row r="64" spans="1:6" x14ac:dyDescent="0.25">
      <c r="A64" t="s">
        <v>876</v>
      </c>
      <c r="B64" t="s">
        <v>40</v>
      </c>
      <c r="C64" s="52">
        <v>44689</v>
      </c>
      <c r="D64" s="20" t="s">
        <v>2339</v>
      </c>
      <c r="E64" t="s">
        <v>877</v>
      </c>
      <c r="F64" t="s">
        <v>754</v>
      </c>
    </row>
    <row r="65" spans="1:6" x14ac:dyDescent="0.25">
      <c r="A65" t="s">
        <v>878</v>
      </c>
      <c r="B65" t="s">
        <v>50</v>
      </c>
      <c r="C65" s="52">
        <v>44689</v>
      </c>
      <c r="D65" s="20">
        <v>0.86857638888888899</v>
      </c>
      <c r="E65" t="s">
        <v>893</v>
      </c>
      <c r="F65" t="s">
        <v>754</v>
      </c>
    </row>
    <row r="66" spans="1:6" x14ac:dyDescent="0.25">
      <c r="A66" t="s">
        <v>876</v>
      </c>
      <c r="B66" t="s">
        <v>40</v>
      </c>
      <c r="C66" s="52">
        <v>44720</v>
      </c>
      <c r="D66" s="20" t="s">
        <v>2340</v>
      </c>
      <c r="E66" t="s">
        <v>877</v>
      </c>
      <c r="F66" t="s">
        <v>754</v>
      </c>
    </row>
    <row r="67" spans="1:6" x14ac:dyDescent="0.25">
      <c r="A67" t="s">
        <v>878</v>
      </c>
      <c r="B67" t="s">
        <v>50</v>
      </c>
      <c r="C67" s="52">
        <v>44720</v>
      </c>
      <c r="D67" s="20">
        <v>0.470983796296296</v>
      </c>
      <c r="E67" t="s">
        <v>707</v>
      </c>
      <c r="F67" t="s">
        <v>754</v>
      </c>
    </row>
    <row r="68" spans="1:6" x14ac:dyDescent="0.25">
      <c r="A68" t="s">
        <v>876</v>
      </c>
      <c r="B68" t="s">
        <v>40</v>
      </c>
      <c r="C68" s="52">
        <v>44750</v>
      </c>
      <c r="D68" s="20" t="s">
        <v>2341</v>
      </c>
      <c r="E68" t="s">
        <v>877</v>
      </c>
      <c r="F68" t="s">
        <v>754</v>
      </c>
    </row>
    <row r="69" spans="1:6" x14ac:dyDescent="0.25">
      <c r="A69" t="s">
        <v>878</v>
      </c>
      <c r="B69" t="s">
        <v>50</v>
      </c>
      <c r="C69" s="52">
        <v>44750</v>
      </c>
      <c r="D69" s="20">
        <v>0.92332175925925897</v>
      </c>
      <c r="E69" t="s">
        <v>893</v>
      </c>
      <c r="F69" t="s">
        <v>754</v>
      </c>
    </row>
    <row r="70" spans="1:6" x14ac:dyDescent="0.25">
      <c r="A70" t="s">
        <v>876</v>
      </c>
      <c r="B70" t="s">
        <v>37</v>
      </c>
      <c r="C70" s="52">
        <v>44628</v>
      </c>
      <c r="D70" s="20" t="s">
        <v>1285</v>
      </c>
      <c r="E70" t="s">
        <v>877</v>
      </c>
      <c r="F70" t="s">
        <v>754</v>
      </c>
    </row>
    <row r="71" spans="1:6" x14ac:dyDescent="0.25">
      <c r="A71" t="s">
        <v>878</v>
      </c>
      <c r="B71" t="s">
        <v>59</v>
      </c>
      <c r="C71" s="52">
        <v>44628</v>
      </c>
      <c r="D71" s="20">
        <v>0.49009259259259302</v>
      </c>
      <c r="E71" t="s">
        <v>894</v>
      </c>
      <c r="F71" t="s">
        <v>754</v>
      </c>
    </row>
    <row r="72" spans="1:6" x14ac:dyDescent="0.25">
      <c r="A72" t="s">
        <v>876</v>
      </c>
      <c r="B72" t="s">
        <v>37</v>
      </c>
      <c r="C72" s="52">
        <v>44628</v>
      </c>
      <c r="D72" s="20" t="s">
        <v>1286</v>
      </c>
      <c r="E72" t="s">
        <v>877</v>
      </c>
      <c r="F72" t="s">
        <v>754</v>
      </c>
    </row>
    <row r="73" spans="1:6" x14ac:dyDescent="0.25">
      <c r="A73" t="s">
        <v>878</v>
      </c>
      <c r="B73" t="s">
        <v>59</v>
      </c>
      <c r="C73" s="52">
        <v>44628</v>
      </c>
      <c r="D73" s="20">
        <v>0.51217592592592598</v>
      </c>
      <c r="E73" t="s">
        <v>894</v>
      </c>
      <c r="F73" t="s">
        <v>754</v>
      </c>
    </row>
    <row r="74" spans="1:6" x14ac:dyDescent="0.25">
      <c r="A74" t="s">
        <v>876</v>
      </c>
      <c r="B74" t="s">
        <v>37</v>
      </c>
      <c r="C74" s="52">
        <v>44659</v>
      </c>
      <c r="D74" s="20" t="s">
        <v>911</v>
      </c>
      <c r="E74" t="s">
        <v>877</v>
      </c>
      <c r="F74" t="s">
        <v>754</v>
      </c>
    </row>
    <row r="75" spans="1:6" x14ac:dyDescent="0.25">
      <c r="A75" t="s">
        <v>878</v>
      </c>
      <c r="B75" t="s">
        <v>59</v>
      </c>
      <c r="C75" s="52">
        <v>44659</v>
      </c>
      <c r="D75" s="20">
        <v>0.35752314814814801</v>
      </c>
      <c r="E75" t="s">
        <v>894</v>
      </c>
      <c r="F75" t="s">
        <v>754</v>
      </c>
    </row>
    <row r="76" spans="1:6" x14ac:dyDescent="0.25">
      <c r="A76" t="s">
        <v>876</v>
      </c>
      <c r="B76" t="s">
        <v>37</v>
      </c>
      <c r="C76" s="52">
        <v>44659</v>
      </c>
      <c r="D76" s="20" t="s">
        <v>912</v>
      </c>
      <c r="E76" t="s">
        <v>877</v>
      </c>
      <c r="F76" t="s">
        <v>754</v>
      </c>
    </row>
    <row r="77" spans="1:6" x14ac:dyDescent="0.25">
      <c r="A77" t="s">
        <v>878</v>
      </c>
      <c r="B77" t="s">
        <v>59</v>
      </c>
      <c r="C77" s="52">
        <v>44659</v>
      </c>
      <c r="D77" s="20">
        <v>0.35828703703703701</v>
      </c>
      <c r="E77" t="s">
        <v>894</v>
      </c>
      <c r="F77" t="s">
        <v>754</v>
      </c>
    </row>
    <row r="78" spans="1:6" x14ac:dyDescent="0.25">
      <c r="A78" t="s">
        <v>876</v>
      </c>
      <c r="B78" t="s">
        <v>37</v>
      </c>
      <c r="C78" s="52">
        <v>44659</v>
      </c>
      <c r="D78" s="20" t="s">
        <v>913</v>
      </c>
      <c r="E78" t="s">
        <v>877</v>
      </c>
      <c r="F78" t="s">
        <v>754</v>
      </c>
    </row>
    <row r="79" spans="1:6" x14ac:dyDescent="0.25">
      <c r="A79" t="s">
        <v>878</v>
      </c>
      <c r="B79" t="s">
        <v>59</v>
      </c>
      <c r="C79" s="52">
        <v>44659</v>
      </c>
      <c r="D79" s="20">
        <v>0.35989583333333303</v>
      </c>
      <c r="E79" t="s">
        <v>894</v>
      </c>
      <c r="F79" t="s">
        <v>754</v>
      </c>
    </row>
    <row r="80" spans="1:6" x14ac:dyDescent="0.25">
      <c r="A80" t="s">
        <v>876</v>
      </c>
      <c r="B80" t="s">
        <v>37</v>
      </c>
      <c r="C80" s="52">
        <v>44659</v>
      </c>
      <c r="D80" s="20" t="s">
        <v>914</v>
      </c>
      <c r="E80" t="s">
        <v>877</v>
      </c>
      <c r="F80" t="s">
        <v>754</v>
      </c>
    </row>
    <row r="81" spans="1:6" x14ac:dyDescent="0.25">
      <c r="A81" t="s">
        <v>878</v>
      </c>
      <c r="B81" t="s">
        <v>59</v>
      </c>
      <c r="C81" s="52">
        <v>44659</v>
      </c>
      <c r="D81" s="20">
        <v>0.70202546296296298</v>
      </c>
      <c r="E81" t="s">
        <v>895</v>
      </c>
      <c r="F81" t="s">
        <v>754</v>
      </c>
    </row>
    <row r="82" spans="1:6" x14ac:dyDescent="0.25">
      <c r="A82" t="s">
        <v>876</v>
      </c>
      <c r="B82" t="s">
        <v>37</v>
      </c>
      <c r="C82" s="52">
        <v>44689</v>
      </c>
      <c r="D82" s="20" t="s">
        <v>2342</v>
      </c>
      <c r="E82" t="s">
        <v>877</v>
      </c>
      <c r="F82" t="s">
        <v>754</v>
      </c>
    </row>
    <row r="83" spans="1:6" x14ac:dyDescent="0.25">
      <c r="A83" t="s">
        <v>878</v>
      </c>
      <c r="B83" t="s">
        <v>59</v>
      </c>
      <c r="C83" s="52">
        <v>44689</v>
      </c>
      <c r="D83" s="20">
        <v>0.34532407407407401</v>
      </c>
      <c r="E83" t="s">
        <v>894</v>
      </c>
      <c r="F83" t="s">
        <v>754</v>
      </c>
    </row>
    <row r="84" spans="1:6" x14ac:dyDescent="0.25">
      <c r="A84" t="s">
        <v>876</v>
      </c>
      <c r="B84" t="s">
        <v>37</v>
      </c>
      <c r="C84" s="52">
        <v>44689</v>
      </c>
      <c r="D84" s="20" t="s">
        <v>2343</v>
      </c>
      <c r="E84" t="s">
        <v>877</v>
      </c>
      <c r="F84" t="s">
        <v>754</v>
      </c>
    </row>
    <row r="85" spans="1:6" x14ac:dyDescent="0.25">
      <c r="A85" t="s">
        <v>878</v>
      </c>
      <c r="B85" t="s">
        <v>59</v>
      </c>
      <c r="C85" s="52">
        <v>44689</v>
      </c>
      <c r="D85" s="20">
        <v>0.34806712962962999</v>
      </c>
      <c r="E85" t="s">
        <v>894</v>
      </c>
      <c r="F85" t="s">
        <v>754</v>
      </c>
    </row>
    <row r="86" spans="1:6" x14ac:dyDescent="0.25">
      <c r="A86" t="s">
        <v>876</v>
      </c>
      <c r="B86" t="s">
        <v>37</v>
      </c>
      <c r="C86" s="52">
        <v>44689</v>
      </c>
      <c r="D86" s="20" t="s">
        <v>2344</v>
      </c>
      <c r="E86" t="s">
        <v>877</v>
      </c>
      <c r="F86" t="s">
        <v>754</v>
      </c>
    </row>
    <row r="87" spans="1:6" x14ac:dyDescent="0.25">
      <c r="A87" t="s">
        <v>878</v>
      </c>
      <c r="B87" t="s">
        <v>59</v>
      </c>
      <c r="C87" s="52">
        <v>44689</v>
      </c>
      <c r="D87" s="20">
        <v>0.349525462962963</v>
      </c>
      <c r="E87" t="s">
        <v>894</v>
      </c>
      <c r="F87" t="s">
        <v>754</v>
      </c>
    </row>
    <row r="88" spans="1:6" x14ac:dyDescent="0.25">
      <c r="A88" t="s">
        <v>876</v>
      </c>
      <c r="B88" t="s">
        <v>37</v>
      </c>
      <c r="C88" s="52">
        <v>44689</v>
      </c>
      <c r="D88" s="20" t="s">
        <v>2345</v>
      </c>
      <c r="E88" t="s">
        <v>877</v>
      </c>
      <c r="F88" t="s">
        <v>754</v>
      </c>
    </row>
    <row r="89" spans="1:6" x14ac:dyDescent="0.25">
      <c r="A89" t="s">
        <v>878</v>
      </c>
      <c r="B89" t="s">
        <v>59</v>
      </c>
      <c r="C89" s="52">
        <v>44689</v>
      </c>
      <c r="D89" s="20">
        <v>0.35157407407407398</v>
      </c>
      <c r="E89" t="s">
        <v>894</v>
      </c>
      <c r="F89" t="s">
        <v>754</v>
      </c>
    </row>
    <row r="90" spans="1:6" x14ac:dyDescent="0.25">
      <c r="A90" t="s">
        <v>876</v>
      </c>
      <c r="B90" t="s">
        <v>37</v>
      </c>
      <c r="C90" s="52">
        <v>44689</v>
      </c>
      <c r="D90" s="20" t="s">
        <v>2346</v>
      </c>
      <c r="E90" t="s">
        <v>877</v>
      </c>
      <c r="F90" t="s">
        <v>754</v>
      </c>
    </row>
    <row r="91" spans="1:6" x14ac:dyDescent="0.25">
      <c r="A91" t="s">
        <v>878</v>
      </c>
      <c r="B91" t="s">
        <v>59</v>
      </c>
      <c r="C91" s="52">
        <v>44689</v>
      </c>
      <c r="D91" s="20">
        <v>0.369456018518519</v>
      </c>
      <c r="E91" t="s">
        <v>894</v>
      </c>
      <c r="F91" t="s">
        <v>754</v>
      </c>
    </row>
    <row r="92" spans="1:6" x14ac:dyDescent="0.25">
      <c r="A92" t="s">
        <v>876</v>
      </c>
      <c r="B92" t="s">
        <v>37</v>
      </c>
      <c r="C92" s="52">
        <v>44689</v>
      </c>
      <c r="D92" s="20" t="s">
        <v>2347</v>
      </c>
      <c r="E92" t="s">
        <v>877</v>
      </c>
      <c r="F92" t="s">
        <v>754</v>
      </c>
    </row>
    <row r="93" spans="1:6" x14ac:dyDescent="0.25">
      <c r="A93" t="s">
        <v>878</v>
      </c>
      <c r="B93" t="s">
        <v>59</v>
      </c>
      <c r="C93" s="52">
        <v>44689</v>
      </c>
      <c r="D93" s="20">
        <v>0.37394675925925902</v>
      </c>
      <c r="E93" t="s">
        <v>894</v>
      </c>
      <c r="F93" t="s">
        <v>754</v>
      </c>
    </row>
    <row r="94" spans="1:6" x14ac:dyDescent="0.25">
      <c r="A94" t="s">
        <v>876</v>
      </c>
      <c r="B94" t="s">
        <v>37</v>
      </c>
      <c r="C94" s="52">
        <v>44689</v>
      </c>
      <c r="D94" s="20" t="s">
        <v>2348</v>
      </c>
      <c r="E94" t="s">
        <v>877</v>
      </c>
      <c r="F94" t="s">
        <v>754</v>
      </c>
    </row>
    <row r="95" spans="1:6" x14ac:dyDescent="0.25">
      <c r="A95" t="s">
        <v>878</v>
      </c>
      <c r="B95" t="s">
        <v>59</v>
      </c>
      <c r="C95" s="52">
        <v>44689</v>
      </c>
      <c r="D95" s="20">
        <v>0.37582175925925898</v>
      </c>
      <c r="E95" t="s">
        <v>894</v>
      </c>
      <c r="F95" t="s">
        <v>754</v>
      </c>
    </row>
    <row r="96" spans="1:6" x14ac:dyDescent="0.25">
      <c r="A96" t="s">
        <v>876</v>
      </c>
      <c r="B96" t="s">
        <v>37</v>
      </c>
      <c r="C96" s="52">
        <v>44689</v>
      </c>
      <c r="D96" s="20" t="s">
        <v>2349</v>
      </c>
      <c r="E96" t="s">
        <v>877</v>
      </c>
      <c r="F96" t="s">
        <v>754</v>
      </c>
    </row>
    <row r="97" spans="1:6" x14ac:dyDescent="0.25">
      <c r="A97" t="s">
        <v>878</v>
      </c>
      <c r="B97" t="s">
        <v>59</v>
      </c>
      <c r="C97" s="52">
        <v>44689</v>
      </c>
      <c r="D97" s="20">
        <v>0.38684027777777802</v>
      </c>
      <c r="E97" t="s">
        <v>894</v>
      </c>
      <c r="F97" t="s">
        <v>754</v>
      </c>
    </row>
    <row r="98" spans="1:6" x14ac:dyDescent="0.25">
      <c r="A98" t="s">
        <v>876</v>
      </c>
      <c r="B98" t="s">
        <v>37</v>
      </c>
      <c r="C98" s="52">
        <v>44689</v>
      </c>
      <c r="D98" s="20" t="s">
        <v>2350</v>
      </c>
      <c r="E98" t="s">
        <v>877</v>
      </c>
      <c r="F98" t="s">
        <v>754</v>
      </c>
    </row>
    <row r="99" spans="1:6" x14ac:dyDescent="0.25">
      <c r="A99" t="s">
        <v>878</v>
      </c>
      <c r="B99" t="s">
        <v>59</v>
      </c>
      <c r="C99" s="52">
        <v>44689</v>
      </c>
      <c r="D99" s="20">
        <v>0.38843749999999999</v>
      </c>
      <c r="E99" t="s">
        <v>894</v>
      </c>
      <c r="F99" t="s">
        <v>754</v>
      </c>
    </row>
    <row r="100" spans="1:6" x14ac:dyDescent="0.25">
      <c r="A100" t="s">
        <v>876</v>
      </c>
      <c r="B100" t="s">
        <v>37</v>
      </c>
      <c r="C100" s="52">
        <v>44689</v>
      </c>
      <c r="D100" s="20" t="s">
        <v>2351</v>
      </c>
      <c r="E100" t="s">
        <v>877</v>
      </c>
      <c r="F100" t="s">
        <v>754</v>
      </c>
    </row>
    <row r="101" spans="1:6" x14ac:dyDescent="0.25">
      <c r="A101" t="s">
        <v>878</v>
      </c>
      <c r="B101" t="s">
        <v>59</v>
      </c>
      <c r="C101" s="52">
        <v>44689</v>
      </c>
      <c r="D101" s="20">
        <v>0.39271990740740698</v>
      </c>
      <c r="E101" t="s">
        <v>894</v>
      </c>
      <c r="F101" t="s">
        <v>754</v>
      </c>
    </row>
    <row r="102" spans="1:6" x14ac:dyDescent="0.25">
      <c r="A102" t="s">
        <v>876</v>
      </c>
      <c r="B102" t="s">
        <v>37</v>
      </c>
      <c r="C102" s="52">
        <v>44689</v>
      </c>
      <c r="D102" s="20" t="s">
        <v>2352</v>
      </c>
      <c r="E102" t="s">
        <v>877</v>
      </c>
      <c r="F102" t="s">
        <v>754</v>
      </c>
    </row>
    <row r="103" spans="1:6" x14ac:dyDescent="0.25">
      <c r="A103" t="s">
        <v>878</v>
      </c>
      <c r="B103" t="s">
        <v>59</v>
      </c>
      <c r="C103" s="52">
        <v>44689</v>
      </c>
      <c r="D103" s="20">
        <v>0.40016203703703701</v>
      </c>
      <c r="E103" t="s">
        <v>894</v>
      </c>
      <c r="F103" t="s">
        <v>754</v>
      </c>
    </row>
    <row r="104" spans="1:6" x14ac:dyDescent="0.25">
      <c r="A104" t="s">
        <v>876</v>
      </c>
      <c r="B104" t="s">
        <v>37</v>
      </c>
      <c r="C104" s="52">
        <v>44689</v>
      </c>
      <c r="D104" s="20" t="s">
        <v>2353</v>
      </c>
      <c r="E104" t="s">
        <v>877</v>
      </c>
      <c r="F104" t="s">
        <v>754</v>
      </c>
    </row>
    <row r="105" spans="1:6" x14ac:dyDescent="0.25">
      <c r="A105" t="s">
        <v>878</v>
      </c>
      <c r="B105" t="s">
        <v>59</v>
      </c>
      <c r="C105" s="52">
        <v>44689</v>
      </c>
      <c r="D105" s="20">
        <v>0.43623842592592599</v>
      </c>
      <c r="E105" t="s">
        <v>894</v>
      </c>
      <c r="F105" t="s">
        <v>754</v>
      </c>
    </row>
    <row r="106" spans="1:6" x14ac:dyDescent="0.25">
      <c r="A106" t="s">
        <v>876</v>
      </c>
      <c r="B106" t="s">
        <v>37</v>
      </c>
      <c r="C106" s="52">
        <v>44689</v>
      </c>
      <c r="D106" s="20" t="s">
        <v>2354</v>
      </c>
      <c r="E106" t="s">
        <v>877</v>
      </c>
      <c r="F106" t="s">
        <v>754</v>
      </c>
    </row>
    <row r="107" spans="1:6" x14ac:dyDescent="0.25">
      <c r="A107" t="s">
        <v>878</v>
      </c>
      <c r="B107" t="s">
        <v>59</v>
      </c>
      <c r="C107" s="52">
        <v>44689</v>
      </c>
      <c r="D107" s="20">
        <v>0.45107638888888901</v>
      </c>
      <c r="E107" t="s">
        <v>894</v>
      </c>
      <c r="F107" t="s">
        <v>754</v>
      </c>
    </row>
    <row r="108" spans="1:6" x14ac:dyDescent="0.25">
      <c r="A108" t="s">
        <v>876</v>
      </c>
      <c r="B108" t="s">
        <v>37</v>
      </c>
      <c r="C108" s="52">
        <v>44689</v>
      </c>
      <c r="D108" s="20" t="s">
        <v>2355</v>
      </c>
      <c r="E108" t="s">
        <v>877</v>
      </c>
      <c r="F108" t="s">
        <v>754</v>
      </c>
    </row>
    <row r="109" spans="1:6" x14ac:dyDescent="0.25">
      <c r="A109" t="s">
        <v>878</v>
      </c>
      <c r="B109" t="s">
        <v>59</v>
      </c>
      <c r="C109" s="52">
        <v>44689</v>
      </c>
      <c r="D109" s="20">
        <v>0.46600694444444402</v>
      </c>
      <c r="E109" t="s">
        <v>894</v>
      </c>
      <c r="F109" t="s">
        <v>754</v>
      </c>
    </row>
    <row r="110" spans="1:6" x14ac:dyDescent="0.25">
      <c r="A110" t="s">
        <v>876</v>
      </c>
      <c r="B110" t="s">
        <v>37</v>
      </c>
      <c r="C110" s="52">
        <v>44689</v>
      </c>
      <c r="D110" s="20" t="s">
        <v>2356</v>
      </c>
      <c r="E110" t="s">
        <v>877</v>
      </c>
      <c r="F110" t="s">
        <v>754</v>
      </c>
    </row>
    <row r="111" spans="1:6" x14ac:dyDescent="0.25">
      <c r="A111" t="s">
        <v>878</v>
      </c>
      <c r="B111" t="s">
        <v>59</v>
      </c>
      <c r="C111" s="52">
        <v>44689</v>
      </c>
      <c r="D111" s="20">
        <v>0.49186342592592602</v>
      </c>
      <c r="E111" t="s">
        <v>894</v>
      </c>
      <c r="F111" t="s">
        <v>754</v>
      </c>
    </row>
    <row r="112" spans="1:6" x14ac:dyDescent="0.25">
      <c r="A112" t="s">
        <v>876</v>
      </c>
      <c r="B112" t="s">
        <v>37</v>
      </c>
      <c r="C112" s="52">
        <v>44689</v>
      </c>
      <c r="D112" s="20" t="s">
        <v>2357</v>
      </c>
      <c r="E112" t="s">
        <v>877</v>
      </c>
      <c r="F112" t="s">
        <v>754</v>
      </c>
    </row>
    <row r="113" spans="1:6" x14ac:dyDescent="0.25">
      <c r="A113" t="s">
        <v>878</v>
      </c>
      <c r="B113" t="s">
        <v>59</v>
      </c>
      <c r="C113" s="52">
        <v>44689</v>
      </c>
      <c r="D113" s="20">
        <v>0.54827546296296303</v>
      </c>
      <c r="E113" t="s">
        <v>894</v>
      </c>
      <c r="F113" t="s">
        <v>754</v>
      </c>
    </row>
    <row r="114" spans="1:6" x14ac:dyDescent="0.25">
      <c r="A114" t="s">
        <v>876</v>
      </c>
      <c r="B114" t="s">
        <v>37</v>
      </c>
      <c r="C114" s="52">
        <v>44689</v>
      </c>
      <c r="D114" s="20" t="s">
        <v>2358</v>
      </c>
      <c r="E114" t="s">
        <v>877</v>
      </c>
      <c r="F114" t="s">
        <v>754</v>
      </c>
    </row>
    <row r="115" spans="1:6" x14ac:dyDescent="0.25">
      <c r="A115" t="s">
        <v>878</v>
      </c>
      <c r="B115" t="s">
        <v>59</v>
      </c>
      <c r="C115" s="52">
        <v>44689</v>
      </c>
      <c r="D115" s="20">
        <v>0.57142361111111095</v>
      </c>
      <c r="E115" t="s">
        <v>894</v>
      </c>
      <c r="F115" t="s">
        <v>754</v>
      </c>
    </row>
    <row r="116" spans="1:6" x14ac:dyDescent="0.25">
      <c r="A116" t="s">
        <v>876</v>
      </c>
      <c r="B116" t="s">
        <v>30</v>
      </c>
      <c r="C116" s="52">
        <v>44569</v>
      </c>
      <c r="D116" s="20" t="s">
        <v>1473</v>
      </c>
      <c r="E116" t="s">
        <v>877</v>
      </c>
      <c r="F116" t="s">
        <v>754</v>
      </c>
    </row>
    <row r="117" spans="1:6" x14ac:dyDescent="0.25">
      <c r="A117" t="s">
        <v>878</v>
      </c>
      <c r="B117" t="s">
        <v>879</v>
      </c>
      <c r="C117" s="52">
        <v>44569</v>
      </c>
      <c r="D117" s="20">
        <v>0.39664351851851798</v>
      </c>
      <c r="E117" t="s">
        <v>708</v>
      </c>
      <c r="F117" t="s">
        <v>754</v>
      </c>
    </row>
    <row r="118" spans="1:6" x14ac:dyDescent="0.25">
      <c r="A118" t="s">
        <v>876</v>
      </c>
      <c r="B118" t="s">
        <v>30</v>
      </c>
      <c r="C118" s="52">
        <v>44569</v>
      </c>
      <c r="D118" s="20" t="s">
        <v>1474</v>
      </c>
      <c r="E118" t="s">
        <v>877</v>
      </c>
      <c r="F118" t="s">
        <v>754</v>
      </c>
    </row>
    <row r="119" spans="1:6" x14ac:dyDescent="0.25">
      <c r="A119" t="s">
        <v>878</v>
      </c>
      <c r="B119" t="s">
        <v>879</v>
      </c>
      <c r="C119" s="52">
        <v>44569</v>
      </c>
      <c r="D119" s="20">
        <v>0.50739583333333305</v>
      </c>
      <c r="E119" t="s">
        <v>708</v>
      </c>
      <c r="F119" t="s">
        <v>754</v>
      </c>
    </row>
    <row r="120" spans="1:6" x14ac:dyDescent="0.25">
      <c r="A120" t="s">
        <v>876</v>
      </c>
      <c r="B120" t="s">
        <v>30</v>
      </c>
      <c r="C120" s="52">
        <v>44569</v>
      </c>
      <c r="D120" s="20" t="s">
        <v>1475</v>
      </c>
      <c r="E120" t="s">
        <v>877</v>
      </c>
      <c r="F120" t="s">
        <v>754</v>
      </c>
    </row>
    <row r="121" spans="1:6" x14ac:dyDescent="0.25">
      <c r="A121" t="s">
        <v>878</v>
      </c>
      <c r="B121" t="s">
        <v>879</v>
      </c>
      <c r="C121" s="52">
        <v>44569</v>
      </c>
      <c r="D121" s="20">
        <v>0.63237268518518497</v>
      </c>
      <c r="E121" t="s">
        <v>715</v>
      </c>
      <c r="F121" t="s">
        <v>754</v>
      </c>
    </row>
    <row r="122" spans="1:6" x14ac:dyDescent="0.25">
      <c r="A122" t="s">
        <v>876</v>
      </c>
      <c r="B122" t="s">
        <v>30</v>
      </c>
      <c r="C122" s="52">
        <v>44569</v>
      </c>
      <c r="D122" s="20" t="s">
        <v>1476</v>
      </c>
      <c r="E122" t="s">
        <v>877</v>
      </c>
      <c r="F122" t="s">
        <v>754</v>
      </c>
    </row>
    <row r="123" spans="1:6" x14ac:dyDescent="0.25">
      <c r="A123" t="s">
        <v>878</v>
      </c>
      <c r="B123" t="s">
        <v>879</v>
      </c>
      <c r="C123" s="52">
        <v>44569</v>
      </c>
      <c r="D123" s="20">
        <v>0.743113425925926</v>
      </c>
      <c r="E123" t="s">
        <v>708</v>
      </c>
      <c r="F123" t="s">
        <v>754</v>
      </c>
    </row>
    <row r="124" spans="1:6" x14ac:dyDescent="0.25">
      <c r="A124" t="s">
        <v>876</v>
      </c>
      <c r="B124" t="s">
        <v>30</v>
      </c>
      <c r="C124" s="52">
        <v>44569</v>
      </c>
      <c r="D124" s="20" t="s">
        <v>1477</v>
      </c>
      <c r="E124" t="s">
        <v>877</v>
      </c>
      <c r="F124" t="s">
        <v>754</v>
      </c>
    </row>
    <row r="125" spans="1:6" x14ac:dyDescent="0.25">
      <c r="A125" t="s">
        <v>878</v>
      </c>
      <c r="B125" t="s">
        <v>879</v>
      </c>
      <c r="C125" s="52">
        <v>44569</v>
      </c>
      <c r="D125" s="20">
        <v>0.76937500000000003</v>
      </c>
      <c r="E125" t="s">
        <v>708</v>
      </c>
      <c r="F125" t="s">
        <v>754</v>
      </c>
    </row>
    <row r="126" spans="1:6" x14ac:dyDescent="0.25">
      <c r="A126" t="s">
        <v>876</v>
      </c>
      <c r="B126" t="s">
        <v>30</v>
      </c>
      <c r="C126" s="52">
        <v>44569</v>
      </c>
      <c r="D126" s="20" t="s">
        <v>1478</v>
      </c>
      <c r="E126" t="s">
        <v>877</v>
      </c>
      <c r="F126" t="s">
        <v>754</v>
      </c>
    </row>
    <row r="127" spans="1:6" x14ac:dyDescent="0.25">
      <c r="A127" t="s">
        <v>878</v>
      </c>
      <c r="B127" t="s">
        <v>879</v>
      </c>
      <c r="C127" s="52">
        <v>44569</v>
      </c>
      <c r="D127" s="20">
        <v>0.78619212962963003</v>
      </c>
      <c r="E127" t="s">
        <v>708</v>
      </c>
      <c r="F127" t="s">
        <v>754</v>
      </c>
    </row>
    <row r="128" spans="1:6" x14ac:dyDescent="0.25">
      <c r="A128" t="s">
        <v>876</v>
      </c>
      <c r="B128" t="s">
        <v>30</v>
      </c>
      <c r="C128" s="52">
        <v>44569</v>
      </c>
      <c r="D128" s="20" t="s">
        <v>1479</v>
      </c>
      <c r="E128" t="s">
        <v>877</v>
      </c>
      <c r="F128" t="s">
        <v>754</v>
      </c>
    </row>
    <row r="129" spans="1:6" x14ac:dyDescent="0.25">
      <c r="A129" t="s">
        <v>878</v>
      </c>
      <c r="B129" t="s">
        <v>879</v>
      </c>
      <c r="C129" s="52">
        <v>44569</v>
      </c>
      <c r="D129" s="20">
        <v>0.78769675925925897</v>
      </c>
      <c r="E129" t="s">
        <v>708</v>
      </c>
      <c r="F129" t="s">
        <v>754</v>
      </c>
    </row>
    <row r="130" spans="1:6" x14ac:dyDescent="0.25">
      <c r="A130" t="s">
        <v>876</v>
      </c>
      <c r="B130" t="s">
        <v>30</v>
      </c>
      <c r="C130" s="52">
        <v>44600</v>
      </c>
      <c r="D130" s="20" t="s">
        <v>837</v>
      </c>
      <c r="E130" t="s">
        <v>877</v>
      </c>
      <c r="F130" t="s">
        <v>754</v>
      </c>
    </row>
    <row r="131" spans="1:6" x14ac:dyDescent="0.25">
      <c r="A131" t="s">
        <v>878</v>
      </c>
      <c r="B131" t="s">
        <v>879</v>
      </c>
      <c r="C131" s="52">
        <v>44600</v>
      </c>
      <c r="D131" s="20">
        <v>0.38726851851851901</v>
      </c>
      <c r="E131" t="s">
        <v>708</v>
      </c>
      <c r="F131" t="s">
        <v>754</v>
      </c>
    </row>
    <row r="132" spans="1:6" x14ac:dyDescent="0.25">
      <c r="A132" t="s">
        <v>876</v>
      </c>
      <c r="B132" t="s">
        <v>30</v>
      </c>
      <c r="C132" s="52">
        <v>44600</v>
      </c>
      <c r="D132" s="20" t="s">
        <v>838</v>
      </c>
      <c r="E132" t="s">
        <v>877</v>
      </c>
      <c r="F132" t="s">
        <v>754</v>
      </c>
    </row>
    <row r="133" spans="1:6" x14ac:dyDescent="0.25">
      <c r="A133" t="s">
        <v>878</v>
      </c>
      <c r="B133" t="s">
        <v>879</v>
      </c>
      <c r="C133" s="52">
        <v>44600</v>
      </c>
      <c r="D133" s="20">
        <v>0.50879629629629597</v>
      </c>
      <c r="E133" t="s">
        <v>708</v>
      </c>
      <c r="F133" t="s">
        <v>754</v>
      </c>
    </row>
    <row r="134" spans="1:6" x14ac:dyDescent="0.25">
      <c r="A134" t="s">
        <v>876</v>
      </c>
      <c r="B134" t="s">
        <v>30</v>
      </c>
      <c r="C134" s="52">
        <v>44600</v>
      </c>
      <c r="D134" s="20" t="s">
        <v>839</v>
      </c>
      <c r="E134" t="s">
        <v>877</v>
      </c>
      <c r="F134" t="s">
        <v>754</v>
      </c>
    </row>
    <row r="135" spans="1:6" x14ac:dyDescent="0.25">
      <c r="A135" t="s">
        <v>878</v>
      </c>
      <c r="B135" t="s">
        <v>879</v>
      </c>
      <c r="C135" s="52">
        <v>44600</v>
      </c>
      <c r="D135" s="20">
        <v>0.51087962962962996</v>
      </c>
      <c r="E135" t="s">
        <v>708</v>
      </c>
      <c r="F135" t="s">
        <v>754</v>
      </c>
    </row>
    <row r="136" spans="1:6" x14ac:dyDescent="0.25">
      <c r="A136" t="s">
        <v>876</v>
      </c>
      <c r="B136" t="s">
        <v>30</v>
      </c>
      <c r="C136" s="52">
        <v>44600</v>
      </c>
      <c r="D136" s="20" t="s">
        <v>840</v>
      </c>
      <c r="E136" t="s">
        <v>877</v>
      </c>
      <c r="F136" t="s">
        <v>754</v>
      </c>
    </row>
    <row r="137" spans="1:6" x14ac:dyDescent="0.25">
      <c r="A137" t="s">
        <v>878</v>
      </c>
      <c r="B137" t="s">
        <v>879</v>
      </c>
      <c r="C137" s="52">
        <v>44600</v>
      </c>
      <c r="D137" s="20">
        <v>0.57186342592592598</v>
      </c>
      <c r="E137" t="s">
        <v>708</v>
      </c>
      <c r="F137" t="s">
        <v>754</v>
      </c>
    </row>
    <row r="138" spans="1:6" x14ac:dyDescent="0.25">
      <c r="A138" t="s">
        <v>876</v>
      </c>
      <c r="B138" t="s">
        <v>30</v>
      </c>
      <c r="C138" s="52">
        <v>44600</v>
      </c>
      <c r="D138" s="20" t="s">
        <v>841</v>
      </c>
      <c r="E138" t="s">
        <v>877</v>
      </c>
      <c r="F138" t="s">
        <v>754</v>
      </c>
    </row>
    <row r="139" spans="1:6" x14ac:dyDescent="0.25">
      <c r="A139" t="s">
        <v>878</v>
      </c>
      <c r="B139" t="s">
        <v>879</v>
      </c>
      <c r="C139" s="52">
        <v>44600</v>
      </c>
      <c r="D139" s="20">
        <v>0.57357638888888896</v>
      </c>
      <c r="E139" t="s">
        <v>708</v>
      </c>
      <c r="F139" t="s">
        <v>754</v>
      </c>
    </row>
    <row r="140" spans="1:6" x14ac:dyDescent="0.25">
      <c r="A140" t="s">
        <v>876</v>
      </c>
      <c r="B140" t="s">
        <v>30</v>
      </c>
      <c r="C140" s="52">
        <v>44600</v>
      </c>
      <c r="D140" s="20" t="s">
        <v>842</v>
      </c>
      <c r="E140" t="s">
        <v>877</v>
      </c>
      <c r="F140" t="s">
        <v>754</v>
      </c>
    </row>
    <row r="141" spans="1:6" x14ac:dyDescent="0.25">
      <c r="A141" t="s">
        <v>878</v>
      </c>
      <c r="B141" t="s">
        <v>879</v>
      </c>
      <c r="C141" s="52">
        <v>44600</v>
      </c>
      <c r="D141" s="20">
        <v>0.61563657407407402</v>
      </c>
      <c r="E141" t="s">
        <v>708</v>
      </c>
      <c r="F141" t="s">
        <v>754</v>
      </c>
    </row>
    <row r="142" spans="1:6" x14ac:dyDescent="0.25">
      <c r="A142" t="s">
        <v>876</v>
      </c>
      <c r="B142" t="s">
        <v>30</v>
      </c>
      <c r="C142" s="52">
        <v>44600</v>
      </c>
      <c r="D142" s="20" t="s">
        <v>843</v>
      </c>
      <c r="E142" t="s">
        <v>877</v>
      </c>
      <c r="F142" t="s">
        <v>754</v>
      </c>
    </row>
    <row r="143" spans="1:6" x14ac:dyDescent="0.25">
      <c r="A143" t="s">
        <v>878</v>
      </c>
      <c r="B143" t="s">
        <v>879</v>
      </c>
      <c r="C143" s="52">
        <v>44600</v>
      </c>
      <c r="D143" s="20">
        <v>0.75343749999999998</v>
      </c>
      <c r="E143" t="s">
        <v>708</v>
      </c>
      <c r="F143" t="s">
        <v>754</v>
      </c>
    </row>
    <row r="144" spans="1:6" x14ac:dyDescent="0.25">
      <c r="A144" t="s">
        <v>876</v>
      </c>
      <c r="B144" t="s">
        <v>30</v>
      </c>
      <c r="C144" s="52">
        <v>44628</v>
      </c>
      <c r="D144" s="20" t="s">
        <v>1287</v>
      </c>
      <c r="E144" t="s">
        <v>877</v>
      </c>
      <c r="F144" t="s">
        <v>754</v>
      </c>
    </row>
    <row r="145" spans="1:6" x14ac:dyDescent="0.25">
      <c r="A145" t="s">
        <v>878</v>
      </c>
      <c r="B145" t="s">
        <v>879</v>
      </c>
      <c r="C145" s="52">
        <v>44628</v>
      </c>
      <c r="D145" s="20">
        <v>0.46271990740740698</v>
      </c>
      <c r="E145" t="s">
        <v>896</v>
      </c>
      <c r="F145" t="s">
        <v>754</v>
      </c>
    </row>
    <row r="146" spans="1:6" x14ac:dyDescent="0.25">
      <c r="A146" t="s">
        <v>876</v>
      </c>
      <c r="B146" t="s">
        <v>30</v>
      </c>
      <c r="C146" s="52">
        <v>44628</v>
      </c>
      <c r="D146" s="20" t="s">
        <v>1288</v>
      </c>
      <c r="E146" t="s">
        <v>877</v>
      </c>
      <c r="F146" t="s">
        <v>754</v>
      </c>
    </row>
    <row r="147" spans="1:6" x14ac:dyDescent="0.25">
      <c r="A147" t="s">
        <v>878</v>
      </c>
      <c r="B147" t="s">
        <v>879</v>
      </c>
      <c r="C147" s="52">
        <v>44628</v>
      </c>
      <c r="D147" s="20">
        <v>0.60256944444444405</v>
      </c>
      <c r="E147" t="s">
        <v>896</v>
      </c>
      <c r="F147" t="s">
        <v>754</v>
      </c>
    </row>
    <row r="148" spans="1:6" x14ac:dyDescent="0.25">
      <c r="A148" t="s">
        <v>876</v>
      </c>
      <c r="B148" t="s">
        <v>30</v>
      </c>
      <c r="C148" s="52">
        <v>44628</v>
      </c>
      <c r="D148" s="20" t="s">
        <v>1289</v>
      </c>
      <c r="E148" t="s">
        <v>877</v>
      </c>
      <c r="F148" t="s">
        <v>754</v>
      </c>
    </row>
    <row r="149" spans="1:6" x14ac:dyDescent="0.25">
      <c r="A149" t="s">
        <v>878</v>
      </c>
      <c r="B149" t="s">
        <v>879</v>
      </c>
      <c r="C149" s="52">
        <v>44628</v>
      </c>
      <c r="D149" s="20">
        <v>0.77185185185185201</v>
      </c>
      <c r="E149" t="s">
        <v>896</v>
      </c>
      <c r="F149" t="s">
        <v>754</v>
      </c>
    </row>
    <row r="150" spans="1:6" x14ac:dyDescent="0.25">
      <c r="A150" t="s">
        <v>876</v>
      </c>
      <c r="B150" t="s">
        <v>30</v>
      </c>
      <c r="C150" s="52">
        <v>44659</v>
      </c>
      <c r="D150" s="20" t="s">
        <v>915</v>
      </c>
      <c r="E150" t="s">
        <v>877</v>
      </c>
      <c r="F150" t="s">
        <v>754</v>
      </c>
    </row>
    <row r="151" spans="1:6" x14ac:dyDescent="0.25">
      <c r="A151" t="s">
        <v>878</v>
      </c>
      <c r="B151" t="s">
        <v>879</v>
      </c>
      <c r="C151" s="52">
        <v>44659</v>
      </c>
      <c r="D151" s="20">
        <v>0.379270833333333</v>
      </c>
      <c r="E151" t="s">
        <v>708</v>
      </c>
      <c r="F151" t="s">
        <v>754</v>
      </c>
    </row>
    <row r="152" spans="1:6" x14ac:dyDescent="0.25">
      <c r="A152" t="s">
        <v>876</v>
      </c>
      <c r="B152" t="s">
        <v>30</v>
      </c>
      <c r="C152" s="52">
        <v>44659</v>
      </c>
      <c r="D152" s="20" t="s">
        <v>916</v>
      </c>
      <c r="E152" t="s">
        <v>877</v>
      </c>
      <c r="F152" t="s">
        <v>754</v>
      </c>
    </row>
    <row r="153" spans="1:6" x14ac:dyDescent="0.25">
      <c r="A153" t="s">
        <v>878</v>
      </c>
      <c r="B153" t="s">
        <v>879</v>
      </c>
      <c r="C153" s="52">
        <v>44659</v>
      </c>
      <c r="D153" s="20">
        <v>0.379733796296296</v>
      </c>
      <c r="E153" t="s">
        <v>708</v>
      </c>
      <c r="F153" t="s">
        <v>754</v>
      </c>
    </row>
    <row r="154" spans="1:6" x14ac:dyDescent="0.25">
      <c r="A154" t="s">
        <v>876</v>
      </c>
      <c r="B154" t="s">
        <v>30</v>
      </c>
      <c r="C154" s="52">
        <v>44689</v>
      </c>
      <c r="D154" s="20" t="s">
        <v>2359</v>
      </c>
      <c r="E154" t="s">
        <v>877</v>
      </c>
      <c r="F154" t="s">
        <v>754</v>
      </c>
    </row>
    <row r="155" spans="1:6" x14ac:dyDescent="0.25">
      <c r="A155" t="s">
        <v>878</v>
      </c>
      <c r="B155" t="s">
        <v>879</v>
      </c>
      <c r="C155" s="52">
        <v>44689</v>
      </c>
      <c r="D155" s="20">
        <v>0.31736111111111098</v>
      </c>
      <c r="E155" t="s">
        <v>896</v>
      </c>
      <c r="F155" t="s">
        <v>754</v>
      </c>
    </row>
    <row r="156" spans="1:6" x14ac:dyDescent="0.25">
      <c r="A156" t="s">
        <v>876</v>
      </c>
      <c r="B156" t="s">
        <v>30</v>
      </c>
      <c r="C156" s="52">
        <v>44689</v>
      </c>
      <c r="D156" s="20" t="s">
        <v>2360</v>
      </c>
      <c r="E156" t="s">
        <v>877</v>
      </c>
      <c r="F156" t="s">
        <v>754</v>
      </c>
    </row>
    <row r="157" spans="1:6" x14ac:dyDescent="0.25">
      <c r="A157" t="s">
        <v>878</v>
      </c>
      <c r="B157" t="s">
        <v>879</v>
      </c>
      <c r="C157" s="52">
        <v>44689</v>
      </c>
      <c r="D157" s="20">
        <v>0.31853009259259302</v>
      </c>
      <c r="E157" t="s">
        <v>896</v>
      </c>
      <c r="F157" t="s">
        <v>754</v>
      </c>
    </row>
    <row r="158" spans="1:6" x14ac:dyDescent="0.25">
      <c r="A158" t="s">
        <v>876</v>
      </c>
      <c r="B158" t="s">
        <v>30</v>
      </c>
      <c r="C158" s="52">
        <v>44689</v>
      </c>
      <c r="D158" s="20" t="s">
        <v>2361</v>
      </c>
      <c r="E158" t="s">
        <v>877</v>
      </c>
      <c r="F158" t="s">
        <v>754</v>
      </c>
    </row>
    <row r="159" spans="1:6" x14ac:dyDescent="0.25">
      <c r="A159" t="s">
        <v>878</v>
      </c>
      <c r="B159" t="s">
        <v>879</v>
      </c>
      <c r="C159" s="52">
        <v>44689</v>
      </c>
      <c r="D159" s="20">
        <v>0.31949074074074102</v>
      </c>
      <c r="E159" t="s">
        <v>896</v>
      </c>
      <c r="F159" t="s">
        <v>754</v>
      </c>
    </row>
    <row r="160" spans="1:6" x14ac:dyDescent="0.25">
      <c r="A160" t="s">
        <v>876</v>
      </c>
      <c r="B160" t="s">
        <v>30</v>
      </c>
      <c r="C160" s="52">
        <v>44689</v>
      </c>
      <c r="D160" s="20" t="s">
        <v>2362</v>
      </c>
      <c r="E160" t="s">
        <v>877</v>
      </c>
      <c r="F160" t="s">
        <v>754</v>
      </c>
    </row>
    <row r="161" spans="1:6" x14ac:dyDescent="0.25">
      <c r="A161" t="s">
        <v>878</v>
      </c>
      <c r="B161" t="s">
        <v>879</v>
      </c>
      <c r="C161" s="52">
        <v>44689</v>
      </c>
      <c r="D161" s="20">
        <v>0.32099537037037001</v>
      </c>
      <c r="E161" t="s">
        <v>896</v>
      </c>
      <c r="F161" t="s">
        <v>754</v>
      </c>
    </row>
    <row r="162" spans="1:6" x14ac:dyDescent="0.25">
      <c r="A162" t="s">
        <v>876</v>
      </c>
      <c r="B162" t="s">
        <v>30</v>
      </c>
      <c r="C162" s="52">
        <v>44689</v>
      </c>
      <c r="D162" s="20" t="s">
        <v>2363</v>
      </c>
      <c r="E162" t="s">
        <v>877</v>
      </c>
      <c r="F162" t="s">
        <v>754</v>
      </c>
    </row>
    <row r="163" spans="1:6" x14ac:dyDescent="0.25">
      <c r="A163" t="s">
        <v>878</v>
      </c>
      <c r="B163" t="s">
        <v>879</v>
      </c>
      <c r="C163" s="52">
        <v>44689</v>
      </c>
      <c r="D163" s="20">
        <v>0.37981481481481499</v>
      </c>
      <c r="E163" t="s">
        <v>896</v>
      </c>
      <c r="F163" t="s">
        <v>754</v>
      </c>
    </row>
    <row r="164" spans="1:6" x14ac:dyDescent="0.25">
      <c r="A164" t="s">
        <v>876</v>
      </c>
      <c r="B164" t="s">
        <v>30</v>
      </c>
      <c r="C164" s="52">
        <v>44689</v>
      </c>
      <c r="D164" s="20" t="s">
        <v>2364</v>
      </c>
      <c r="E164" t="s">
        <v>877</v>
      </c>
      <c r="F164" t="s">
        <v>754</v>
      </c>
    </row>
    <row r="165" spans="1:6" x14ac:dyDescent="0.25">
      <c r="A165" t="s">
        <v>878</v>
      </c>
      <c r="B165" t="s">
        <v>879</v>
      </c>
      <c r="C165" s="52">
        <v>44689</v>
      </c>
      <c r="D165" s="20">
        <v>0.38740740740740698</v>
      </c>
      <c r="E165" t="s">
        <v>896</v>
      </c>
      <c r="F165" t="s">
        <v>754</v>
      </c>
    </row>
    <row r="166" spans="1:6" x14ac:dyDescent="0.25">
      <c r="A166" t="s">
        <v>876</v>
      </c>
      <c r="B166" t="s">
        <v>30</v>
      </c>
      <c r="C166" s="52">
        <v>44689</v>
      </c>
      <c r="D166" s="20" t="s">
        <v>2365</v>
      </c>
      <c r="E166" t="s">
        <v>877</v>
      </c>
      <c r="F166" t="s">
        <v>754</v>
      </c>
    </row>
    <row r="167" spans="1:6" x14ac:dyDescent="0.25">
      <c r="A167" t="s">
        <v>878</v>
      </c>
      <c r="B167" t="s">
        <v>879</v>
      </c>
      <c r="C167" s="52">
        <v>44689</v>
      </c>
      <c r="D167" s="20">
        <v>0.40749999999999997</v>
      </c>
      <c r="E167" t="s">
        <v>896</v>
      </c>
      <c r="F167" t="s">
        <v>754</v>
      </c>
    </row>
    <row r="168" spans="1:6" x14ac:dyDescent="0.25">
      <c r="A168" t="s">
        <v>876</v>
      </c>
      <c r="B168" t="s">
        <v>30</v>
      </c>
      <c r="C168" s="52">
        <v>44689</v>
      </c>
      <c r="D168" s="20" t="s">
        <v>2366</v>
      </c>
      <c r="E168" t="s">
        <v>877</v>
      </c>
      <c r="F168" t="s">
        <v>754</v>
      </c>
    </row>
    <row r="169" spans="1:6" x14ac:dyDescent="0.25">
      <c r="A169" t="s">
        <v>878</v>
      </c>
      <c r="B169" t="s">
        <v>879</v>
      </c>
      <c r="C169" s="52">
        <v>44689</v>
      </c>
      <c r="D169" s="20">
        <v>0.40908564814814802</v>
      </c>
      <c r="E169" t="s">
        <v>896</v>
      </c>
      <c r="F169" t="s">
        <v>754</v>
      </c>
    </row>
    <row r="170" spans="1:6" x14ac:dyDescent="0.25">
      <c r="A170" t="s">
        <v>876</v>
      </c>
      <c r="B170" t="s">
        <v>30</v>
      </c>
      <c r="C170" s="52">
        <v>44689</v>
      </c>
      <c r="D170" s="20" t="s">
        <v>2367</v>
      </c>
      <c r="E170" t="s">
        <v>877</v>
      </c>
      <c r="F170" t="s">
        <v>754</v>
      </c>
    </row>
    <row r="171" spans="1:6" x14ac:dyDescent="0.25">
      <c r="A171" t="s">
        <v>878</v>
      </c>
      <c r="B171" t="s">
        <v>879</v>
      </c>
      <c r="C171" s="52">
        <v>44689</v>
      </c>
      <c r="D171" s="20">
        <v>0.42515046296296299</v>
      </c>
      <c r="E171" t="s">
        <v>896</v>
      </c>
      <c r="F171" t="s">
        <v>754</v>
      </c>
    </row>
    <row r="172" spans="1:6" x14ac:dyDescent="0.25">
      <c r="A172" t="s">
        <v>876</v>
      </c>
      <c r="B172" t="s">
        <v>30</v>
      </c>
      <c r="C172" s="52">
        <v>44689</v>
      </c>
      <c r="D172" s="20" t="s">
        <v>2368</v>
      </c>
      <c r="E172" t="s">
        <v>877</v>
      </c>
      <c r="F172" t="s">
        <v>754</v>
      </c>
    </row>
    <row r="173" spans="1:6" x14ac:dyDescent="0.25">
      <c r="A173" t="s">
        <v>878</v>
      </c>
      <c r="B173" t="s">
        <v>879</v>
      </c>
      <c r="C173" s="52">
        <v>44689</v>
      </c>
      <c r="D173" s="20">
        <v>0.47245370370370399</v>
      </c>
      <c r="E173" t="s">
        <v>896</v>
      </c>
      <c r="F173" t="s">
        <v>754</v>
      </c>
    </row>
    <row r="174" spans="1:6" x14ac:dyDescent="0.25">
      <c r="A174" t="s">
        <v>876</v>
      </c>
      <c r="B174" t="s">
        <v>30</v>
      </c>
      <c r="C174" s="52">
        <v>44689</v>
      </c>
      <c r="D174" s="20" t="s">
        <v>2369</v>
      </c>
      <c r="E174" t="s">
        <v>877</v>
      </c>
      <c r="F174" t="s">
        <v>754</v>
      </c>
    </row>
    <row r="175" spans="1:6" x14ac:dyDescent="0.25">
      <c r="A175" t="s">
        <v>878</v>
      </c>
      <c r="B175" t="s">
        <v>879</v>
      </c>
      <c r="C175" s="52">
        <v>44689</v>
      </c>
      <c r="D175" s="20">
        <v>0.47523148148148098</v>
      </c>
      <c r="E175" t="s">
        <v>896</v>
      </c>
      <c r="F175" t="s">
        <v>754</v>
      </c>
    </row>
    <row r="176" spans="1:6" x14ac:dyDescent="0.25">
      <c r="A176" t="s">
        <v>876</v>
      </c>
      <c r="B176" t="s">
        <v>30</v>
      </c>
      <c r="C176" s="52">
        <v>44689</v>
      </c>
      <c r="D176" s="20" t="s">
        <v>2370</v>
      </c>
      <c r="E176" t="s">
        <v>877</v>
      </c>
      <c r="F176" t="s">
        <v>754</v>
      </c>
    </row>
    <row r="177" spans="1:6" x14ac:dyDescent="0.25">
      <c r="A177" t="s">
        <v>878</v>
      </c>
      <c r="B177" t="s">
        <v>879</v>
      </c>
      <c r="C177" s="52">
        <v>44689</v>
      </c>
      <c r="D177" s="20">
        <v>0.61142361111111099</v>
      </c>
      <c r="E177" t="s">
        <v>896</v>
      </c>
      <c r="F177" t="s">
        <v>754</v>
      </c>
    </row>
    <row r="178" spans="1:6" x14ac:dyDescent="0.25">
      <c r="A178" t="s">
        <v>876</v>
      </c>
      <c r="B178" t="s">
        <v>30</v>
      </c>
      <c r="C178" s="52">
        <v>44689</v>
      </c>
      <c r="D178" s="20" t="s">
        <v>2371</v>
      </c>
      <c r="E178" t="s">
        <v>877</v>
      </c>
      <c r="F178" t="s">
        <v>754</v>
      </c>
    </row>
    <row r="179" spans="1:6" x14ac:dyDescent="0.25">
      <c r="A179" t="s">
        <v>878</v>
      </c>
      <c r="B179" t="s">
        <v>879</v>
      </c>
      <c r="C179" s="52">
        <v>44689</v>
      </c>
      <c r="D179" s="20">
        <v>0.66844907407407395</v>
      </c>
      <c r="E179" t="s">
        <v>896</v>
      </c>
      <c r="F179" t="s">
        <v>754</v>
      </c>
    </row>
    <row r="180" spans="1:6" x14ac:dyDescent="0.25">
      <c r="A180" t="s">
        <v>876</v>
      </c>
      <c r="B180" t="s">
        <v>30</v>
      </c>
      <c r="C180" s="52">
        <v>44689</v>
      </c>
      <c r="D180" s="20" t="s">
        <v>2372</v>
      </c>
      <c r="E180" t="s">
        <v>877</v>
      </c>
      <c r="F180" t="s">
        <v>754</v>
      </c>
    </row>
    <row r="181" spans="1:6" x14ac:dyDescent="0.25">
      <c r="A181" t="s">
        <v>878</v>
      </c>
      <c r="B181" t="s">
        <v>879</v>
      </c>
      <c r="C181" s="52">
        <v>44689</v>
      </c>
      <c r="D181" s="20">
        <v>0.737453703703704</v>
      </c>
      <c r="E181" t="s">
        <v>896</v>
      </c>
      <c r="F181" t="s">
        <v>754</v>
      </c>
    </row>
    <row r="182" spans="1:6" x14ac:dyDescent="0.25">
      <c r="A182" t="s">
        <v>876</v>
      </c>
      <c r="B182" t="s">
        <v>30</v>
      </c>
      <c r="C182" s="52">
        <v>44689</v>
      </c>
      <c r="D182" s="20" t="s">
        <v>2373</v>
      </c>
      <c r="E182" t="s">
        <v>877</v>
      </c>
      <c r="F182" t="s">
        <v>754</v>
      </c>
    </row>
    <row r="183" spans="1:6" x14ac:dyDescent="0.25">
      <c r="A183" t="s">
        <v>878</v>
      </c>
      <c r="B183" t="s">
        <v>879</v>
      </c>
      <c r="C183" s="52">
        <v>44689</v>
      </c>
      <c r="D183" s="20">
        <v>0.74403935185185199</v>
      </c>
      <c r="E183" t="s">
        <v>896</v>
      </c>
      <c r="F183" t="s">
        <v>754</v>
      </c>
    </row>
    <row r="184" spans="1:6" x14ac:dyDescent="0.25">
      <c r="A184" t="s">
        <v>876</v>
      </c>
      <c r="B184" t="s">
        <v>30</v>
      </c>
      <c r="C184" s="52">
        <v>44720</v>
      </c>
      <c r="D184" s="20" t="s">
        <v>2374</v>
      </c>
      <c r="E184" t="s">
        <v>877</v>
      </c>
      <c r="F184" t="s">
        <v>754</v>
      </c>
    </row>
    <row r="185" spans="1:6" x14ac:dyDescent="0.25">
      <c r="A185" t="s">
        <v>878</v>
      </c>
      <c r="B185" t="s">
        <v>879</v>
      </c>
      <c r="C185" s="52">
        <v>44720</v>
      </c>
      <c r="D185" s="20">
        <v>0.40322916666666703</v>
      </c>
      <c r="E185" t="s">
        <v>896</v>
      </c>
      <c r="F185" t="s">
        <v>754</v>
      </c>
    </row>
    <row r="186" spans="1:6" x14ac:dyDescent="0.25">
      <c r="A186" t="s">
        <v>876</v>
      </c>
      <c r="B186" t="s">
        <v>30</v>
      </c>
      <c r="C186" s="52">
        <v>44750</v>
      </c>
      <c r="D186" s="20" t="s">
        <v>2375</v>
      </c>
      <c r="E186" t="s">
        <v>877</v>
      </c>
      <c r="F186" t="s">
        <v>754</v>
      </c>
    </row>
    <row r="187" spans="1:6" x14ac:dyDescent="0.25">
      <c r="A187" t="s">
        <v>878</v>
      </c>
      <c r="B187" t="s">
        <v>879</v>
      </c>
      <c r="C187" s="52">
        <v>44750</v>
      </c>
      <c r="D187" s="20">
        <v>0.854641203703704</v>
      </c>
      <c r="E187" t="s">
        <v>710</v>
      </c>
      <c r="F187" t="s">
        <v>754</v>
      </c>
    </row>
    <row r="188" spans="1:6" x14ac:dyDescent="0.25">
      <c r="A188" t="s">
        <v>876</v>
      </c>
      <c r="B188" t="s">
        <v>29</v>
      </c>
      <c r="C188" s="52">
        <v>44628</v>
      </c>
      <c r="D188" s="20" t="s">
        <v>1290</v>
      </c>
      <c r="E188" t="s">
        <v>877</v>
      </c>
      <c r="F188" t="s">
        <v>754</v>
      </c>
    </row>
    <row r="189" spans="1:6" x14ac:dyDescent="0.25">
      <c r="A189" t="s">
        <v>878</v>
      </c>
      <c r="B189" t="s">
        <v>1026</v>
      </c>
      <c r="C189" s="52">
        <v>44628</v>
      </c>
      <c r="D189" s="20">
        <v>0.46607638888888903</v>
      </c>
      <c r="E189" t="s">
        <v>897</v>
      </c>
      <c r="F189" t="s">
        <v>754</v>
      </c>
    </row>
    <row r="190" spans="1:6" x14ac:dyDescent="0.25">
      <c r="A190" t="s">
        <v>876</v>
      </c>
      <c r="B190" t="s">
        <v>29</v>
      </c>
      <c r="C190" s="52">
        <v>44628</v>
      </c>
      <c r="D190" s="20" t="s">
        <v>1291</v>
      </c>
      <c r="E190" t="s">
        <v>877</v>
      </c>
      <c r="F190" t="s">
        <v>754</v>
      </c>
    </row>
    <row r="191" spans="1:6" x14ac:dyDescent="0.25">
      <c r="A191" t="s">
        <v>878</v>
      </c>
      <c r="B191" t="s">
        <v>1026</v>
      </c>
      <c r="C191" s="52">
        <v>44628</v>
      </c>
      <c r="D191" s="20">
        <v>0.62706018518518503</v>
      </c>
      <c r="E191" t="s">
        <v>897</v>
      </c>
      <c r="F191" t="s">
        <v>754</v>
      </c>
    </row>
    <row r="192" spans="1:6" x14ac:dyDescent="0.25">
      <c r="A192" t="s">
        <v>876</v>
      </c>
      <c r="B192" t="s">
        <v>29</v>
      </c>
      <c r="C192" s="52">
        <v>44659</v>
      </c>
      <c r="D192" s="20" t="s">
        <v>917</v>
      </c>
      <c r="E192" t="s">
        <v>877</v>
      </c>
      <c r="F192" t="s">
        <v>754</v>
      </c>
    </row>
    <row r="193" spans="1:6" x14ac:dyDescent="0.25">
      <c r="A193" t="s">
        <v>878</v>
      </c>
      <c r="B193" t="s">
        <v>1026</v>
      </c>
      <c r="C193" s="52">
        <v>44659</v>
      </c>
      <c r="D193" s="20">
        <v>0.59560185185185199</v>
      </c>
      <c r="E193" t="s">
        <v>711</v>
      </c>
      <c r="F193" t="s">
        <v>754</v>
      </c>
    </row>
    <row r="194" spans="1:6" x14ac:dyDescent="0.25">
      <c r="A194" t="s">
        <v>876</v>
      </c>
      <c r="B194" t="s">
        <v>29</v>
      </c>
      <c r="C194" s="52">
        <v>44659</v>
      </c>
      <c r="D194" s="20" t="s">
        <v>918</v>
      </c>
      <c r="E194" t="s">
        <v>877</v>
      </c>
      <c r="F194" t="s">
        <v>754</v>
      </c>
    </row>
    <row r="195" spans="1:6" x14ac:dyDescent="0.25">
      <c r="A195" t="s">
        <v>878</v>
      </c>
      <c r="B195" t="s">
        <v>1026</v>
      </c>
      <c r="C195" s="52">
        <v>44659</v>
      </c>
      <c r="D195" s="20">
        <v>0.747418981481481</v>
      </c>
      <c r="E195" t="s">
        <v>897</v>
      </c>
      <c r="F195" t="s">
        <v>754</v>
      </c>
    </row>
    <row r="196" spans="1:6" x14ac:dyDescent="0.25">
      <c r="A196" t="s">
        <v>876</v>
      </c>
      <c r="B196" t="s">
        <v>29</v>
      </c>
      <c r="C196" s="52">
        <v>44659</v>
      </c>
      <c r="D196" s="20" t="s">
        <v>919</v>
      </c>
      <c r="E196" t="s">
        <v>877</v>
      </c>
      <c r="F196" t="s">
        <v>754</v>
      </c>
    </row>
    <row r="197" spans="1:6" x14ac:dyDescent="0.25">
      <c r="A197" t="s">
        <v>878</v>
      </c>
      <c r="B197" t="s">
        <v>1026</v>
      </c>
      <c r="C197" s="52">
        <v>44659</v>
      </c>
      <c r="D197" s="20">
        <v>0.75810185185185197</v>
      </c>
      <c r="E197" t="s">
        <v>897</v>
      </c>
      <c r="F197" t="s">
        <v>754</v>
      </c>
    </row>
    <row r="198" spans="1:6" x14ac:dyDescent="0.25">
      <c r="A198" t="s">
        <v>876</v>
      </c>
      <c r="B198" t="s">
        <v>29</v>
      </c>
      <c r="C198" s="52">
        <v>44659</v>
      </c>
      <c r="D198" s="20" t="s">
        <v>920</v>
      </c>
      <c r="E198" t="s">
        <v>877</v>
      </c>
      <c r="F198" t="s">
        <v>754</v>
      </c>
    </row>
    <row r="199" spans="1:6" x14ac:dyDescent="0.25">
      <c r="A199" t="s">
        <v>878</v>
      </c>
      <c r="B199" t="s">
        <v>1026</v>
      </c>
      <c r="C199" s="52">
        <v>44659</v>
      </c>
      <c r="D199" s="20">
        <v>0.76929398148148198</v>
      </c>
      <c r="E199" t="s">
        <v>897</v>
      </c>
      <c r="F199" t="s">
        <v>754</v>
      </c>
    </row>
    <row r="200" spans="1:6" x14ac:dyDescent="0.25">
      <c r="A200" t="s">
        <v>876</v>
      </c>
      <c r="B200" t="s">
        <v>29</v>
      </c>
      <c r="C200" s="52">
        <v>44659</v>
      </c>
      <c r="D200" s="20" t="s">
        <v>921</v>
      </c>
      <c r="E200" t="s">
        <v>877</v>
      </c>
      <c r="F200" t="s">
        <v>754</v>
      </c>
    </row>
    <row r="201" spans="1:6" x14ac:dyDescent="0.25">
      <c r="A201" t="s">
        <v>878</v>
      </c>
      <c r="B201" t="s">
        <v>1026</v>
      </c>
      <c r="C201" s="52">
        <v>44659</v>
      </c>
      <c r="D201" s="20">
        <v>0.83199074074074097</v>
      </c>
      <c r="E201" t="s">
        <v>897</v>
      </c>
      <c r="F201" t="s">
        <v>754</v>
      </c>
    </row>
    <row r="202" spans="1:6" x14ac:dyDescent="0.25">
      <c r="A202" t="s">
        <v>876</v>
      </c>
      <c r="B202" t="s">
        <v>29</v>
      </c>
      <c r="C202" s="52">
        <v>44659</v>
      </c>
      <c r="D202" s="20" t="s">
        <v>922</v>
      </c>
      <c r="E202" t="s">
        <v>877</v>
      </c>
      <c r="F202" t="s">
        <v>754</v>
      </c>
    </row>
    <row r="203" spans="1:6" x14ac:dyDescent="0.25">
      <c r="A203" t="s">
        <v>878</v>
      </c>
      <c r="B203" t="s">
        <v>1026</v>
      </c>
      <c r="C203" s="52">
        <v>44659</v>
      </c>
      <c r="D203" s="20">
        <v>0.83542824074074096</v>
      </c>
      <c r="E203" t="s">
        <v>897</v>
      </c>
      <c r="F203" t="s">
        <v>754</v>
      </c>
    </row>
    <row r="204" spans="1:6" x14ac:dyDescent="0.25">
      <c r="A204" t="s">
        <v>876</v>
      </c>
      <c r="B204" t="s">
        <v>29</v>
      </c>
      <c r="C204" s="52">
        <v>44659</v>
      </c>
      <c r="D204" s="20" t="s">
        <v>923</v>
      </c>
      <c r="E204" t="s">
        <v>877</v>
      </c>
      <c r="F204" t="s">
        <v>754</v>
      </c>
    </row>
    <row r="205" spans="1:6" x14ac:dyDescent="0.25">
      <c r="A205" t="s">
        <v>878</v>
      </c>
      <c r="B205" t="s">
        <v>1026</v>
      </c>
      <c r="C205" s="52">
        <v>44659</v>
      </c>
      <c r="D205" s="20">
        <v>0.87696759259259205</v>
      </c>
      <c r="E205" t="s">
        <v>897</v>
      </c>
      <c r="F205" t="s">
        <v>754</v>
      </c>
    </row>
    <row r="206" spans="1:6" x14ac:dyDescent="0.25">
      <c r="A206" t="s">
        <v>876</v>
      </c>
      <c r="B206" t="s">
        <v>29</v>
      </c>
      <c r="C206" s="52">
        <v>44659</v>
      </c>
      <c r="D206" s="20" t="s">
        <v>924</v>
      </c>
      <c r="E206" t="s">
        <v>877</v>
      </c>
      <c r="F206" t="s">
        <v>754</v>
      </c>
    </row>
    <row r="207" spans="1:6" x14ac:dyDescent="0.25">
      <c r="A207" t="s">
        <v>878</v>
      </c>
      <c r="B207" t="s">
        <v>1026</v>
      </c>
      <c r="C207" s="52">
        <v>44659</v>
      </c>
      <c r="D207" s="20">
        <v>0.895625</v>
      </c>
      <c r="E207" t="s">
        <v>722</v>
      </c>
      <c r="F207" t="s">
        <v>754</v>
      </c>
    </row>
    <row r="208" spans="1:6" x14ac:dyDescent="0.25">
      <c r="A208" t="s">
        <v>876</v>
      </c>
      <c r="B208" t="s">
        <v>29</v>
      </c>
      <c r="C208" s="52">
        <v>44689</v>
      </c>
      <c r="D208" s="20" t="s">
        <v>2376</v>
      </c>
      <c r="E208" t="s">
        <v>877</v>
      </c>
      <c r="F208" t="s">
        <v>754</v>
      </c>
    </row>
    <row r="209" spans="1:6" x14ac:dyDescent="0.25">
      <c r="A209" t="s">
        <v>878</v>
      </c>
      <c r="B209" t="s">
        <v>1026</v>
      </c>
      <c r="C209" s="52">
        <v>44689</v>
      </c>
      <c r="D209" s="20">
        <v>0.37424768518518498</v>
      </c>
      <c r="E209" t="s">
        <v>711</v>
      </c>
      <c r="F209" t="s">
        <v>754</v>
      </c>
    </row>
    <row r="210" spans="1:6" x14ac:dyDescent="0.25">
      <c r="A210" t="s">
        <v>876</v>
      </c>
      <c r="B210" t="s">
        <v>29</v>
      </c>
      <c r="C210" s="52">
        <v>44689</v>
      </c>
      <c r="D210" s="20" t="s">
        <v>2377</v>
      </c>
      <c r="E210" t="s">
        <v>877</v>
      </c>
      <c r="F210" t="s">
        <v>754</v>
      </c>
    </row>
    <row r="211" spans="1:6" x14ac:dyDescent="0.25">
      <c r="A211" t="s">
        <v>878</v>
      </c>
      <c r="B211" t="s">
        <v>1026</v>
      </c>
      <c r="C211" s="52">
        <v>44689</v>
      </c>
      <c r="D211" s="20">
        <v>0.38033564814814802</v>
      </c>
      <c r="E211" t="s">
        <v>711</v>
      </c>
      <c r="F211" t="s">
        <v>754</v>
      </c>
    </row>
    <row r="212" spans="1:6" x14ac:dyDescent="0.25">
      <c r="A212" t="s">
        <v>876</v>
      </c>
      <c r="B212" t="s">
        <v>29</v>
      </c>
      <c r="C212" s="52">
        <v>44689</v>
      </c>
      <c r="D212" s="20" t="s">
        <v>2378</v>
      </c>
      <c r="E212" t="s">
        <v>877</v>
      </c>
      <c r="F212" t="s">
        <v>754</v>
      </c>
    </row>
    <row r="213" spans="1:6" x14ac:dyDescent="0.25">
      <c r="A213" t="s">
        <v>878</v>
      </c>
      <c r="B213" t="s">
        <v>1026</v>
      </c>
      <c r="C213" s="52">
        <v>44689</v>
      </c>
      <c r="D213" s="20">
        <v>0.381539351851852</v>
      </c>
      <c r="E213" t="s">
        <v>711</v>
      </c>
      <c r="F213" t="s">
        <v>754</v>
      </c>
    </row>
    <row r="214" spans="1:6" x14ac:dyDescent="0.25">
      <c r="A214" t="s">
        <v>876</v>
      </c>
      <c r="B214" t="s">
        <v>29</v>
      </c>
      <c r="C214" s="52">
        <v>44689</v>
      </c>
      <c r="D214" s="20" t="s">
        <v>2379</v>
      </c>
      <c r="E214" t="s">
        <v>877</v>
      </c>
      <c r="F214" t="s">
        <v>754</v>
      </c>
    </row>
    <row r="215" spans="1:6" x14ac:dyDescent="0.25">
      <c r="A215" t="s">
        <v>878</v>
      </c>
      <c r="B215" t="s">
        <v>1026</v>
      </c>
      <c r="C215" s="52">
        <v>44689</v>
      </c>
      <c r="D215" s="20">
        <v>0.38453703703703701</v>
      </c>
      <c r="E215" t="s">
        <v>711</v>
      </c>
      <c r="F215" t="s">
        <v>754</v>
      </c>
    </row>
    <row r="216" spans="1:6" x14ac:dyDescent="0.25">
      <c r="A216" t="s">
        <v>876</v>
      </c>
      <c r="B216" t="s">
        <v>29</v>
      </c>
      <c r="C216" s="52">
        <v>44689</v>
      </c>
      <c r="D216" s="20" t="s">
        <v>2380</v>
      </c>
      <c r="E216" t="s">
        <v>877</v>
      </c>
      <c r="F216" t="s">
        <v>754</v>
      </c>
    </row>
    <row r="217" spans="1:6" x14ac:dyDescent="0.25">
      <c r="A217" t="s">
        <v>878</v>
      </c>
      <c r="B217" t="s">
        <v>1026</v>
      </c>
      <c r="C217" s="52">
        <v>44689</v>
      </c>
      <c r="D217" s="20">
        <v>0.39487268518518498</v>
      </c>
      <c r="E217" t="s">
        <v>711</v>
      </c>
      <c r="F217" t="s">
        <v>754</v>
      </c>
    </row>
    <row r="218" spans="1:6" x14ac:dyDescent="0.25">
      <c r="A218" t="s">
        <v>876</v>
      </c>
      <c r="B218" t="s">
        <v>29</v>
      </c>
      <c r="C218" s="52">
        <v>44689</v>
      </c>
      <c r="D218" s="20" t="s">
        <v>2381</v>
      </c>
      <c r="E218" t="s">
        <v>877</v>
      </c>
      <c r="F218" t="s">
        <v>754</v>
      </c>
    </row>
    <row r="219" spans="1:6" x14ac:dyDescent="0.25">
      <c r="A219" t="s">
        <v>878</v>
      </c>
      <c r="B219" t="s">
        <v>1026</v>
      </c>
      <c r="C219" s="52">
        <v>44689</v>
      </c>
      <c r="D219" s="20">
        <v>0.39744212962962999</v>
      </c>
      <c r="E219" t="s">
        <v>711</v>
      </c>
      <c r="F219" t="s">
        <v>754</v>
      </c>
    </row>
    <row r="220" spans="1:6" x14ac:dyDescent="0.25">
      <c r="A220" t="s">
        <v>876</v>
      </c>
      <c r="B220" t="s">
        <v>29</v>
      </c>
      <c r="C220" s="52">
        <v>44689</v>
      </c>
      <c r="D220" s="20" t="s">
        <v>2382</v>
      </c>
      <c r="E220" t="s">
        <v>877</v>
      </c>
      <c r="F220" t="s">
        <v>754</v>
      </c>
    </row>
    <row r="221" spans="1:6" x14ac:dyDescent="0.25">
      <c r="A221" t="s">
        <v>878</v>
      </c>
      <c r="B221" t="s">
        <v>1026</v>
      </c>
      <c r="C221" s="52">
        <v>44689</v>
      </c>
      <c r="D221" s="20">
        <v>0.39918981481481502</v>
      </c>
      <c r="E221" t="s">
        <v>711</v>
      </c>
      <c r="F221" t="s">
        <v>754</v>
      </c>
    </row>
    <row r="222" spans="1:6" x14ac:dyDescent="0.25">
      <c r="A222" t="s">
        <v>876</v>
      </c>
      <c r="B222" t="s">
        <v>29</v>
      </c>
      <c r="C222" s="52">
        <v>44689</v>
      </c>
      <c r="D222" s="20" t="s">
        <v>2383</v>
      </c>
      <c r="E222" t="s">
        <v>877</v>
      </c>
      <c r="F222" t="s">
        <v>754</v>
      </c>
    </row>
    <row r="223" spans="1:6" x14ac:dyDescent="0.25">
      <c r="A223" t="s">
        <v>878</v>
      </c>
      <c r="B223" t="s">
        <v>1026</v>
      </c>
      <c r="C223" s="52">
        <v>44689</v>
      </c>
      <c r="D223" s="20">
        <v>0.41069444444444397</v>
      </c>
      <c r="E223" t="s">
        <v>711</v>
      </c>
      <c r="F223" t="s">
        <v>754</v>
      </c>
    </row>
    <row r="224" spans="1:6" x14ac:dyDescent="0.25">
      <c r="A224" t="s">
        <v>876</v>
      </c>
      <c r="B224" t="s">
        <v>29</v>
      </c>
      <c r="C224" s="52">
        <v>44689</v>
      </c>
      <c r="D224" s="20" t="s">
        <v>2384</v>
      </c>
      <c r="E224" t="s">
        <v>877</v>
      </c>
      <c r="F224" t="s">
        <v>754</v>
      </c>
    </row>
    <row r="225" spans="1:6" x14ac:dyDescent="0.25">
      <c r="A225" t="s">
        <v>878</v>
      </c>
      <c r="B225" t="s">
        <v>1026</v>
      </c>
      <c r="C225" s="52">
        <v>44689</v>
      </c>
      <c r="D225" s="20">
        <v>0.568657407407407</v>
      </c>
      <c r="E225" t="s">
        <v>711</v>
      </c>
      <c r="F225" t="s">
        <v>754</v>
      </c>
    </row>
    <row r="226" spans="1:6" x14ac:dyDescent="0.25">
      <c r="A226" t="s">
        <v>876</v>
      </c>
      <c r="B226" t="s">
        <v>29</v>
      </c>
      <c r="C226" s="52">
        <v>44720</v>
      </c>
      <c r="D226" s="20" t="s">
        <v>2385</v>
      </c>
      <c r="E226" t="s">
        <v>877</v>
      </c>
      <c r="F226" t="s">
        <v>754</v>
      </c>
    </row>
    <row r="227" spans="1:6" x14ac:dyDescent="0.25">
      <c r="A227" t="s">
        <v>878</v>
      </c>
      <c r="B227" t="s">
        <v>1026</v>
      </c>
      <c r="C227" s="52">
        <v>44720</v>
      </c>
      <c r="D227" s="20">
        <v>0.61541666666666694</v>
      </c>
      <c r="E227" t="s">
        <v>897</v>
      </c>
      <c r="F227" t="s">
        <v>754</v>
      </c>
    </row>
    <row r="228" spans="1:6" x14ac:dyDescent="0.25">
      <c r="A228" t="s">
        <v>876</v>
      </c>
      <c r="B228" t="s">
        <v>29</v>
      </c>
      <c r="C228" s="52">
        <v>44720</v>
      </c>
      <c r="D228" s="20" t="s">
        <v>2386</v>
      </c>
      <c r="E228" t="s">
        <v>877</v>
      </c>
      <c r="F228" t="s">
        <v>754</v>
      </c>
    </row>
    <row r="229" spans="1:6" x14ac:dyDescent="0.25">
      <c r="A229" t="s">
        <v>878</v>
      </c>
      <c r="B229" t="s">
        <v>1026</v>
      </c>
      <c r="C229" s="52">
        <v>44720</v>
      </c>
      <c r="D229" s="20">
        <v>0.69306712962963002</v>
      </c>
      <c r="E229" t="s">
        <v>897</v>
      </c>
      <c r="F229" t="s">
        <v>754</v>
      </c>
    </row>
    <row r="230" spans="1:6" x14ac:dyDescent="0.25">
      <c r="A230" t="s">
        <v>876</v>
      </c>
      <c r="B230" t="s">
        <v>29</v>
      </c>
      <c r="C230" s="52">
        <v>44750</v>
      </c>
      <c r="D230" s="20" t="s">
        <v>2387</v>
      </c>
      <c r="E230" t="s">
        <v>877</v>
      </c>
      <c r="F230" t="s">
        <v>754</v>
      </c>
    </row>
    <row r="231" spans="1:6" x14ac:dyDescent="0.25">
      <c r="A231" t="s">
        <v>878</v>
      </c>
      <c r="B231" t="s">
        <v>1026</v>
      </c>
      <c r="C231" s="52">
        <v>44750</v>
      </c>
      <c r="D231" s="20">
        <v>0.40442129629629597</v>
      </c>
      <c r="E231" t="s">
        <v>711</v>
      </c>
      <c r="F231" t="s">
        <v>754</v>
      </c>
    </row>
    <row r="232" spans="1:6" x14ac:dyDescent="0.25">
      <c r="A232" t="s">
        <v>876</v>
      </c>
      <c r="B232" t="s">
        <v>31</v>
      </c>
      <c r="C232" s="52">
        <v>44569</v>
      </c>
      <c r="D232" s="20" t="s">
        <v>1480</v>
      </c>
      <c r="E232" t="s">
        <v>877</v>
      </c>
      <c r="F232" t="s">
        <v>754</v>
      </c>
    </row>
    <row r="233" spans="1:6" x14ac:dyDescent="0.25">
      <c r="A233" t="s">
        <v>878</v>
      </c>
      <c r="B233" t="s">
        <v>880</v>
      </c>
      <c r="C233" s="52">
        <v>44569</v>
      </c>
      <c r="D233" s="20">
        <v>0.71689814814814801</v>
      </c>
      <c r="E233" t="s">
        <v>714</v>
      </c>
      <c r="F233" t="s">
        <v>754</v>
      </c>
    </row>
    <row r="234" spans="1:6" x14ac:dyDescent="0.25">
      <c r="A234" t="s">
        <v>876</v>
      </c>
      <c r="B234" t="s">
        <v>31</v>
      </c>
      <c r="C234" s="52">
        <v>44600</v>
      </c>
      <c r="D234" s="20" t="s">
        <v>844</v>
      </c>
      <c r="E234" t="s">
        <v>877</v>
      </c>
      <c r="F234" t="s">
        <v>754</v>
      </c>
    </row>
    <row r="235" spans="1:6" x14ac:dyDescent="0.25">
      <c r="A235" t="s">
        <v>878</v>
      </c>
      <c r="B235" t="s">
        <v>880</v>
      </c>
      <c r="C235" s="52">
        <v>44600</v>
      </c>
      <c r="D235" s="20">
        <v>0.66387731481481504</v>
      </c>
      <c r="E235" t="s">
        <v>714</v>
      </c>
      <c r="F235" t="s">
        <v>754</v>
      </c>
    </row>
    <row r="236" spans="1:6" x14ac:dyDescent="0.25">
      <c r="A236" t="s">
        <v>876</v>
      </c>
      <c r="B236" t="s">
        <v>31</v>
      </c>
      <c r="C236" s="52">
        <v>44659</v>
      </c>
      <c r="D236" s="20" t="s">
        <v>925</v>
      </c>
      <c r="E236" t="s">
        <v>877</v>
      </c>
      <c r="F236" t="s">
        <v>754</v>
      </c>
    </row>
    <row r="237" spans="1:6" x14ac:dyDescent="0.25">
      <c r="A237" t="s">
        <v>878</v>
      </c>
      <c r="B237" t="s">
        <v>880</v>
      </c>
      <c r="C237" s="52">
        <v>44659</v>
      </c>
      <c r="D237" s="20">
        <v>0.76069444444444401</v>
      </c>
      <c r="E237" t="s">
        <v>714</v>
      </c>
      <c r="F237" t="s">
        <v>754</v>
      </c>
    </row>
    <row r="238" spans="1:6" x14ac:dyDescent="0.25">
      <c r="A238" t="s">
        <v>876</v>
      </c>
      <c r="B238" t="s">
        <v>31</v>
      </c>
      <c r="C238" s="52">
        <v>44659</v>
      </c>
      <c r="D238" s="20" t="s">
        <v>926</v>
      </c>
      <c r="E238" t="s">
        <v>877</v>
      </c>
      <c r="F238" t="s">
        <v>754</v>
      </c>
    </row>
    <row r="239" spans="1:6" x14ac:dyDescent="0.25">
      <c r="A239" t="s">
        <v>878</v>
      </c>
      <c r="B239" t="s">
        <v>880</v>
      </c>
      <c r="C239" s="52">
        <v>44659</v>
      </c>
      <c r="D239" s="20">
        <v>0.856331018518519</v>
      </c>
      <c r="E239" t="s">
        <v>898</v>
      </c>
      <c r="F239" t="s">
        <v>754</v>
      </c>
    </row>
    <row r="240" spans="1:6" x14ac:dyDescent="0.25">
      <c r="A240" t="s">
        <v>876</v>
      </c>
      <c r="B240" t="s">
        <v>31</v>
      </c>
      <c r="C240" s="52">
        <v>44659</v>
      </c>
      <c r="D240" s="20" t="s">
        <v>927</v>
      </c>
      <c r="E240" t="s">
        <v>877</v>
      </c>
      <c r="F240" t="s">
        <v>754</v>
      </c>
    </row>
    <row r="241" spans="1:6" x14ac:dyDescent="0.25">
      <c r="A241" t="s">
        <v>878</v>
      </c>
      <c r="B241" t="s">
        <v>880</v>
      </c>
      <c r="C241" s="52">
        <v>44659</v>
      </c>
      <c r="D241" s="20">
        <v>0.91800925925925903</v>
      </c>
      <c r="E241" t="s">
        <v>898</v>
      </c>
      <c r="F241" t="s">
        <v>754</v>
      </c>
    </row>
    <row r="242" spans="1:6" x14ac:dyDescent="0.25">
      <c r="A242" t="s">
        <v>876</v>
      </c>
      <c r="B242" t="s">
        <v>31</v>
      </c>
      <c r="C242" s="52">
        <v>44689</v>
      </c>
      <c r="D242" s="20" t="s">
        <v>2388</v>
      </c>
      <c r="E242" t="s">
        <v>877</v>
      </c>
      <c r="F242" t="s">
        <v>754</v>
      </c>
    </row>
    <row r="243" spans="1:6" x14ac:dyDescent="0.25">
      <c r="A243" t="s">
        <v>878</v>
      </c>
      <c r="B243" t="s">
        <v>880</v>
      </c>
      <c r="C243" s="52">
        <v>44689</v>
      </c>
      <c r="D243" s="20">
        <v>0.336666666666667</v>
      </c>
      <c r="E243" t="s">
        <v>714</v>
      </c>
      <c r="F243" t="s">
        <v>754</v>
      </c>
    </row>
    <row r="244" spans="1:6" x14ac:dyDescent="0.25">
      <c r="A244" t="s">
        <v>876</v>
      </c>
      <c r="B244" t="s">
        <v>31</v>
      </c>
      <c r="C244" s="52">
        <v>44689</v>
      </c>
      <c r="D244" s="20" t="s">
        <v>2389</v>
      </c>
      <c r="E244" t="s">
        <v>877</v>
      </c>
      <c r="F244" t="s">
        <v>754</v>
      </c>
    </row>
    <row r="245" spans="1:6" x14ac:dyDescent="0.25">
      <c r="A245" t="s">
        <v>878</v>
      </c>
      <c r="B245" t="s">
        <v>880</v>
      </c>
      <c r="C245" s="52">
        <v>44689</v>
      </c>
      <c r="D245" s="20">
        <v>0.34354166666666702</v>
      </c>
      <c r="E245" t="s">
        <v>714</v>
      </c>
      <c r="F245" t="s">
        <v>754</v>
      </c>
    </row>
    <row r="246" spans="1:6" x14ac:dyDescent="0.25">
      <c r="A246" t="s">
        <v>876</v>
      </c>
      <c r="B246" t="s">
        <v>31</v>
      </c>
      <c r="C246" s="52">
        <v>44689</v>
      </c>
      <c r="D246" s="20" t="s">
        <v>2390</v>
      </c>
      <c r="E246" t="s">
        <v>877</v>
      </c>
      <c r="F246" t="s">
        <v>754</v>
      </c>
    </row>
    <row r="247" spans="1:6" x14ac:dyDescent="0.25">
      <c r="A247" t="s">
        <v>878</v>
      </c>
      <c r="B247" t="s">
        <v>880</v>
      </c>
      <c r="C247" s="52">
        <v>44689</v>
      </c>
      <c r="D247" s="20">
        <v>0.34703703703703698</v>
      </c>
      <c r="E247" t="s">
        <v>714</v>
      </c>
      <c r="F247" t="s">
        <v>754</v>
      </c>
    </row>
    <row r="248" spans="1:6" x14ac:dyDescent="0.25">
      <c r="A248" t="s">
        <v>876</v>
      </c>
      <c r="B248" t="s">
        <v>31</v>
      </c>
      <c r="C248" s="52">
        <v>44689</v>
      </c>
      <c r="D248" s="20" t="s">
        <v>2391</v>
      </c>
      <c r="E248" t="s">
        <v>877</v>
      </c>
      <c r="F248" t="s">
        <v>754</v>
      </c>
    </row>
    <row r="249" spans="1:6" x14ac:dyDescent="0.25">
      <c r="A249" t="s">
        <v>878</v>
      </c>
      <c r="B249" t="s">
        <v>880</v>
      </c>
      <c r="C249" s="52">
        <v>44689</v>
      </c>
      <c r="D249" s="20">
        <v>0.53160879629629598</v>
      </c>
      <c r="E249" t="s">
        <v>714</v>
      </c>
      <c r="F249" t="s">
        <v>754</v>
      </c>
    </row>
    <row r="250" spans="1:6" x14ac:dyDescent="0.25">
      <c r="A250" t="s">
        <v>876</v>
      </c>
      <c r="B250" t="s">
        <v>31</v>
      </c>
      <c r="C250" s="52">
        <v>44689</v>
      </c>
      <c r="D250" s="20" t="s">
        <v>2392</v>
      </c>
      <c r="E250" t="s">
        <v>877</v>
      </c>
      <c r="F250" t="s">
        <v>754</v>
      </c>
    </row>
    <row r="251" spans="1:6" x14ac:dyDescent="0.25">
      <c r="A251" t="s">
        <v>878</v>
      </c>
      <c r="B251" t="s">
        <v>880</v>
      </c>
      <c r="C251" s="52">
        <v>44689</v>
      </c>
      <c r="D251" s="20">
        <v>0.56791666666666696</v>
      </c>
      <c r="E251" t="s">
        <v>714</v>
      </c>
      <c r="F251" t="s">
        <v>754</v>
      </c>
    </row>
    <row r="252" spans="1:6" x14ac:dyDescent="0.25">
      <c r="A252" t="s">
        <v>876</v>
      </c>
      <c r="B252" t="s">
        <v>31</v>
      </c>
      <c r="C252" s="52">
        <v>44689</v>
      </c>
      <c r="D252" s="20" t="s">
        <v>2393</v>
      </c>
      <c r="E252" t="s">
        <v>877</v>
      </c>
      <c r="F252" t="s">
        <v>754</v>
      </c>
    </row>
    <row r="253" spans="1:6" x14ac:dyDescent="0.25">
      <c r="A253" t="s">
        <v>878</v>
      </c>
      <c r="B253" t="s">
        <v>880</v>
      </c>
      <c r="C253" s="52">
        <v>44689</v>
      </c>
      <c r="D253" s="20">
        <v>0.814884259259259</v>
      </c>
      <c r="E253" t="s">
        <v>898</v>
      </c>
      <c r="F253" t="s">
        <v>754</v>
      </c>
    </row>
    <row r="254" spans="1:6" x14ac:dyDescent="0.25">
      <c r="A254" t="s">
        <v>876</v>
      </c>
      <c r="B254" t="s">
        <v>31</v>
      </c>
      <c r="C254" s="52">
        <v>44689</v>
      </c>
      <c r="D254" s="20" t="s">
        <v>2394</v>
      </c>
      <c r="E254" t="s">
        <v>877</v>
      </c>
      <c r="F254" t="s">
        <v>754</v>
      </c>
    </row>
    <row r="255" spans="1:6" x14ac:dyDescent="0.25">
      <c r="A255" t="s">
        <v>878</v>
      </c>
      <c r="B255" t="s">
        <v>880</v>
      </c>
      <c r="C255" s="52">
        <v>44689</v>
      </c>
      <c r="D255" s="20">
        <v>0.93343750000000003</v>
      </c>
      <c r="E255" t="s">
        <v>898</v>
      </c>
      <c r="F255" t="s">
        <v>754</v>
      </c>
    </row>
    <row r="256" spans="1:6" x14ac:dyDescent="0.25">
      <c r="A256" t="s">
        <v>876</v>
      </c>
      <c r="B256" t="s">
        <v>44</v>
      </c>
      <c r="C256" s="52">
        <v>44569</v>
      </c>
      <c r="D256" s="20" t="s">
        <v>1481</v>
      </c>
      <c r="E256" t="s">
        <v>877</v>
      </c>
      <c r="F256" t="s">
        <v>754</v>
      </c>
    </row>
    <row r="257" spans="1:6" x14ac:dyDescent="0.25">
      <c r="A257" t="s">
        <v>878</v>
      </c>
      <c r="B257" t="s">
        <v>881</v>
      </c>
      <c r="C257" s="52">
        <v>44569</v>
      </c>
      <c r="D257" s="20">
        <v>0.37035879629629598</v>
      </c>
      <c r="E257" t="s">
        <v>716</v>
      </c>
      <c r="F257" t="s">
        <v>754</v>
      </c>
    </row>
    <row r="258" spans="1:6" x14ac:dyDescent="0.25">
      <c r="A258" t="s">
        <v>876</v>
      </c>
      <c r="B258" t="s">
        <v>44</v>
      </c>
      <c r="C258" s="52">
        <v>44569</v>
      </c>
      <c r="D258" s="20" t="s">
        <v>1482</v>
      </c>
      <c r="E258" t="s">
        <v>877</v>
      </c>
      <c r="F258" t="s">
        <v>754</v>
      </c>
    </row>
    <row r="259" spans="1:6" x14ac:dyDescent="0.25">
      <c r="A259" t="s">
        <v>878</v>
      </c>
      <c r="B259" t="s">
        <v>881</v>
      </c>
      <c r="C259" s="52">
        <v>44569</v>
      </c>
      <c r="D259" s="20">
        <v>0.56269675925925899</v>
      </c>
      <c r="E259" t="s">
        <v>716</v>
      </c>
      <c r="F259" t="s">
        <v>754</v>
      </c>
    </row>
    <row r="260" spans="1:6" x14ac:dyDescent="0.25">
      <c r="A260" t="s">
        <v>876</v>
      </c>
      <c r="B260" t="s">
        <v>44</v>
      </c>
      <c r="C260" s="52">
        <v>44600</v>
      </c>
      <c r="D260" s="20" t="s">
        <v>845</v>
      </c>
      <c r="E260" t="s">
        <v>877</v>
      </c>
      <c r="F260" t="s">
        <v>754</v>
      </c>
    </row>
    <row r="261" spans="1:6" x14ac:dyDescent="0.25">
      <c r="A261" t="s">
        <v>878</v>
      </c>
      <c r="B261" t="s">
        <v>881</v>
      </c>
      <c r="C261" s="52">
        <v>44600</v>
      </c>
      <c r="D261" s="20">
        <v>0.46003472222222203</v>
      </c>
      <c r="E261" t="s">
        <v>716</v>
      </c>
      <c r="F261" t="s">
        <v>754</v>
      </c>
    </row>
    <row r="262" spans="1:6" x14ac:dyDescent="0.25">
      <c r="A262" t="s">
        <v>876</v>
      </c>
      <c r="B262" t="s">
        <v>44</v>
      </c>
      <c r="C262" s="52">
        <v>44600</v>
      </c>
      <c r="D262" s="20" t="s">
        <v>846</v>
      </c>
      <c r="E262" t="s">
        <v>877</v>
      </c>
      <c r="F262" t="s">
        <v>754</v>
      </c>
    </row>
    <row r="263" spans="1:6" x14ac:dyDescent="0.25">
      <c r="A263" t="s">
        <v>878</v>
      </c>
      <c r="B263" t="s">
        <v>881</v>
      </c>
      <c r="C263" s="52">
        <v>44600</v>
      </c>
      <c r="D263" s="20">
        <v>0.467708333333333</v>
      </c>
      <c r="E263" t="s">
        <v>716</v>
      </c>
      <c r="F263" t="s">
        <v>754</v>
      </c>
    </row>
    <row r="264" spans="1:6" x14ac:dyDescent="0.25">
      <c r="A264" t="s">
        <v>876</v>
      </c>
      <c r="B264" t="s">
        <v>44</v>
      </c>
      <c r="C264" s="52">
        <v>44628</v>
      </c>
      <c r="D264" s="20" t="s">
        <v>1292</v>
      </c>
      <c r="E264" t="s">
        <v>877</v>
      </c>
      <c r="F264" t="s">
        <v>754</v>
      </c>
    </row>
    <row r="265" spans="1:6" x14ac:dyDescent="0.25">
      <c r="A265" t="s">
        <v>878</v>
      </c>
      <c r="B265" t="s">
        <v>881</v>
      </c>
      <c r="C265" s="52">
        <v>44628</v>
      </c>
      <c r="D265" s="20">
        <v>0.78353009259259299</v>
      </c>
      <c r="E265" t="s">
        <v>899</v>
      </c>
      <c r="F265" t="s">
        <v>754</v>
      </c>
    </row>
    <row r="266" spans="1:6" x14ac:dyDescent="0.25">
      <c r="A266" t="s">
        <v>876</v>
      </c>
      <c r="B266" t="s">
        <v>44</v>
      </c>
      <c r="C266" s="52">
        <v>44628</v>
      </c>
      <c r="D266" s="20" t="s">
        <v>1293</v>
      </c>
      <c r="E266" t="s">
        <v>877</v>
      </c>
      <c r="F266" t="s">
        <v>754</v>
      </c>
    </row>
    <row r="267" spans="1:6" x14ac:dyDescent="0.25">
      <c r="A267" t="s">
        <v>878</v>
      </c>
      <c r="B267" t="s">
        <v>881</v>
      </c>
      <c r="C267" s="52">
        <v>44628</v>
      </c>
      <c r="D267" s="20">
        <v>0.85525462962962995</v>
      </c>
      <c r="E267" t="s">
        <v>899</v>
      </c>
      <c r="F267" t="s">
        <v>754</v>
      </c>
    </row>
    <row r="268" spans="1:6" x14ac:dyDescent="0.25">
      <c r="A268" t="s">
        <v>876</v>
      </c>
      <c r="B268" t="s">
        <v>44</v>
      </c>
      <c r="C268" s="52">
        <v>44628</v>
      </c>
      <c r="D268" s="20" t="s">
        <v>1294</v>
      </c>
      <c r="E268" t="s">
        <v>877</v>
      </c>
      <c r="F268" t="s">
        <v>754</v>
      </c>
    </row>
    <row r="269" spans="1:6" x14ac:dyDescent="0.25">
      <c r="A269" t="s">
        <v>878</v>
      </c>
      <c r="B269" t="s">
        <v>881</v>
      </c>
      <c r="C269" s="52">
        <v>44628</v>
      </c>
      <c r="D269" s="20">
        <v>0.93267361111111102</v>
      </c>
      <c r="E269" t="s">
        <v>899</v>
      </c>
      <c r="F269" t="s">
        <v>754</v>
      </c>
    </row>
    <row r="270" spans="1:6" x14ac:dyDescent="0.25">
      <c r="A270" t="s">
        <v>876</v>
      </c>
      <c r="B270" t="s">
        <v>44</v>
      </c>
      <c r="C270" s="52">
        <v>44659</v>
      </c>
      <c r="D270" s="20" t="s">
        <v>928</v>
      </c>
      <c r="E270" t="s">
        <v>877</v>
      </c>
      <c r="F270" t="s">
        <v>754</v>
      </c>
    </row>
    <row r="271" spans="1:6" x14ac:dyDescent="0.25">
      <c r="A271" t="s">
        <v>878</v>
      </c>
      <c r="B271" t="s">
        <v>881</v>
      </c>
      <c r="C271" s="52">
        <v>44659</v>
      </c>
      <c r="D271" s="20">
        <v>0.47438657407407397</v>
      </c>
      <c r="E271" t="s">
        <v>716</v>
      </c>
      <c r="F271" t="s">
        <v>754</v>
      </c>
    </row>
    <row r="272" spans="1:6" x14ac:dyDescent="0.25">
      <c r="A272" t="s">
        <v>876</v>
      </c>
      <c r="B272" t="s">
        <v>44</v>
      </c>
      <c r="C272" s="52">
        <v>44659</v>
      </c>
      <c r="D272" s="20" t="s">
        <v>929</v>
      </c>
      <c r="E272" t="s">
        <v>877</v>
      </c>
      <c r="F272" t="s">
        <v>754</v>
      </c>
    </row>
    <row r="273" spans="1:6" x14ac:dyDescent="0.25">
      <c r="A273" t="s">
        <v>878</v>
      </c>
      <c r="B273" t="s">
        <v>881</v>
      </c>
      <c r="C273" s="52">
        <v>44659</v>
      </c>
      <c r="D273" s="20">
        <v>0.68225694444444496</v>
      </c>
      <c r="E273" t="s">
        <v>716</v>
      </c>
      <c r="F273" t="s">
        <v>754</v>
      </c>
    </row>
    <row r="274" spans="1:6" x14ac:dyDescent="0.25">
      <c r="A274" t="s">
        <v>876</v>
      </c>
      <c r="B274" t="s">
        <v>44</v>
      </c>
      <c r="C274" s="52">
        <v>44659</v>
      </c>
      <c r="D274" s="20" t="s">
        <v>930</v>
      </c>
      <c r="E274" t="s">
        <v>877</v>
      </c>
      <c r="F274" t="s">
        <v>754</v>
      </c>
    </row>
    <row r="275" spans="1:6" x14ac:dyDescent="0.25">
      <c r="A275" t="s">
        <v>878</v>
      </c>
      <c r="B275" t="s">
        <v>881</v>
      </c>
      <c r="C275" s="52">
        <v>44659</v>
      </c>
      <c r="D275" s="20">
        <v>0.82255787037036998</v>
      </c>
      <c r="E275" t="s">
        <v>899</v>
      </c>
      <c r="F275" t="s">
        <v>754</v>
      </c>
    </row>
    <row r="276" spans="1:6" x14ac:dyDescent="0.25">
      <c r="A276" t="s">
        <v>876</v>
      </c>
      <c r="B276" t="s">
        <v>44</v>
      </c>
      <c r="C276" s="52">
        <v>44659</v>
      </c>
      <c r="D276" s="20" t="s">
        <v>863</v>
      </c>
      <c r="E276" t="s">
        <v>877</v>
      </c>
      <c r="F276" t="s">
        <v>754</v>
      </c>
    </row>
    <row r="277" spans="1:6" x14ac:dyDescent="0.25">
      <c r="A277" t="s">
        <v>878</v>
      </c>
      <c r="B277" t="s">
        <v>881</v>
      </c>
      <c r="C277" s="52">
        <v>44659</v>
      </c>
      <c r="D277" s="20">
        <v>0.82547453703703699</v>
      </c>
      <c r="E277" t="s">
        <v>899</v>
      </c>
      <c r="F277" t="s">
        <v>754</v>
      </c>
    </row>
    <row r="278" spans="1:6" x14ac:dyDescent="0.25">
      <c r="A278" t="s">
        <v>876</v>
      </c>
      <c r="B278" t="s">
        <v>44</v>
      </c>
      <c r="C278" s="52">
        <v>44659</v>
      </c>
      <c r="D278" s="20" t="s">
        <v>931</v>
      </c>
      <c r="E278" t="s">
        <v>877</v>
      </c>
      <c r="F278" t="s">
        <v>754</v>
      </c>
    </row>
    <row r="279" spans="1:6" x14ac:dyDescent="0.25">
      <c r="A279" t="s">
        <v>878</v>
      </c>
      <c r="B279" t="s">
        <v>881</v>
      </c>
      <c r="C279" s="52">
        <v>44659</v>
      </c>
      <c r="D279" s="20">
        <v>0.82715277777777796</v>
      </c>
      <c r="E279" t="s">
        <v>899</v>
      </c>
      <c r="F279" t="s">
        <v>754</v>
      </c>
    </row>
    <row r="280" spans="1:6" x14ac:dyDescent="0.25">
      <c r="A280" t="s">
        <v>876</v>
      </c>
      <c r="B280" t="s">
        <v>44</v>
      </c>
      <c r="C280" s="52">
        <v>44689</v>
      </c>
      <c r="D280" s="20" t="s">
        <v>2395</v>
      </c>
      <c r="E280" t="s">
        <v>877</v>
      </c>
      <c r="F280" t="s">
        <v>754</v>
      </c>
    </row>
    <row r="281" spans="1:6" x14ac:dyDescent="0.25">
      <c r="A281" t="s">
        <v>878</v>
      </c>
      <c r="B281" t="s">
        <v>881</v>
      </c>
      <c r="C281" s="52">
        <v>44689</v>
      </c>
      <c r="D281" s="20">
        <v>0.29994212962963002</v>
      </c>
      <c r="E281" t="s">
        <v>716</v>
      </c>
      <c r="F281" t="s">
        <v>754</v>
      </c>
    </row>
    <row r="282" spans="1:6" x14ac:dyDescent="0.25">
      <c r="A282" t="s">
        <v>876</v>
      </c>
      <c r="B282" t="s">
        <v>44</v>
      </c>
      <c r="C282" s="52">
        <v>44689</v>
      </c>
      <c r="D282" s="20" t="s">
        <v>2396</v>
      </c>
      <c r="E282" t="s">
        <v>877</v>
      </c>
      <c r="F282" t="s">
        <v>754</v>
      </c>
    </row>
    <row r="283" spans="1:6" x14ac:dyDescent="0.25">
      <c r="A283" t="s">
        <v>878</v>
      </c>
      <c r="B283" t="s">
        <v>881</v>
      </c>
      <c r="C283" s="52">
        <v>44689</v>
      </c>
      <c r="D283" s="20">
        <v>0.30563657407407402</v>
      </c>
      <c r="E283" t="s">
        <v>716</v>
      </c>
      <c r="F283" t="s">
        <v>754</v>
      </c>
    </row>
    <row r="284" spans="1:6" x14ac:dyDescent="0.25">
      <c r="A284" t="s">
        <v>876</v>
      </c>
      <c r="B284" t="s">
        <v>44</v>
      </c>
      <c r="C284" s="52">
        <v>44689</v>
      </c>
      <c r="D284" s="20" t="s">
        <v>2397</v>
      </c>
      <c r="E284" t="s">
        <v>877</v>
      </c>
      <c r="F284" t="s">
        <v>754</v>
      </c>
    </row>
    <row r="285" spans="1:6" x14ac:dyDescent="0.25">
      <c r="A285" t="s">
        <v>878</v>
      </c>
      <c r="B285" t="s">
        <v>881</v>
      </c>
      <c r="C285" s="52">
        <v>44689</v>
      </c>
      <c r="D285" s="20">
        <v>0.31160879629629601</v>
      </c>
      <c r="E285" t="s">
        <v>716</v>
      </c>
      <c r="F285" t="s">
        <v>754</v>
      </c>
    </row>
    <row r="286" spans="1:6" x14ac:dyDescent="0.25">
      <c r="A286" t="s">
        <v>876</v>
      </c>
      <c r="B286" t="s">
        <v>44</v>
      </c>
      <c r="C286" s="52">
        <v>44689</v>
      </c>
      <c r="D286" s="20" t="s">
        <v>2398</v>
      </c>
      <c r="E286" t="s">
        <v>877</v>
      </c>
      <c r="F286" t="s">
        <v>754</v>
      </c>
    </row>
    <row r="287" spans="1:6" x14ac:dyDescent="0.25">
      <c r="A287" t="s">
        <v>878</v>
      </c>
      <c r="B287" t="s">
        <v>881</v>
      </c>
      <c r="C287" s="52">
        <v>44689</v>
      </c>
      <c r="D287" s="20">
        <v>0.31435185185185199</v>
      </c>
      <c r="E287" t="s">
        <v>716</v>
      </c>
      <c r="F287" t="s">
        <v>754</v>
      </c>
    </row>
    <row r="288" spans="1:6" x14ac:dyDescent="0.25">
      <c r="A288" t="s">
        <v>876</v>
      </c>
      <c r="B288" t="s">
        <v>44</v>
      </c>
      <c r="C288" s="52">
        <v>44689</v>
      </c>
      <c r="D288" s="20" t="s">
        <v>2399</v>
      </c>
      <c r="E288" t="s">
        <v>877</v>
      </c>
      <c r="F288" t="s">
        <v>754</v>
      </c>
    </row>
    <row r="289" spans="1:6" x14ac:dyDescent="0.25">
      <c r="A289" t="s">
        <v>878</v>
      </c>
      <c r="B289" t="s">
        <v>881</v>
      </c>
      <c r="C289" s="52">
        <v>44689</v>
      </c>
      <c r="D289" s="20">
        <v>0.34478009259259301</v>
      </c>
      <c r="E289" t="s">
        <v>716</v>
      </c>
      <c r="F289" t="s">
        <v>754</v>
      </c>
    </row>
    <row r="290" spans="1:6" x14ac:dyDescent="0.25">
      <c r="A290" t="s">
        <v>876</v>
      </c>
      <c r="B290" t="s">
        <v>44</v>
      </c>
      <c r="C290" s="52">
        <v>44689</v>
      </c>
      <c r="D290" s="20" t="s">
        <v>2400</v>
      </c>
      <c r="E290" t="s">
        <v>877</v>
      </c>
      <c r="F290" t="s">
        <v>754</v>
      </c>
    </row>
    <row r="291" spans="1:6" x14ac:dyDescent="0.25">
      <c r="A291" t="s">
        <v>878</v>
      </c>
      <c r="B291" t="s">
        <v>881</v>
      </c>
      <c r="C291" s="52">
        <v>44689</v>
      </c>
      <c r="D291" s="20">
        <v>0.34728009259259301</v>
      </c>
      <c r="E291" t="s">
        <v>716</v>
      </c>
      <c r="F291" t="s">
        <v>754</v>
      </c>
    </row>
    <row r="292" spans="1:6" x14ac:dyDescent="0.25">
      <c r="A292" t="s">
        <v>876</v>
      </c>
      <c r="B292" t="s">
        <v>44</v>
      </c>
      <c r="C292" s="52">
        <v>44689</v>
      </c>
      <c r="D292" s="20" t="s">
        <v>2401</v>
      </c>
      <c r="E292" t="s">
        <v>877</v>
      </c>
      <c r="F292" t="s">
        <v>754</v>
      </c>
    </row>
    <row r="293" spans="1:6" x14ac:dyDescent="0.25">
      <c r="A293" t="s">
        <v>878</v>
      </c>
      <c r="B293" t="s">
        <v>881</v>
      </c>
      <c r="C293" s="52">
        <v>44689</v>
      </c>
      <c r="D293" s="20">
        <v>0.34922453703703699</v>
      </c>
      <c r="E293" t="s">
        <v>716</v>
      </c>
      <c r="F293" t="s">
        <v>754</v>
      </c>
    </row>
    <row r="294" spans="1:6" x14ac:dyDescent="0.25">
      <c r="A294" t="s">
        <v>876</v>
      </c>
      <c r="B294" t="s">
        <v>44</v>
      </c>
      <c r="C294" s="52">
        <v>44689</v>
      </c>
      <c r="D294" s="20" t="s">
        <v>2402</v>
      </c>
      <c r="E294" t="s">
        <v>877</v>
      </c>
      <c r="F294" t="s">
        <v>754</v>
      </c>
    </row>
    <row r="295" spans="1:6" x14ac:dyDescent="0.25">
      <c r="A295" t="s">
        <v>878</v>
      </c>
      <c r="B295" t="s">
        <v>881</v>
      </c>
      <c r="C295" s="52">
        <v>44689</v>
      </c>
      <c r="D295" s="20">
        <v>0.36193287037036997</v>
      </c>
      <c r="E295" t="s">
        <v>716</v>
      </c>
      <c r="F295" t="s">
        <v>754</v>
      </c>
    </row>
    <row r="296" spans="1:6" x14ac:dyDescent="0.25">
      <c r="A296" t="s">
        <v>876</v>
      </c>
      <c r="B296" t="s">
        <v>44</v>
      </c>
      <c r="C296" s="52">
        <v>44689</v>
      </c>
      <c r="D296" s="20" t="s">
        <v>2403</v>
      </c>
      <c r="E296" t="s">
        <v>877</v>
      </c>
      <c r="F296" t="s">
        <v>754</v>
      </c>
    </row>
    <row r="297" spans="1:6" x14ac:dyDescent="0.25">
      <c r="A297" t="s">
        <v>878</v>
      </c>
      <c r="B297" t="s">
        <v>881</v>
      </c>
      <c r="C297" s="52">
        <v>44689</v>
      </c>
      <c r="D297" s="20">
        <v>0.37209490740740703</v>
      </c>
      <c r="E297" t="s">
        <v>716</v>
      </c>
      <c r="F297" t="s">
        <v>754</v>
      </c>
    </row>
    <row r="298" spans="1:6" x14ac:dyDescent="0.25">
      <c r="A298" t="s">
        <v>876</v>
      </c>
      <c r="B298" t="s">
        <v>44</v>
      </c>
      <c r="C298" s="52">
        <v>44689</v>
      </c>
      <c r="D298" s="20" t="s">
        <v>2404</v>
      </c>
      <c r="E298" t="s">
        <v>877</v>
      </c>
      <c r="F298" t="s">
        <v>754</v>
      </c>
    </row>
    <row r="299" spans="1:6" x14ac:dyDescent="0.25">
      <c r="A299" t="s">
        <v>878</v>
      </c>
      <c r="B299" t="s">
        <v>881</v>
      </c>
      <c r="C299" s="52">
        <v>44689</v>
      </c>
      <c r="D299" s="20">
        <v>0.374270833333333</v>
      </c>
      <c r="E299" t="s">
        <v>716</v>
      </c>
      <c r="F299" t="s">
        <v>754</v>
      </c>
    </row>
    <row r="300" spans="1:6" x14ac:dyDescent="0.25">
      <c r="A300" t="s">
        <v>876</v>
      </c>
      <c r="B300" t="s">
        <v>44</v>
      </c>
      <c r="C300" s="52">
        <v>44689</v>
      </c>
      <c r="D300" s="20" t="s">
        <v>2405</v>
      </c>
      <c r="E300" t="s">
        <v>877</v>
      </c>
      <c r="F300" t="s">
        <v>754</v>
      </c>
    </row>
    <row r="301" spans="1:6" x14ac:dyDescent="0.25">
      <c r="A301" t="s">
        <v>878</v>
      </c>
      <c r="B301" t="s">
        <v>881</v>
      </c>
      <c r="C301" s="52">
        <v>44689</v>
      </c>
      <c r="D301" s="20">
        <v>0.40443287037037001</v>
      </c>
      <c r="E301" t="s">
        <v>716</v>
      </c>
      <c r="F301" t="s">
        <v>754</v>
      </c>
    </row>
    <row r="302" spans="1:6" x14ac:dyDescent="0.25">
      <c r="A302" t="s">
        <v>876</v>
      </c>
      <c r="B302" t="s">
        <v>44</v>
      </c>
      <c r="C302" s="52">
        <v>44689</v>
      </c>
      <c r="D302" s="20" t="s">
        <v>2406</v>
      </c>
      <c r="E302" t="s">
        <v>877</v>
      </c>
      <c r="F302" t="s">
        <v>754</v>
      </c>
    </row>
    <row r="303" spans="1:6" x14ac:dyDescent="0.25">
      <c r="A303" t="s">
        <v>878</v>
      </c>
      <c r="B303" t="s">
        <v>881</v>
      </c>
      <c r="C303" s="52">
        <v>44689</v>
      </c>
      <c r="D303" s="20">
        <v>0.40673611111111102</v>
      </c>
      <c r="E303" t="s">
        <v>716</v>
      </c>
      <c r="F303" t="s">
        <v>754</v>
      </c>
    </row>
    <row r="304" spans="1:6" x14ac:dyDescent="0.25">
      <c r="A304" t="s">
        <v>876</v>
      </c>
      <c r="B304" t="s">
        <v>44</v>
      </c>
      <c r="C304" s="52">
        <v>44689</v>
      </c>
      <c r="D304" s="20" t="s">
        <v>2407</v>
      </c>
      <c r="E304" t="s">
        <v>877</v>
      </c>
      <c r="F304" t="s">
        <v>754</v>
      </c>
    </row>
    <row r="305" spans="1:6" x14ac:dyDescent="0.25">
      <c r="A305" t="s">
        <v>878</v>
      </c>
      <c r="B305" t="s">
        <v>881</v>
      </c>
      <c r="C305" s="52">
        <v>44689</v>
      </c>
      <c r="D305" s="20">
        <v>0.409560185185185</v>
      </c>
      <c r="E305" t="s">
        <v>716</v>
      </c>
      <c r="F305" t="s">
        <v>754</v>
      </c>
    </row>
    <row r="306" spans="1:6" x14ac:dyDescent="0.25">
      <c r="A306" t="s">
        <v>876</v>
      </c>
      <c r="B306" t="s">
        <v>44</v>
      </c>
      <c r="C306" s="52">
        <v>44689</v>
      </c>
      <c r="D306" s="20" t="s">
        <v>2408</v>
      </c>
      <c r="E306" t="s">
        <v>877</v>
      </c>
      <c r="F306" t="s">
        <v>754</v>
      </c>
    </row>
    <row r="307" spans="1:6" x14ac:dyDescent="0.25">
      <c r="A307" t="s">
        <v>878</v>
      </c>
      <c r="B307" t="s">
        <v>881</v>
      </c>
      <c r="C307" s="52">
        <v>44689</v>
      </c>
      <c r="D307" s="20">
        <v>0.41181712962963002</v>
      </c>
      <c r="E307" t="s">
        <v>716</v>
      </c>
      <c r="F307" t="s">
        <v>754</v>
      </c>
    </row>
    <row r="308" spans="1:6" x14ac:dyDescent="0.25">
      <c r="A308" t="s">
        <v>876</v>
      </c>
      <c r="B308" t="s">
        <v>44</v>
      </c>
      <c r="C308" s="52">
        <v>44689</v>
      </c>
      <c r="D308" s="20" t="s">
        <v>2409</v>
      </c>
      <c r="E308" t="s">
        <v>877</v>
      </c>
      <c r="F308" t="s">
        <v>754</v>
      </c>
    </row>
    <row r="309" spans="1:6" x14ac:dyDescent="0.25">
      <c r="A309" t="s">
        <v>878</v>
      </c>
      <c r="B309" t="s">
        <v>881</v>
      </c>
      <c r="C309" s="52">
        <v>44689</v>
      </c>
      <c r="D309" s="20">
        <v>0.42503472222222199</v>
      </c>
      <c r="E309" t="s">
        <v>716</v>
      </c>
      <c r="F309" t="s">
        <v>754</v>
      </c>
    </row>
    <row r="310" spans="1:6" x14ac:dyDescent="0.25">
      <c r="A310" t="s">
        <v>876</v>
      </c>
      <c r="B310" t="s">
        <v>44</v>
      </c>
      <c r="C310" s="52">
        <v>44689</v>
      </c>
      <c r="D310" s="20" t="s">
        <v>2410</v>
      </c>
      <c r="E310" t="s">
        <v>877</v>
      </c>
      <c r="F310" t="s">
        <v>754</v>
      </c>
    </row>
    <row r="311" spans="1:6" x14ac:dyDescent="0.25">
      <c r="A311" t="s">
        <v>878</v>
      </c>
      <c r="B311" t="s">
        <v>881</v>
      </c>
      <c r="C311" s="52">
        <v>44689</v>
      </c>
      <c r="D311" s="20">
        <v>0.42958333333333298</v>
      </c>
      <c r="E311" t="s">
        <v>716</v>
      </c>
      <c r="F311" t="s">
        <v>754</v>
      </c>
    </row>
    <row r="312" spans="1:6" x14ac:dyDescent="0.25">
      <c r="A312" t="s">
        <v>876</v>
      </c>
      <c r="B312" t="s">
        <v>44</v>
      </c>
      <c r="C312" s="52">
        <v>44689</v>
      </c>
      <c r="D312" s="20" t="s">
        <v>2411</v>
      </c>
      <c r="E312" t="s">
        <v>877</v>
      </c>
      <c r="F312" t="s">
        <v>754</v>
      </c>
    </row>
    <row r="313" spans="1:6" x14ac:dyDescent="0.25">
      <c r="A313" t="s">
        <v>878</v>
      </c>
      <c r="B313" t="s">
        <v>881</v>
      </c>
      <c r="C313" s="52">
        <v>44689</v>
      </c>
      <c r="D313" s="20">
        <v>0.44513888888888897</v>
      </c>
      <c r="E313" t="s">
        <v>716</v>
      </c>
      <c r="F313" t="s">
        <v>754</v>
      </c>
    </row>
    <row r="314" spans="1:6" x14ac:dyDescent="0.25">
      <c r="A314" t="s">
        <v>876</v>
      </c>
      <c r="B314" t="s">
        <v>44</v>
      </c>
      <c r="C314" s="52">
        <v>44689</v>
      </c>
      <c r="D314" s="20" t="s">
        <v>2412</v>
      </c>
      <c r="E314" t="s">
        <v>877</v>
      </c>
      <c r="F314" t="s">
        <v>754</v>
      </c>
    </row>
    <row r="315" spans="1:6" x14ac:dyDescent="0.25">
      <c r="A315" t="s">
        <v>878</v>
      </c>
      <c r="B315" t="s">
        <v>881</v>
      </c>
      <c r="C315" s="52">
        <v>44689</v>
      </c>
      <c r="D315" s="20">
        <v>0.47476851851851798</v>
      </c>
      <c r="E315" t="s">
        <v>716</v>
      </c>
      <c r="F315" t="s">
        <v>754</v>
      </c>
    </row>
    <row r="316" spans="1:6" x14ac:dyDescent="0.25">
      <c r="A316" t="s">
        <v>876</v>
      </c>
      <c r="B316" t="s">
        <v>44</v>
      </c>
      <c r="C316" s="52">
        <v>44689</v>
      </c>
      <c r="D316" s="20" t="s">
        <v>2413</v>
      </c>
      <c r="E316" t="s">
        <v>877</v>
      </c>
      <c r="F316" t="s">
        <v>754</v>
      </c>
    </row>
    <row r="317" spans="1:6" x14ac:dyDescent="0.25">
      <c r="A317" t="s">
        <v>878</v>
      </c>
      <c r="B317" t="s">
        <v>881</v>
      </c>
      <c r="C317" s="52">
        <v>44689</v>
      </c>
      <c r="D317" s="20">
        <v>0.53303240740740698</v>
      </c>
      <c r="E317" t="s">
        <v>716</v>
      </c>
      <c r="F317" t="s">
        <v>754</v>
      </c>
    </row>
    <row r="318" spans="1:6" x14ac:dyDescent="0.25">
      <c r="A318" t="s">
        <v>876</v>
      </c>
      <c r="B318" t="s">
        <v>44</v>
      </c>
      <c r="C318" s="52">
        <v>44689</v>
      </c>
      <c r="D318" s="20" t="s">
        <v>2414</v>
      </c>
      <c r="E318" t="s">
        <v>877</v>
      </c>
      <c r="F318" t="s">
        <v>754</v>
      </c>
    </row>
    <row r="319" spans="1:6" x14ac:dyDescent="0.25">
      <c r="A319" t="s">
        <v>878</v>
      </c>
      <c r="B319" t="s">
        <v>881</v>
      </c>
      <c r="C319" s="52">
        <v>44689</v>
      </c>
      <c r="D319" s="20">
        <v>0.57664351851851803</v>
      </c>
      <c r="E319" t="s">
        <v>716</v>
      </c>
      <c r="F319" t="s">
        <v>754</v>
      </c>
    </row>
    <row r="320" spans="1:6" x14ac:dyDescent="0.25">
      <c r="A320" t="s">
        <v>876</v>
      </c>
      <c r="B320" t="s">
        <v>44</v>
      </c>
      <c r="C320" s="52">
        <v>44689</v>
      </c>
      <c r="D320" s="20" t="s">
        <v>2415</v>
      </c>
      <c r="E320" t="s">
        <v>877</v>
      </c>
      <c r="F320" t="s">
        <v>754</v>
      </c>
    </row>
    <row r="321" spans="1:6" x14ac:dyDescent="0.25">
      <c r="A321" t="s">
        <v>878</v>
      </c>
      <c r="B321" t="s">
        <v>881</v>
      </c>
      <c r="C321" s="52">
        <v>44689</v>
      </c>
      <c r="D321" s="20">
        <v>0.62414351851851901</v>
      </c>
      <c r="E321" t="s">
        <v>716</v>
      </c>
      <c r="F321" t="s">
        <v>754</v>
      </c>
    </row>
    <row r="322" spans="1:6" x14ac:dyDescent="0.25">
      <c r="A322" t="s">
        <v>876</v>
      </c>
      <c r="B322" t="s">
        <v>44</v>
      </c>
      <c r="C322" s="52">
        <v>44689</v>
      </c>
      <c r="D322" s="20" t="s">
        <v>2416</v>
      </c>
      <c r="E322" t="s">
        <v>877</v>
      </c>
      <c r="F322" t="s">
        <v>754</v>
      </c>
    </row>
    <row r="323" spans="1:6" x14ac:dyDescent="0.25">
      <c r="A323" t="s">
        <v>878</v>
      </c>
      <c r="B323" t="s">
        <v>881</v>
      </c>
      <c r="C323" s="52">
        <v>44689</v>
      </c>
      <c r="D323" s="20">
        <v>0.69111111111111101</v>
      </c>
      <c r="E323" t="s">
        <v>716</v>
      </c>
      <c r="F323" t="s">
        <v>754</v>
      </c>
    </row>
    <row r="324" spans="1:6" x14ac:dyDescent="0.25">
      <c r="A324" t="s">
        <v>876</v>
      </c>
      <c r="B324" t="s">
        <v>44</v>
      </c>
      <c r="C324" s="52">
        <v>44689</v>
      </c>
      <c r="D324" s="20" t="s">
        <v>2417</v>
      </c>
      <c r="E324" t="s">
        <v>877</v>
      </c>
      <c r="F324" t="s">
        <v>754</v>
      </c>
    </row>
    <row r="325" spans="1:6" x14ac:dyDescent="0.25">
      <c r="A325" t="s">
        <v>878</v>
      </c>
      <c r="B325" t="s">
        <v>881</v>
      </c>
      <c r="C325" s="52">
        <v>44689</v>
      </c>
      <c r="D325" s="20">
        <v>0.72180555555555603</v>
      </c>
      <c r="E325" t="s">
        <v>716</v>
      </c>
      <c r="F325" t="s">
        <v>754</v>
      </c>
    </row>
    <row r="326" spans="1:6" x14ac:dyDescent="0.25">
      <c r="A326" t="s">
        <v>876</v>
      </c>
      <c r="B326" t="s">
        <v>44</v>
      </c>
      <c r="C326" s="52">
        <v>44689</v>
      </c>
      <c r="D326" s="20" t="s">
        <v>2418</v>
      </c>
      <c r="E326" t="s">
        <v>877</v>
      </c>
      <c r="F326" t="s">
        <v>754</v>
      </c>
    </row>
    <row r="327" spans="1:6" x14ac:dyDescent="0.25">
      <c r="A327" t="s">
        <v>878</v>
      </c>
      <c r="B327" t="s">
        <v>881</v>
      </c>
      <c r="C327" s="52">
        <v>44689</v>
      </c>
      <c r="D327" s="20">
        <v>0.76555555555555599</v>
      </c>
      <c r="E327" t="s">
        <v>899</v>
      </c>
      <c r="F327" t="s">
        <v>754</v>
      </c>
    </row>
    <row r="328" spans="1:6" x14ac:dyDescent="0.25">
      <c r="A328" t="s">
        <v>876</v>
      </c>
      <c r="B328" t="s">
        <v>44</v>
      </c>
      <c r="C328" s="52">
        <v>44689</v>
      </c>
      <c r="D328" s="20" t="s">
        <v>2419</v>
      </c>
      <c r="E328" t="s">
        <v>877</v>
      </c>
      <c r="F328" t="s">
        <v>754</v>
      </c>
    </row>
    <row r="329" spans="1:6" x14ac:dyDescent="0.25">
      <c r="A329" t="s">
        <v>878</v>
      </c>
      <c r="B329" t="s">
        <v>881</v>
      </c>
      <c r="C329" s="52">
        <v>44689</v>
      </c>
      <c r="D329" s="20">
        <v>0.93767361111111103</v>
      </c>
      <c r="E329" t="s">
        <v>899</v>
      </c>
      <c r="F329" t="s">
        <v>754</v>
      </c>
    </row>
    <row r="330" spans="1:6" x14ac:dyDescent="0.25">
      <c r="A330" t="s">
        <v>876</v>
      </c>
      <c r="B330" t="s">
        <v>44</v>
      </c>
      <c r="C330" s="52">
        <v>44720</v>
      </c>
      <c r="D330" s="20" t="s">
        <v>2420</v>
      </c>
      <c r="E330" t="s">
        <v>877</v>
      </c>
      <c r="F330" t="s">
        <v>754</v>
      </c>
    </row>
    <row r="331" spans="1:6" x14ac:dyDescent="0.25">
      <c r="A331" t="s">
        <v>878</v>
      </c>
      <c r="B331" t="s">
        <v>881</v>
      </c>
      <c r="C331" s="52">
        <v>44720</v>
      </c>
      <c r="D331" s="20">
        <v>0.83998842592592604</v>
      </c>
      <c r="E331" t="s">
        <v>899</v>
      </c>
      <c r="F331" t="s">
        <v>754</v>
      </c>
    </row>
    <row r="332" spans="1:6" x14ac:dyDescent="0.25">
      <c r="A332" t="s">
        <v>876</v>
      </c>
      <c r="B332" t="s">
        <v>44</v>
      </c>
      <c r="C332" s="52">
        <v>44750</v>
      </c>
      <c r="D332" s="20" t="s">
        <v>2421</v>
      </c>
      <c r="E332" t="s">
        <v>877</v>
      </c>
      <c r="F332" t="s">
        <v>754</v>
      </c>
    </row>
    <row r="333" spans="1:6" x14ac:dyDescent="0.25">
      <c r="A333" t="s">
        <v>878</v>
      </c>
      <c r="B333" t="s">
        <v>881</v>
      </c>
      <c r="C333" s="52">
        <v>44750</v>
      </c>
      <c r="D333" s="20">
        <v>0.48662037037036998</v>
      </c>
      <c r="E333" t="s">
        <v>722</v>
      </c>
      <c r="F333" t="s">
        <v>754</v>
      </c>
    </row>
    <row r="334" spans="1:6" x14ac:dyDescent="0.25">
      <c r="A334" t="s">
        <v>876</v>
      </c>
      <c r="B334" t="s">
        <v>33</v>
      </c>
      <c r="C334" s="52">
        <v>44569</v>
      </c>
      <c r="D334" s="20" t="s">
        <v>1483</v>
      </c>
      <c r="E334" t="s">
        <v>877</v>
      </c>
      <c r="F334" t="s">
        <v>754</v>
      </c>
    </row>
    <row r="335" spans="1:6" x14ac:dyDescent="0.25">
      <c r="A335" t="s">
        <v>878</v>
      </c>
      <c r="B335" t="s">
        <v>882</v>
      </c>
      <c r="C335" s="52">
        <v>44569</v>
      </c>
      <c r="D335" s="20">
        <v>0.359375</v>
      </c>
      <c r="E335" t="s">
        <v>717</v>
      </c>
      <c r="F335" t="s">
        <v>754</v>
      </c>
    </row>
    <row r="336" spans="1:6" x14ac:dyDescent="0.25">
      <c r="A336" t="s">
        <v>876</v>
      </c>
      <c r="B336" t="s">
        <v>33</v>
      </c>
      <c r="C336" s="52">
        <v>44569</v>
      </c>
      <c r="D336" s="20" t="s">
        <v>1484</v>
      </c>
      <c r="E336" t="s">
        <v>877</v>
      </c>
      <c r="F336" t="s">
        <v>754</v>
      </c>
    </row>
    <row r="337" spans="1:6" x14ac:dyDescent="0.25">
      <c r="A337" t="s">
        <v>878</v>
      </c>
      <c r="B337" t="s">
        <v>882</v>
      </c>
      <c r="C337" s="52">
        <v>44569</v>
      </c>
      <c r="D337" s="20">
        <v>0.366574074074074</v>
      </c>
      <c r="E337" t="s">
        <v>717</v>
      </c>
      <c r="F337" t="s">
        <v>754</v>
      </c>
    </row>
    <row r="338" spans="1:6" x14ac:dyDescent="0.25">
      <c r="A338" t="s">
        <v>876</v>
      </c>
      <c r="B338" t="s">
        <v>33</v>
      </c>
      <c r="C338" s="52">
        <v>44569</v>
      </c>
      <c r="D338" s="20" t="s">
        <v>1485</v>
      </c>
      <c r="E338" t="s">
        <v>877</v>
      </c>
      <c r="F338" t="s">
        <v>754</v>
      </c>
    </row>
    <row r="339" spans="1:6" x14ac:dyDescent="0.25">
      <c r="A339" t="s">
        <v>878</v>
      </c>
      <c r="B339" t="s">
        <v>882</v>
      </c>
      <c r="C339" s="52">
        <v>44569</v>
      </c>
      <c r="D339" s="20">
        <v>0.48868055555555601</v>
      </c>
      <c r="E339" t="s">
        <v>717</v>
      </c>
      <c r="F339" t="s">
        <v>754</v>
      </c>
    </row>
    <row r="340" spans="1:6" x14ac:dyDescent="0.25">
      <c r="A340" t="s">
        <v>876</v>
      </c>
      <c r="B340" t="s">
        <v>33</v>
      </c>
      <c r="C340" s="52">
        <v>44569</v>
      </c>
      <c r="D340" s="20" t="s">
        <v>1486</v>
      </c>
      <c r="E340" t="s">
        <v>877</v>
      </c>
      <c r="F340" t="s">
        <v>754</v>
      </c>
    </row>
    <row r="341" spans="1:6" x14ac:dyDescent="0.25">
      <c r="A341" t="s">
        <v>878</v>
      </c>
      <c r="B341" t="s">
        <v>882</v>
      </c>
      <c r="C341" s="52">
        <v>44569</v>
      </c>
      <c r="D341" s="20">
        <v>0.67535879629629603</v>
      </c>
      <c r="E341" t="s">
        <v>717</v>
      </c>
      <c r="F341" t="s">
        <v>754</v>
      </c>
    </row>
    <row r="342" spans="1:6" x14ac:dyDescent="0.25">
      <c r="A342" t="s">
        <v>876</v>
      </c>
      <c r="B342" t="s">
        <v>33</v>
      </c>
      <c r="C342" s="52">
        <v>44600</v>
      </c>
      <c r="D342" s="20" t="s">
        <v>847</v>
      </c>
      <c r="E342" t="s">
        <v>877</v>
      </c>
      <c r="F342" t="s">
        <v>754</v>
      </c>
    </row>
    <row r="343" spans="1:6" x14ac:dyDescent="0.25">
      <c r="A343" t="s">
        <v>878</v>
      </c>
      <c r="B343" t="s">
        <v>882</v>
      </c>
      <c r="C343" s="52">
        <v>44600</v>
      </c>
      <c r="D343" s="20">
        <v>0.42800925925925898</v>
      </c>
      <c r="E343" t="s">
        <v>717</v>
      </c>
      <c r="F343" t="s">
        <v>754</v>
      </c>
    </row>
    <row r="344" spans="1:6" x14ac:dyDescent="0.25">
      <c r="A344" t="s">
        <v>876</v>
      </c>
      <c r="B344" t="s">
        <v>33</v>
      </c>
      <c r="C344" s="52">
        <v>44600</v>
      </c>
      <c r="D344" s="20" t="s">
        <v>848</v>
      </c>
      <c r="E344" t="s">
        <v>877</v>
      </c>
      <c r="F344" t="s">
        <v>754</v>
      </c>
    </row>
    <row r="345" spans="1:6" x14ac:dyDescent="0.25">
      <c r="A345" t="s">
        <v>878</v>
      </c>
      <c r="B345" t="s">
        <v>882</v>
      </c>
      <c r="C345" s="52">
        <v>44600</v>
      </c>
      <c r="D345" s="20">
        <v>0.57203703703703701</v>
      </c>
      <c r="E345" t="s">
        <v>717</v>
      </c>
      <c r="F345" t="s">
        <v>754</v>
      </c>
    </row>
    <row r="346" spans="1:6" x14ac:dyDescent="0.25">
      <c r="A346" t="s">
        <v>876</v>
      </c>
      <c r="B346" t="s">
        <v>33</v>
      </c>
      <c r="C346" s="52">
        <v>44600</v>
      </c>
      <c r="D346" s="20" t="s">
        <v>849</v>
      </c>
      <c r="E346" t="s">
        <v>877</v>
      </c>
      <c r="F346" t="s">
        <v>754</v>
      </c>
    </row>
    <row r="347" spans="1:6" x14ac:dyDescent="0.25">
      <c r="A347" t="s">
        <v>878</v>
      </c>
      <c r="B347" t="s">
        <v>882</v>
      </c>
      <c r="C347" s="52">
        <v>44600</v>
      </c>
      <c r="D347" s="20">
        <v>0.74674768518518497</v>
      </c>
      <c r="E347" t="s">
        <v>717</v>
      </c>
      <c r="F347" t="s">
        <v>754</v>
      </c>
    </row>
    <row r="348" spans="1:6" x14ac:dyDescent="0.25">
      <c r="A348" t="s">
        <v>876</v>
      </c>
      <c r="B348" t="s">
        <v>33</v>
      </c>
      <c r="C348" s="52">
        <v>44628</v>
      </c>
      <c r="D348" s="20" t="s">
        <v>1295</v>
      </c>
      <c r="E348" t="s">
        <v>877</v>
      </c>
      <c r="F348" t="s">
        <v>754</v>
      </c>
    </row>
    <row r="349" spans="1:6" x14ac:dyDescent="0.25">
      <c r="A349" t="s">
        <v>878</v>
      </c>
      <c r="B349" t="s">
        <v>882</v>
      </c>
      <c r="C349" s="52">
        <v>44628</v>
      </c>
      <c r="D349" s="20">
        <v>0.42072916666666699</v>
      </c>
      <c r="E349" t="s">
        <v>900</v>
      </c>
      <c r="F349" t="s">
        <v>754</v>
      </c>
    </row>
    <row r="350" spans="1:6" x14ac:dyDescent="0.25">
      <c r="A350" t="s">
        <v>876</v>
      </c>
      <c r="B350" t="s">
        <v>33</v>
      </c>
      <c r="C350" s="52">
        <v>44628</v>
      </c>
      <c r="D350" s="20" t="s">
        <v>1296</v>
      </c>
      <c r="E350" t="s">
        <v>877</v>
      </c>
      <c r="F350" t="s">
        <v>754</v>
      </c>
    </row>
    <row r="351" spans="1:6" x14ac:dyDescent="0.25">
      <c r="A351" t="s">
        <v>878</v>
      </c>
      <c r="B351" t="s">
        <v>882</v>
      </c>
      <c r="C351" s="52">
        <v>44628</v>
      </c>
      <c r="D351" s="20">
        <v>0.82990740740740698</v>
      </c>
      <c r="E351" t="s">
        <v>718</v>
      </c>
      <c r="F351" t="s">
        <v>754</v>
      </c>
    </row>
    <row r="352" spans="1:6" x14ac:dyDescent="0.25">
      <c r="A352" t="s">
        <v>876</v>
      </c>
      <c r="B352" t="s">
        <v>33</v>
      </c>
      <c r="C352" s="52">
        <v>44628</v>
      </c>
      <c r="D352" s="20" t="s">
        <v>1297</v>
      </c>
      <c r="E352" t="s">
        <v>877</v>
      </c>
      <c r="F352" t="s">
        <v>754</v>
      </c>
    </row>
    <row r="353" spans="1:6" x14ac:dyDescent="0.25">
      <c r="A353" t="s">
        <v>878</v>
      </c>
      <c r="B353" t="s">
        <v>882</v>
      </c>
      <c r="C353" s="52">
        <v>44628</v>
      </c>
      <c r="D353" s="20">
        <v>0.91467592592592595</v>
      </c>
      <c r="E353" t="s">
        <v>718</v>
      </c>
      <c r="F353" t="s">
        <v>754</v>
      </c>
    </row>
    <row r="354" spans="1:6" x14ac:dyDescent="0.25">
      <c r="A354" t="s">
        <v>876</v>
      </c>
      <c r="B354" t="s">
        <v>33</v>
      </c>
      <c r="C354" s="52">
        <v>44659</v>
      </c>
      <c r="D354" s="20" t="s">
        <v>932</v>
      </c>
      <c r="E354" t="s">
        <v>877</v>
      </c>
      <c r="F354" t="s">
        <v>754</v>
      </c>
    </row>
    <row r="355" spans="1:6" x14ac:dyDescent="0.25">
      <c r="A355" t="s">
        <v>878</v>
      </c>
      <c r="B355" t="s">
        <v>882</v>
      </c>
      <c r="C355" s="52">
        <v>44659</v>
      </c>
      <c r="D355" s="20">
        <v>0.32453703703703701</v>
      </c>
      <c r="E355" t="s">
        <v>718</v>
      </c>
      <c r="F355" t="s">
        <v>754</v>
      </c>
    </row>
    <row r="356" spans="1:6" x14ac:dyDescent="0.25">
      <c r="A356" t="s">
        <v>876</v>
      </c>
      <c r="B356" t="s">
        <v>33</v>
      </c>
      <c r="C356" s="52">
        <v>44659</v>
      </c>
      <c r="D356" s="20" t="s">
        <v>933</v>
      </c>
      <c r="E356" t="s">
        <v>877</v>
      </c>
      <c r="F356" t="s">
        <v>754</v>
      </c>
    </row>
    <row r="357" spans="1:6" x14ac:dyDescent="0.25">
      <c r="A357" t="s">
        <v>878</v>
      </c>
      <c r="B357" t="s">
        <v>882</v>
      </c>
      <c r="C357" s="52">
        <v>44659</v>
      </c>
      <c r="D357" s="20">
        <v>0.39019675925925901</v>
      </c>
      <c r="E357" t="s">
        <v>900</v>
      </c>
      <c r="F357" t="s">
        <v>754</v>
      </c>
    </row>
    <row r="358" spans="1:6" x14ac:dyDescent="0.25">
      <c r="A358" t="s">
        <v>876</v>
      </c>
      <c r="B358" t="s">
        <v>33</v>
      </c>
      <c r="C358" s="52">
        <v>44659</v>
      </c>
      <c r="D358" s="20" t="s">
        <v>934</v>
      </c>
      <c r="E358" t="s">
        <v>877</v>
      </c>
      <c r="F358" t="s">
        <v>754</v>
      </c>
    </row>
    <row r="359" spans="1:6" x14ac:dyDescent="0.25">
      <c r="A359" t="s">
        <v>878</v>
      </c>
      <c r="B359" t="s">
        <v>882</v>
      </c>
      <c r="C359" s="52">
        <v>44659</v>
      </c>
      <c r="D359" s="20">
        <v>0.39157407407407402</v>
      </c>
      <c r="E359" t="s">
        <v>900</v>
      </c>
      <c r="F359" t="s">
        <v>754</v>
      </c>
    </row>
    <row r="360" spans="1:6" x14ac:dyDescent="0.25">
      <c r="A360" t="s">
        <v>876</v>
      </c>
      <c r="B360" t="s">
        <v>33</v>
      </c>
      <c r="C360" s="52">
        <v>44659</v>
      </c>
      <c r="D360" s="20" t="s">
        <v>935</v>
      </c>
      <c r="E360" t="s">
        <v>877</v>
      </c>
      <c r="F360" t="s">
        <v>754</v>
      </c>
    </row>
    <row r="361" spans="1:6" x14ac:dyDescent="0.25">
      <c r="A361" t="s">
        <v>878</v>
      </c>
      <c r="B361" t="s">
        <v>882</v>
      </c>
      <c r="C361" s="52">
        <v>44659</v>
      </c>
      <c r="D361" s="20">
        <v>0.39292824074074101</v>
      </c>
      <c r="E361" t="s">
        <v>900</v>
      </c>
      <c r="F361" t="s">
        <v>754</v>
      </c>
    </row>
    <row r="362" spans="1:6" x14ac:dyDescent="0.25">
      <c r="A362" t="s">
        <v>876</v>
      </c>
      <c r="B362" t="s">
        <v>33</v>
      </c>
      <c r="C362" s="52">
        <v>44659</v>
      </c>
      <c r="D362" s="20" t="s">
        <v>936</v>
      </c>
      <c r="E362" t="s">
        <v>877</v>
      </c>
      <c r="F362" t="s">
        <v>754</v>
      </c>
    </row>
    <row r="363" spans="1:6" x14ac:dyDescent="0.25">
      <c r="A363" t="s">
        <v>878</v>
      </c>
      <c r="B363" t="s">
        <v>882</v>
      </c>
      <c r="C363" s="52">
        <v>44659</v>
      </c>
      <c r="D363" s="20">
        <v>0.50090277777777803</v>
      </c>
      <c r="E363" t="s">
        <v>900</v>
      </c>
      <c r="F363" t="s">
        <v>754</v>
      </c>
    </row>
    <row r="364" spans="1:6" x14ac:dyDescent="0.25">
      <c r="A364" t="s">
        <v>876</v>
      </c>
      <c r="B364" t="s">
        <v>33</v>
      </c>
      <c r="C364" s="52">
        <v>44659</v>
      </c>
      <c r="D364" s="20" t="s">
        <v>937</v>
      </c>
      <c r="E364" t="s">
        <v>877</v>
      </c>
      <c r="F364" t="s">
        <v>754</v>
      </c>
    </row>
    <row r="365" spans="1:6" x14ac:dyDescent="0.25">
      <c r="A365" t="s">
        <v>878</v>
      </c>
      <c r="B365" t="s">
        <v>882</v>
      </c>
      <c r="C365" s="52">
        <v>44659</v>
      </c>
      <c r="D365" s="20">
        <v>0.505659722222222</v>
      </c>
      <c r="E365" t="s">
        <v>900</v>
      </c>
      <c r="F365" t="s">
        <v>754</v>
      </c>
    </row>
    <row r="366" spans="1:6" x14ac:dyDescent="0.25">
      <c r="A366" t="s">
        <v>876</v>
      </c>
      <c r="B366" t="s">
        <v>33</v>
      </c>
      <c r="C366" s="52">
        <v>44659</v>
      </c>
      <c r="D366" s="20" t="s">
        <v>938</v>
      </c>
      <c r="E366" t="s">
        <v>877</v>
      </c>
      <c r="F366" t="s">
        <v>754</v>
      </c>
    </row>
    <row r="367" spans="1:6" x14ac:dyDescent="0.25">
      <c r="A367" t="s">
        <v>878</v>
      </c>
      <c r="B367" t="s">
        <v>882</v>
      </c>
      <c r="C367" s="52">
        <v>44659</v>
      </c>
      <c r="D367" s="20">
        <v>0.72256944444444404</v>
      </c>
      <c r="E367" t="s">
        <v>900</v>
      </c>
      <c r="F367" t="s">
        <v>754</v>
      </c>
    </row>
    <row r="368" spans="1:6" x14ac:dyDescent="0.25">
      <c r="A368" t="s">
        <v>876</v>
      </c>
      <c r="B368" t="s">
        <v>33</v>
      </c>
      <c r="C368" s="52">
        <v>44659</v>
      </c>
      <c r="D368" s="20" t="s">
        <v>939</v>
      </c>
      <c r="E368" t="s">
        <v>877</v>
      </c>
      <c r="F368" t="s">
        <v>754</v>
      </c>
    </row>
    <row r="369" spans="1:6" x14ac:dyDescent="0.25">
      <c r="A369" t="s">
        <v>878</v>
      </c>
      <c r="B369" t="s">
        <v>882</v>
      </c>
      <c r="C369" s="52">
        <v>44659</v>
      </c>
      <c r="D369" s="20">
        <v>0.72365740740740703</v>
      </c>
      <c r="E369" t="s">
        <v>900</v>
      </c>
      <c r="F369" t="s">
        <v>754</v>
      </c>
    </row>
    <row r="370" spans="1:6" x14ac:dyDescent="0.25">
      <c r="A370" t="s">
        <v>876</v>
      </c>
      <c r="B370" t="s">
        <v>33</v>
      </c>
      <c r="C370" s="52">
        <v>44659</v>
      </c>
      <c r="D370" s="20" t="s">
        <v>940</v>
      </c>
      <c r="E370" t="s">
        <v>877</v>
      </c>
      <c r="F370" t="s">
        <v>754</v>
      </c>
    </row>
    <row r="371" spans="1:6" x14ac:dyDescent="0.25">
      <c r="A371" t="s">
        <v>878</v>
      </c>
      <c r="B371" t="s">
        <v>882</v>
      </c>
      <c r="C371" s="52">
        <v>44659</v>
      </c>
      <c r="D371" s="20">
        <v>0.72585648148148196</v>
      </c>
      <c r="E371" t="s">
        <v>900</v>
      </c>
      <c r="F371" t="s">
        <v>754</v>
      </c>
    </row>
    <row r="372" spans="1:6" x14ac:dyDescent="0.25">
      <c r="A372" t="s">
        <v>876</v>
      </c>
      <c r="B372" t="s">
        <v>33</v>
      </c>
      <c r="C372" s="52">
        <v>44659</v>
      </c>
      <c r="D372" s="20" t="s">
        <v>941</v>
      </c>
      <c r="E372" t="s">
        <v>877</v>
      </c>
      <c r="F372" t="s">
        <v>754</v>
      </c>
    </row>
    <row r="373" spans="1:6" x14ac:dyDescent="0.25">
      <c r="A373" t="s">
        <v>878</v>
      </c>
      <c r="B373" t="s">
        <v>882</v>
      </c>
      <c r="C373" s="52">
        <v>44659</v>
      </c>
      <c r="D373" s="20">
        <v>0.74420138888888898</v>
      </c>
      <c r="E373" t="s">
        <v>900</v>
      </c>
      <c r="F373" t="s">
        <v>754</v>
      </c>
    </row>
    <row r="374" spans="1:6" x14ac:dyDescent="0.25">
      <c r="A374" t="s">
        <v>876</v>
      </c>
      <c r="B374" t="s">
        <v>33</v>
      </c>
      <c r="C374" s="52">
        <v>44659</v>
      </c>
      <c r="D374" s="20" t="s">
        <v>942</v>
      </c>
      <c r="E374" t="s">
        <v>877</v>
      </c>
      <c r="F374" t="s">
        <v>754</v>
      </c>
    </row>
    <row r="375" spans="1:6" x14ac:dyDescent="0.25">
      <c r="A375" t="s">
        <v>878</v>
      </c>
      <c r="B375" t="s">
        <v>882</v>
      </c>
      <c r="C375" s="52">
        <v>44659</v>
      </c>
      <c r="D375" s="20">
        <v>0.84791666666666698</v>
      </c>
      <c r="E375" t="s">
        <v>718</v>
      </c>
      <c r="F375" t="s">
        <v>754</v>
      </c>
    </row>
    <row r="376" spans="1:6" x14ac:dyDescent="0.25">
      <c r="A376" t="s">
        <v>876</v>
      </c>
      <c r="B376" t="s">
        <v>33</v>
      </c>
      <c r="C376" s="52">
        <v>44659</v>
      </c>
      <c r="D376" s="20" t="s">
        <v>943</v>
      </c>
      <c r="E376" t="s">
        <v>877</v>
      </c>
      <c r="F376" t="s">
        <v>754</v>
      </c>
    </row>
    <row r="377" spans="1:6" x14ac:dyDescent="0.25">
      <c r="A377" t="s">
        <v>878</v>
      </c>
      <c r="B377" t="s">
        <v>882</v>
      </c>
      <c r="C377" s="52">
        <v>44659</v>
      </c>
      <c r="D377" s="20">
        <v>0.86680555555555605</v>
      </c>
      <c r="E377" t="s">
        <v>718</v>
      </c>
      <c r="F377" t="s">
        <v>754</v>
      </c>
    </row>
    <row r="378" spans="1:6" x14ac:dyDescent="0.25">
      <c r="A378" t="s">
        <v>876</v>
      </c>
      <c r="B378" t="s">
        <v>33</v>
      </c>
      <c r="C378" s="52">
        <v>44689</v>
      </c>
      <c r="D378" s="20" t="s">
        <v>2422</v>
      </c>
      <c r="E378" t="s">
        <v>877</v>
      </c>
      <c r="F378" t="s">
        <v>754</v>
      </c>
    </row>
    <row r="379" spans="1:6" x14ac:dyDescent="0.25">
      <c r="A379" t="s">
        <v>878</v>
      </c>
      <c r="B379" t="s">
        <v>882</v>
      </c>
      <c r="C379" s="52">
        <v>44689</v>
      </c>
      <c r="D379" s="20">
        <v>0.300185185185185</v>
      </c>
      <c r="E379" t="s">
        <v>718</v>
      </c>
      <c r="F379" t="s">
        <v>754</v>
      </c>
    </row>
    <row r="380" spans="1:6" x14ac:dyDescent="0.25">
      <c r="A380" t="s">
        <v>876</v>
      </c>
      <c r="B380" t="s">
        <v>33</v>
      </c>
      <c r="C380" s="52">
        <v>44689</v>
      </c>
      <c r="D380" s="20" t="s">
        <v>2423</v>
      </c>
      <c r="E380" t="s">
        <v>877</v>
      </c>
      <c r="F380" t="s">
        <v>754</v>
      </c>
    </row>
    <row r="381" spans="1:6" x14ac:dyDescent="0.25">
      <c r="A381" t="s">
        <v>878</v>
      </c>
      <c r="B381" t="s">
        <v>882</v>
      </c>
      <c r="C381" s="52">
        <v>44689</v>
      </c>
      <c r="D381" s="20">
        <v>0.332013888888889</v>
      </c>
      <c r="E381" t="s">
        <v>718</v>
      </c>
      <c r="F381" t="s">
        <v>754</v>
      </c>
    </row>
    <row r="382" spans="1:6" x14ac:dyDescent="0.25">
      <c r="A382" t="s">
        <v>876</v>
      </c>
      <c r="B382" t="s">
        <v>33</v>
      </c>
      <c r="C382" s="52">
        <v>44689</v>
      </c>
      <c r="D382" s="20" t="s">
        <v>2424</v>
      </c>
      <c r="E382" t="s">
        <v>877</v>
      </c>
      <c r="F382" t="s">
        <v>754</v>
      </c>
    </row>
    <row r="383" spans="1:6" x14ac:dyDescent="0.25">
      <c r="A383" t="s">
        <v>878</v>
      </c>
      <c r="B383" t="s">
        <v>882</v>
      </c>
      <c r="C383" s="52">
        <v>44689</v>
      </c>
      <c r="D383" s="20">
        <v>0.334895833333333</v>
      </c>
      <c r="E383" t="s">
        <v>900</v>
      </c>
      <c r="F383" t="s">
        <v>754</v>
      </c>
    </row>
    <row r="384" spans="1:6" x14ac:dyDescent="0.25">
      <c r="A384" t="s">
        <v>876</v>
      </c>
      <c r="B384" t="s">
        <v>33</v>
      </c>
      <c r="C384" s="52">
        <v>44689</v>
      </c>
      <c r="D384" s="20" t="s">
        <v>2425</v>
      </c>
      <c r="E384" t="s">
        <v>877</v>
      </c>
      <c r="F384" t="s">
        <v>754</v>
      </c>
    </row>
    <row r="385" spans="1:6" x14ac:dyDescent="0.25">
      <c r="A385" t="s">
        <v>878</v>
      </c>
      <c r="B385" t="s">
        <v>882</v>
      </c>
      <c r="C385" s="52">
        <v>44689</v>
      </c>
      <c r="D385" s="20">
        <v>0.345405092592593</v>
      </c>
      <c r="E385" t="s">
        <v>900</v>
      </c>
      <c r="F385" t="s">
        <v>754</v>
      </c>
    </row>
    <row r="386" spans="1:6" x14ac:dyDescent="0.25">
      <c r="A386" t="s">
        <v>876</v>
      </c>
      <c r="B386" t="s">
        <v>33</v>
      </c>
      <c r="C386" s="52">
        <v>44689</v>
      </c>
      <c r="D386" s="20" t="s">
        <v>2426</v>
      </c>
      <c r="E386" t="s">
        <v>877</v>
      </c>
      <c r="F386" t="s">
        <v>754</v>
      </c>
    </row>
    <row r="387" spans="1:6" x14ac:dyDescent="0.25">
      <c r="A387" t="s">
        <v>878</v>
      </c>
      <c r="B387" t="s">
        <v>882</v>
      </c>
      <c r="C387" s="52">
        <v>44689</v>
      </c>
      <c r="D387" s="20">
        <v>0.34738425925925898</v>
      </c>
      <c r="E387" t="s">
        <v>900</v>
      </c>
      <c r="F387" t="s">
        <v>754</v>
      </c>
    </row>
    <row r="388" spans="1:6" x14ac:dyDescent="0.25">
      <c r="A388" t="s">
        <v>876</v>
      </c>
      <c r="B388" t="s">
        <v>33</v>
      </c>
      <c r="C388" s="52">
        <v>44689</v>
      </c>
      <c r="D388" s="20" t="s">
        <v>2427</v>
      </c>
      <c r="E388" t="s">
        <v>877</v>
      </c>
      <c r="F388" t="s">
        <v>754</v>
      </c>
    </row>
    <row r="389" spans="1:6" x14ac:dyDescent="0.25">
      <c r="A389" t="s">
        <v>878</v>
      </c>
      <c r="B389" t="s">
        <v>882</v>
      </c>
      <c r="C389" s="52">
        <v>44689</v>
      </c>
      <c r="D389" s="20">
        <v>0.3490625</v>
      </c>
      <c r="E389" t="s">
        <v>900</v>
      </c>
      <c r="F389" t="s">
        <v>754</v>
      </c>
    </row>
    <row r="390" spans="1:6" x14ac:dyDescent="0.25">
      <c r="A390" t="s">
        <v>876</v>
      </c>
      <c r="B390" t="s">
        <v>33</v>
      </c>
      <c r="C390" s="52">
        <v>44689</v>
      </c>
      <c r="D390" s="20" t="s">
        <v>2428</v>
      </c>
      <c r="E390" t="s">
        <v>877</v>
      </c>
      <c r="F390" t="s">
        <v>754</v>
      </c>
    </row>
    <row r="391" spans="1:6" x14ac:dyDescent="0.25">
      <c r="A391" t="s">
        <v>878</v>
      </c>
      <c r="B391" t="s">
        <v>882</v>
      </c>
      <c r="C391" s="52">
        <v>44689</v>
      </c>
      <c r="D391" s="20">
        <v>0.35503472222222199</v>
      </c>
      <c r="E391" t="s">
        <v>900</v>
      </c>
      <c r="F391" t="s">
        <v>754</v>
      </c>
    </row>
    <row r="392" spans="1:6" x14ac:dyDescent="0.25">
      <c r="A392" t="s">
        <v>876</v>
      </c>
      <c r="B392" t="s">
        <v>33</v>
      </c>
      <c r="C392" s="52">
        <v>44689</v>
      </c>
      <c r="D392" s="20" t="s">
        <v>2429</v>
      </c>
      <c r="E392" t="s">
        <v>877</v>
      </c>
      <c r="F392" t="s">
        <v>754</v>
      </c>
    </row>
    <row r="393" spans="1:6" x14ac:dyDescent="0.25">
      <c r="A393" t="s">
        <v>878</v>
      </c>
      <c r="B393" t="s">
        <v>882</v>
      </c>
      <c r="C393" s="52">
        <v>44689</v>
      </c>
      <c r="D393" s="20">
        <v>0.359525462962963</v>
      </c>
      <c r="E393" t="s">
        <v>900</v>
      </c>
      <c r="F393" t="s">
        <v>754</v>
      </c>
    </row>
    <row r="394" spans="1:6" x14ac:dyDescent="0.25">
      <c r="A394" t="s">
        <v>876</v>
      </c>
      <c r="B394" t="s">
        <v>33</v>
      </c>
      <c r="C394" s="52">
        <v>44689</v>
      </c>
      <c r="D394" s="20" t="s">
        <v>2430</v>
      </c>
      <c r="E394" t="s">
        <v>877</v>
      </c>
      <c r="F394" t="s">
        <v>754</v>
      </c>
    </row>
    <row r="395" spans="1:6" x14ac:dyDescent="0.25">
      <c r="A395" t="s">
        <v>878</v>
      </c>
      <c r="B395" t="s">
        <v>882</v>
      </c>
      <c r="C395" s="52">
        <v>44689</v>
      </c>
      <c r="D395" s="20">
        <v>0.36255787037037002</v>
      </c>
      <c r="E395" t="s">
        <v>900</v>
      </c>
      <c r="F395" t="s">
        <v>754</v>
      </c>
    </row>
    <row r="396" spans="1:6" x14ac:dyDescent="0.25">
      <c r="A396" t="s">
        <v>876</v>
      </c>
      <c r="B396" t="s">
        <v>33</v>
      </c>
      <c r="C396" s="52">
        <v>44689</v>
      </c>
      <c r="D396" s="20" t="s">
        <v>2431</v>
      </c>
      <c r="E396" t="s">
        <v>877</v>
      </c>
      <c r="F396" t="s">
        <v>754</v>
      </c>
    </row>
    <row r="397" spans="1:6" x14ac:dyDescent="0.25">
      <c r="A397" t="s">
        <v>878</v>
      </c>
      <c r="B397" t="s">
        <v>882</v>
      </c>
      <c r="C397" s="52">
        <v>44689</v>
      </c>
      <c r="D397" s="20">
        <v>0.36858796296296298</v>
      </c>
      <c r="E397" t="s">
        <v>900</v>
      </c>
      <c r="F397" t="s">
        <v>754</v>
      </c>
    </row>
    <row r="398" spans="1:6" x14ac:dyDescent="0.25">
      <c r="A398" t="s">
        <v>876</v>
      </c>
      <c r="B398" t="s">
        <v>33</v>
      </c>
      <c r="C398" s="52">
        <v>44689</v>
      </c>
      <c r="D398" s="20" t="s">
        <v>2432</v>
      </c>
      <c r="E398" t="s">
        <v>877</v>
      </c>
      <c r="F398" t="s">
        <v>754</v>
      </c>
    </row>
    <row r="399" spans="1:6" x14ac:dyDescent="0.25">
      <c r="A399" t="s">
        <v>878</v>
      </c>
      <c r="B399" t="s">
        <v>882</v>
      </c>
      <c r="C399" s="52">
        <v>44689</v>
      </c>
      <c r="D399" s="20">
        <v>0.37394675925925902</v>
      </c>
      <c r="E399" t="s">
        <v>900</v>
      </c>
      <c r="F399" t="s">
        <v>754</v>
      </c>
    </row>
    <row r="400" spans="1:6" x14ac:dyDescent="0.25">
      <c r="A400" t="s">
        <v>876</v>
      </c>
      <c r="B400" t="s">
        <v>33</v>
      </c>
      <c r="C400" s="52">
        <v>44689</v>
      </c>
      <c r="D400" s="20" t="s">
        <v>2433</v>
      </c>
      <c r="E400" t="s">
        <v>877</v>
      </c>
      <c r="F400" t="s">
        <v>754</v>
      </c>
    </row>
    <row r="401" spans="1:6" x14ac:dyDescent="0.25">
      <c r="A401" t="s">
        <v>878</v>
      </c>
      <c r="B401" t="s">
        <v>882</v>
      </c>
      <c r="C401" s="52">
        <v>44689</v>
      </c>
      <c r="D401" s="20">
        <v>0.37574074074074099</v>
      </c>
      <c r="E401" t="s">
        <v>900</v>
      </c>
      <c r="F401" t="s">
        <v>754</v>
      </c>
    </row>
    <row r="402" spans="1:6" x14ac:dyDescent="0.25">
      <c r="A402" t="s">
        <v>876</v>
      </c>
      <c r="B402" t="s">
        <v>33</v>
      </c>
      <c r="C402" s="52">
        <v>44689</v>
      </c>
      <c r="D402" s="20" t="s">
        <v>2434</v>
      </c>
      <c r="E402" t="s">
        <v>877</v>
      </c>
      <c r="F402" t="s">
        <v>754</v>
      </c>
    </row>
    <row r="403" spans="1:6" x14ac:dyDescent="0.25">
      <c r="A403" t="s">
        <v>878</v>
      </c>
      <c r="B403" t="s">
        <v>882</v>
      </c>
      <c r="C403" s="52">
        <v>44689</v>
      </c>
      <c r="D403" s="20">
        <v>0.38055555555555598</v>
      </c>
      <c r="E403" t="s">
        <v>900</v>
      </c>
      <c r="F403" t="s">
        <v>754</v>
      </c>
    </row>
    <row r="404" spans="1:6" x14ac:dyDescent="0.25">
      <c r="A404" t="s">
        <v>876</v>
      </c>
      <c r="B404" t="s">
        <v>33</v>
      </c>
      <c r="C404" s="52">
        <v>44689</v>
      </c>
      <c r="D404" s="20" t="s">
        <v>2435</v>
      </c>
      <c r="E404" t="s">
        <v>877</v>
      </c>
      <c r="F404" t="s">
        <v>754</v>
      </c>
    </row>
    <row r="405" spans="1:6" x14ac:dyDescent="0.25">
      <c r="A405" t="s">
        <v>878</v>
      </c>
      <c r="B405" t="s">
        <v>882</v>
      </c>
      <c r="C405" s="52">
        <v>44689</v>
      </c>
      <c r="D405" s="20">
        <v>0.38181712962962999</v>
      </c>
      <c r="E405" t="s">
        <v>900</v>
      </c>
      <c r="F405" t="s">
        <v>754</v>
      </c>
    </row>
    <row r="406" spans="1:6" x14ac:dyDescent="0.25">
      <c r="A406" t="s">
        <v>876</v>
      </c>
      <c r="B406" t="s">
        <v>33</v>
      </c>
      <c r="C406" s="52">
        <v>44689</v>
      </c>
      <c r="D406" s="20" t="s">
        <v>2436</v>
      </c>
      <c r="E406" t="s">
        <v>877</v>
      </c>
      <c r="F406" t="s">
        <v>754</v>
      </c>
    </row>
    <row r="407" spans="1:6" x14ac:dyDescent="0.25">
      <c r="A407" t="s">
        <v>878</v>
      </c>
      <c r="B407" t="s">
        <v>882</v>
      </c>
      <c r="C407" s="52">
        <v>44689</v>
      </c>
      <c r="D407" s="20">
        <v>0.39571759259259298</v>
      </c>
      <c r="E407" t="s">
        <v>900</v>
      </c>
      <c r="F407" t="s">
        <v>754</v>
      </c>
    </row>
    <row r="408" spans="1:6" x14ac:dyDescent="0.25">
      <c r="A408" t="s">
        <v>876</v>
      </c>
      <c r="B408" t="s">
        <v>33</v>
      </c>
      <c r="C408" s="52">
        <v>44689</v>
      </c>
      <c r="D408" s="20" t="s">
        <v>2437</v>
      </c>
      <c r="E408" t="s">
        <v>877</v>
      </c>
      <c r="F408" t="s">
        <v>754</v>
      </c>
    </row>
    <row r="409" spans="1:6" x14ac:dyDescent="0.25">
      <c r="A409" t="s">
        <v>878</v>
      </c>
      <c r="B409" t="s">
        <v>882</v>
      </c>
      <c r="C409" s="52">
        <v>44689</v>
      </c>
      <c r="D409" s="20">
        <v>0.39781250000000001</v>
      </c>
      <c r="E409" t="s">
        <v>900</v>
      </c>
      <c r="F409" t="s">
        <v>754</v>
      </c>
    </row>
    <row r="410" spans="1:6" x14ac:dyDescent="0.25">
      <c r="A410" t="s">
        <v>876</v>
      </c>
      <c r="B410" t="s">
        <v>33</v>
      </c>
      <c r="C410" s="52">
        <v>44689</v>
      </c>
      <c r="D410" s="20" t="s">
        <v>2438</v>
      </c>
      <c r="E410" t="s">
        <v>877</v>
      </c>
      <c r="F410" t="s">
        <v>754</v>
      </c>
    </row>
    <row r="411" spans="1:6" x14ac:dyDescent="0.25">
      <c r="A411" t="s">
        <v>878</v>
      </c>
      <c r="B411" t="s">
        <v>882</v>
      </c>
      <c r="C411" s="52">
        <v>44689</v>
      </c>
      <c r="D411" s="20">
        <v>0.400358796296296</v>
      </c>
      <c r="E411" t="s">
        <v>900</v>
      </c>
      <c r="F411" t="s">
        <v>754</v>
      </c>
    </row>
    <row r="412" spans="1:6" x14ac:dyDescent="0.25">
      <c r="A412" t="s">
        <v>876</v>
      </c>
      <c r="B412" t="s">
        <v>33</v>
      </c>
      <c r="C412" s="52">
        <v>44689</v>
      </c>
      <c r="D412" s="20" t="s">
        <v>2439</v>
      </c>
      <c r="E412" t="s">
        <v>877</v>
      </c>
      <c r="F412" t="s">
        <v>754</v>
      </c>
    </row>
    <row r="413" spans="1:6" x14ac:dyDescent="0.25">
      <c r="A413" t="s">
        <v>878</v>
      </c>
      <c r="B413" t="s">
        <v>882</v>
      </c>
      <c r="C413" s="52">
        <v>44689</v>
      </c>
      <c r="D413" s="20">
        <v>0.41645833333333299</v>
      </c>
      <c r="E413" t="s">
        <v>900</v>
      </c>
      <c r="F413" t="s">
        <v>754</v>
      </c>
    </row>
    <row r="414" spans="1:6" x14ac:dyDescent="0.25">
      <c r="A414" t="s">
        <v>876</v>
      </c>
      <c r="B414" t="s">
        <v>33</v>
      </c>
      <c r="C414" s="52">
        <v>44689</v>
      </c>
      <c r="D414" s="20" t="s">
        <v>2440</v>
      </c>
      <c r="E414" t="s">
        <v>877</v>
      </c>
      <c r="F414" t="s">
        <v>754</v>
      </c>
    </row>
    <row r="415" spans="1:6" x14ac:dyDescent="0.25">
      <c r="A415" t="s">
        <v>878</v>
      </c>
      <c r="B415" t="s">
        <v>882</v>
      </c>
      <c r="C415" s="52">
        <v>44689</v>
      </c>
      <c r="D415" s="20">
        <v>0.41946759259259297</v>
      </c>
      <c r="E415" t="s">
        <v>900</v>
      </c>
      <c r="F415" t="s">
        <v>754</v>
      </c>
    </row>
    <row r="416" spans="1:6" x14ac:dyDescent="0.25">
      <c r="A416" t="s">
        <v>876</v>
      </c>
      <c r="B416" t="s">
        <v>33</v>
      </c>
      <c r="C416" s="52">
        <v>44689</v>
      </c>
      <c r="D416" s="20" t="s">
        <v>2441</v>
      </c>
      <c r="E416" t="s">
        <v>877</v>
      </c>
      <c r="F416" t="s">
        <v>754</v>
      </c>
    </row>
    <row r="417" spans="1:6" x14ac:dyDescent="0.25">
      <c r="A417" t="s">
        <v>878</v>
      </c>
      <c r="B417" t="s">
        <v>882</v>
      </c>
      <c r="C417" s="52">
        <v>44689</v>
      </c>
      <c r="D417" s="20">
        <v>0.42527777777777798</v>
      </c>
      <c r="E417" t="s">
        <v>900</v>
      </c>
      <c r="F417" t="s">
        <v>754</v>
      </c>
    </row>
    <row r="418" spans="1:6" x14ac:dyDescent="0.25">
      <c r="A418" t="s">
        <v>876</v>
      </c>
      <c r="B418" t="s">
        <v>33</v>
      </c>
      <c r="C418" s="52">
        <v>44689</v>
      </c>
      <c r="D418" s="20" t="s">
        <v>2442</v>
      </c>
      <c r="E418" t="s">
        <v>877</v>
      </c>
      <c r="F418" t="s">
        <v>754</v>
      </c>
    </row>
    <row r="419" spans="1:6" x14ac:dyDescent="0.25">
      <c r="A419" t="s">
        <v>878</v>
      </c>
      <c r="B419" t="s">
        <v>882</v>
      </c>
      <c r="C419" s="52">
        <v>44689</v>
      </c>
      <c r="D419" s="20">
        <v>0.43753472222222201</v>
      </c>
      <c r="E419" t="s">
        <v>900</v>
      </c>
      <c r="F419" t="s">
        <v>754</v>
      </c>
    </row>
    <row r="420" spans="1:6" x14ac:dyDescent="0.25">
      <c r="A420" t="s">
        <v>876</v>
      </c>
      <c r="B420" t="s">
        <v>33</v>
      </c>
      <c r="C420" s="52">
        <v>44689</v>
      </c>
      <c r="D420" s="20" t="s">
        <v>2443</v>
      </c>
      <c r="E420" t="s">
        <v>877</v>
      </c>
      <c r="F420" t="s">
        <v>754</v>
      </c>
    </row>
    <row r="421" spans="1:6" x14ac:dyDescent="0.25">
      <c r="A421" t="s">
        <v>878</v>
      </c>
      <c r="B421" t="s">
        <v>882</v>
      </c>
      <c r="C421" s="52">
        <v>44689</v>
      </c>
      <c r="D421" s="20">
        <v>0.455509259259259</v>
      </c>
      <c r="E421" t="s">
        <v>900</v>
      </c>
      <c r="F421" t="s">
        <v>754</v>
      </c>
    </row>
    <row r="422" spans="1:6" x14ac:dyDescent="0.25">
      <c r="A422" t="s">
        <v>876</v>
      </c>
      <c r="B422" t="s">
        <v>33</v>
      </c>
      <c r="C422" s="52">
        <v>44689</v>
      </c>
      <c r="D422" s="20" t="s">
        <v>2444</v>
      </c>
      <c r="E422" t="s">
        <v>877</v>
      </c>
      <c r="F422" t="s">
        <v>754</v>
      </c>
    </row>
    <row r="423" spans="1:6" x14ac:dyDescent="0.25">
      <c r="A423" t="s">
        <v>878</v>
      </c>
      <c r="B423" t="s">
        <v>882</v>
      </c>
      <c r="C423" s="52">
        <v>44689</v>
      </c>
      <c r="D423" s="20">
        <v>0.46503472222222197</v>
      </c>
      <c r="E423" t="s">
        <v>900</v>
      </c>
      <c r="F423" t="s">
        <v>754</v>
      </c>
    </row>
    <row r="424" spans="1:6" x14ac:dyDescent="0.25">
      <c r="A424" t="s">
        <v>876</v>
      </c>
      <c r="B424" t="s">
        <v>33</v>
      </c>
      <c r="C424" s="52">
        <v>44689</v>
      </c>
      <c r="D424" s="20" t="s">
        <v>2445</v>
      </c>
      <c r="E424" t="s">
        <v>877</v>
      </c>
      <c r="F424" t="s">
        <v>754</v>
      </c>
    </row>
    <row r="425" spans="1:6" x14ac:dyDescent="0.25">
      <c r="A425" t="s">
        <v>878</v>
      </c>
      <c r="B425" t="s">
        <v>882</v>
      </c>
      <c r="C425" s="52">
        <v>44689</v>
      </c>
      <c r="D425" s="20">
        <v>0.47884259259259299</v>
      </c>
      <c r="E425" t="s">
        <v>900</v>
      </c>
      <c r="F425" t="s">
        <v>754</v>
      </c>
    </row>
    <row r="426" spans="1:6" x14ac:dyDescent="0.25">
      <c r="A426" t="s">
        <v>876</v>
      </c>
      <c r="B426" t="s">
        <v>33</v>
      </c>
      <c r="C426" s="52">
        <v>44689</v>
      </c>
      <c r="D426" s="20" t="s">
        <v>2446</v>
      </c>
      <c r="E426" t="s">
        <v>877</v>
      </c>
      <c r="F426" t="s">
        <v>754</v>
      </c>
    </row>
    <row r="427" spans="1:6" x14ac:dyDescent="0.25">
      <c r="A427" t="s">
        <v>878</v>
      </c>
      <c r="B427" t="s">
        <v>882</v>
      </c>
      <c r="C427" s="52">
        <v>44689</v>
      </c>
      <c r="D427" s="20">
        <v>0.48837962962963</v>
      </c>
      <c r="E427" t="s">
        <v>900</v>
      </c>
      <c r="F427" t="s">
        <v>754</v>
      </c>
    </row>
    <row r="428" spans="1:6" x14ac:dyDescent="0.25">
      <c r="A428" t="s">
        <v>876</v>
      </c>
      <c r="B428" t="s">
        <v>33</v>
      </c>
      <c r="C428" s="52">
        <v>44689</v>
      </c>
      <c r="D428" s="20" t="s">
        <v>2447</v>
      </c>
      <c r="E428" t="s">
        <v>877</v>
      </c>
      <c r="F428" t="s">
        <v>754</v>
      </c>
    </row>
    <row r="429" spans="1:6" x14ac:dyDescent="0.25">
      <c r="A429" t="s">
        <v>878</v>
      </c>
      <c r="B429" t="s">
        <v>882</v>
      </c>
      <c r="C429" s="52">
        <v>44689</v>
      </c>
      <c r="D429" s="20">
        <v>0.59112268518518496</v>
      </c>
      <c r="E429" t="s">
        <v>900</v>
      </c>
      <c r="F429" t="s">
        <v>754</v>
      </c>
    </row>
    <row r="430" spans="1:6" x14ac:dyDescent="0.25">
      <c r="A430" t="s">
        <v>876</v>
      </c>
      <c r="B430" t="s">
        <v>33</v>
      </c>
      <c r="C430" s="52">
        <v>44689</v>
      </c>
      <c r="D430" s="20" t="s">
        <v>2448</v>
      </c>
      <c r="E430" t="s">
        <v>877</v>
      </c>
      <c r="F430" t="s">
        <v>754</v>
      </c>
    </row>
    <row r="431" spans="1:6" x14ac:dyDescent="0.25">
      <c r="A431" t="s">
        <v>878</v>
      </c>
      <c r="B431" t="s">
        <v>882</v>
      </c>
      <c r="C431" s="52">
        <v>44689</v>
      </c>
      <c r="D431" s="20">
        <v>0.60688657407407398</v>
      </c>
      <c r="E431" t="s">
        <v>900</v>
      </c>
      <c r="F431" t="s">
        <v>754</v>
      </c>
    </row>
    <row r="432" spans="1:6" x14ac:dyDescent="0.25">
      <c r="A432" t="s">
        <v>876</v>
      </c>
      <c r="B432" t="s">
        <v>33</v>
      </c>
      <c r="C432" s="52">
        <v>44689</v>
      </c>
      <c r="D432" s="20" t="s">
        <v>2449</v>
      </c>
      <c r="E432" t="s">
        <v>877</v>
      </c>
      <c r="F432" t="s">
        <v>754</v>
      </c>
    </row>
    <row r="433" spans="1:6" x14ac:dyDescent="0.25">
      <c r="A433" t="s">
        <v>878</v>
      </c>
      <c r="B433" t="s">
        <v>882</v>
      </c>
      <c r="C433" s="52">
        <v>44689</v>
      </c>
      <c r="D433" s="20">
        <v>0.65562500000000001</v>
      </c>
      <c r="E433" t="s">
        <v>900</v>
      </c>
      <c r="F433" t="s">
        <v>754</v>
      </c>
    </row>
    <row r="434" spans="1:6" x14ac:dyDescent="0.25">
      <c r="A434" t="s">
        <v>876</v>
      </c>
      <c r="B434" t="s">
        <v>33</v>
      </c>
      <c r="C434" s="52">
        <v>44689</v>
      </c>
      <c r="D434" s="20" t="s">
        <v>2450</v>
      </c>
      <c r="E434" t="s">
        <v>877</v>
      </c>
      <c r="F434" t="s">
        <v>754</v>
      </c>
    </row>
    <row r="435" spans="1:6" x14ac:dyDescent="0.25">
      <c r="A435" t="s">
        <v>878</v>
      </c>
      <c r="B435" t="s">
        <v>882</v>
      </c>
      <c r="C435" s="52">
        <v>44689</v>
      </c>
      <c r="D435" s="20">
        <v>0.669756944444444</v>
      </c>
      <c r="E435" t="s">
        <v>900</v>
      </c>
      <c r="F435" t="s">
        <v>754</v>
      </c>
    </row>
    <row r="436" spans="1:6" x14ac:dyDescent="0.25">
      <c r="A436" t="s">
        <v>876</v>
      </c>
      <c r="B436" t="s">
        <v>33</v>
      </c>
      <c r="C436" s="52">
        <v>44689</v>
      </c>
      <c r="D436" s="20" t="s">
        <v>2451</v>
      </c>
      <c r="E436" t="s">
        <v>877</v>
      </c>
      <c r="F436" t="s">
        <v>754</v>
      </c>
    </row>
    <row r="437" spans="1:6" x14ac:dyDescent="0.25">
      <c r="A437" t="s">
        <v>878</v>
      </c>
      <c r="B437" t="s">
        <v>882</v>
      </c>
      <c r="C437" s="52">
        <v>44689</v>
      </c>
      <c r="D437" s="20">
        <v>0.67418981481481499</v>
      </c>
      <c r="E437" t="s">
        <v>900</v>
      </c>
      <c r="F437" t="s">
        <v>754</v>
      </c>
    </row>
    <row r="438" spans="1:6" x14ac:dyDescent="0.25">
      <c r="A438" t="s">
        <v>876</v>
      </c>
      <c r="B438" t="s">
        <v>33</v>
      </c>
      <c r="C438" s="52">
        <v>44689</v>
      </c>
      <c r="D438" s="20" t="s">
        <v>2452</v>
      </c>
      <c r="E438" t="s">
        <v>877</v>
      </c>
      <c r="F438" t="s">
        <v>754</v>
      </c>
    </row>
    <row r="439" spans="1:6" x14ac:dyDescent="0.25">
      <c r="A439" t="s">
        <v>878</v>
      </c>
      <c r="B439" t="s">
        <v>882</v>
      </c>
      <c r="C439" s="52">
        <v>44689</v>
      </c>
      <c r="D439" s="20">
        <v>0.71495370370370404</v>
      </c>
      <c r="E439" t="s">
        <v>717</v>
      </c>
      <c r="F439" t="s">
        <v>754</v>
      </c>
    </row>
    <row r="440" spans="1:6" x14ac:dyDescent="0.25">
      <c r="A440" t="s">
        <v>876</v>
      </c>
      <c r="B440" t="s">
        <v>33</v>
      </c>
      <c r="C440" s="52">
        <v>44689</v>
      </c>
      <c r="D440" s="20" t="s">
        <v>2453</v>
      </c>
      <c r="E440" t="s">
        <v>877</v>
      </c>
      <c r="F440" t="s">
        <v>754</v>
      </c>
    </row>
    <row r="441" spans="1:6" x14ac:dyDescent="0.25">
      <c r="A441" t="s">
        <v>878</v>
      </c>
      <c r="B441" t="s">
        <v>882</v>
      </c>
      <c r="C441" s="52">
        <v>44689</v>
      </c>
      <c r="D441" s="20">
        <v>0.77427083333333302</v>
      </c>
      <c r="E441" t="s">
        <v>717</v>
      </c>
      <c r="F441" t="s">
        <v>754</v>
      </c>
    </row>
    <row r="442" spans="1:6" x14ac:dyDescent="0.25">
      <c r="A442" t="s">
        <v>876</v>
      </c>
      <c r="B442" t="s">
        <v>33</v>
      </c>
      <c r="C442" s="52">
        <v>44689</v>
      </c>
      <c r="D442" s="20" t="s">
        <v>2454</v>
      </c>
      <c r="E442" t="s">
        <v>877</v>
      </c>
      <c r="F442" t="s">
        <v>754</v>
      </c>
    </row>
    <row r="443" spans="1:6" x14ac:dyDescent="0.25">
      <c r="A443" t="s">
        <v>878</v>
      </c>
      <c r="B443" t="s">
        <v>882</v>
      </c>
      <c r="C443" s="52">
        <v>44689</v>
      </c>
      <c r="D443" s="20">
        <v>0.80163194444444397</v>
      </c>
      <c r="E443" t="s">
        <v>717</v>
      </c>
      <c r="F443" t="s">
        <v>754</v>
      </c>
    </row>
    <row r="444" spans="1:6" x14ac:dyDescent="0.25">
      <c r="A444" t="s">
        <v>876</v>
      </c>
      <c r="B444" t="s">
        <v>33</v>
      </c>
      <c r="C444" s="52">
        <v>44689</v>
      </c>
      <c r="D444" s="20" t="s">
        <v>2455</v>
      </c>
      <c r="E444" t="s">
        <v>877</v>
      </c>
      <c r="F444" t="s">
        <v>754</v>
      </c>
    </row>
    <row r="445" spans="1:6" x14ac:dyDescent="0.25">
      <c r="A445" t="s">
        <v>878</v>
      </c>
      <c r="B445" t="s">
        <v>882</v>
      </c>
      <c r="C445" s="52">
        <v>44689</v>
      </c>
      <c r="D445" s="20">
        <v>0.92520833333333297</v>
      </c>
      <c r="E445" t="s">
        <v>718</v>
      </c>
      <c r="F445" t="s">
        <v>754</v>
      </c>
    </row>
    <row r="446" spans="1:6" x14ac:dyDescent="0.25">
      <c r="A446" t="s">
        <v>876</v>
      </c>
      <c r="B446" t="s">
        <v>33</v>
      </c>
      <c r="C446" s="52">
        <v>44689</v>
      </c>
      <c r="D446" s="20" t="s">
        <v>2456</v>
      </c>
      <c r="E446" t="s">
        <v>877</v>
      </c>
      <c r="F446" t="s">
        <v>754</v>
      </c>
    </row>
    <row r="447" spans="1:6" x14ac:dyDescent="0.25">
      <c r="A447" t="s">
        <v>878</v>
      </c>
      <c r="B447" t="s">
        <v>882</v>
      </c>
      <c r="C447" s="52">
        <v>44689</v>
      </c>
      <c r="D447" s="20">
        <v>0.95811342592592597</v>
      </c>
      <c r="E447" t="s">
        <v>718</v>
      </c>
      <c r="F447" t="s">
        <v>754</v>
      </c>
    </row>
    <row r="448" spans="1:6" x14ac:dyDescent="0.25">
      <c r="A448" t="s">
        <v>876</v>
      </c>
      <c r="B448" t="s">
        <v>33</v>
      </c>
      <c r="C448" s="52">
        <v>44720</v>
      </c>
      <c r="D448" s="20" t="s">
        <v>2457</v>
      </c>
      <c r="E448" t="s">
        <v>877</v>
      </c>
      <c r="F448" t="s">
        <v>754</v>
      </c>
    </row>
    <row r="449" spans="1:6" x14ac:dyDescent="0.25">
      <c r="A449" t="s">
        <v>878</v>
      </c>
      <c r="B449" t="s">
        <v>882</v>
      </c>
      <c r="C449" s="52">
        <v>44720</v>
      </c>
      <c r="D449" s="20">
        <v>0.63506944444444402</v>
      </c>
      <c r="E449" t="s">
        <v>900</v>
      </c>
      <c r="F449" t="s">
        <v>754</v>
      </c>
    </row>
    <row r="450" spans="1:6" x14ac:dyDescent="0.25">
      <c r="A450" t="s">
        <v>876</v>
      </c>
      <c r="B450" t="s">
        <v>33</v>
      </c>
      <c r="C450" s="52">
        <v>44750</v>
      </c>
      <c r="D450" s="20" t="s">
        <v>2458</v>
      </c>
      <c r="E450" t="s">
        <v>877</v>
      </c>
      <c r="F450" t="s">
        <v>754</v>
      </c>
    </row>
    <row r="451" spans="1:6" x14ac:dyDescent="0.25">
      <c r="A451" t="s">
        <v>878</v>
      </c>
      <c r="B451" t="s">
        <v>882</v>
      </c>
      <c r="C451" s="52">
        <v>44750</v>
      </c>
      <c r="D451" s="20">
        <v>0.59810185185185205</v>
      </c>
      <c r="E451" t="s">
        <v>900</v>
      </c>
      <c r="F451" t="s">
        <v>754</v>
      </c>
    </row>
    <row r="452" spans="1:6" x14ac:dyDescent="0.25">
      <c r="A452" t="s">
        <v>876</v>
      </c>
      <c r="B452" t="s">
        <v>32</v>
      </c>
      <c r="C452" s="52">
        <v>44569</v>
      </c>
      <c r="D452" s="20" t="s">
        <v>1487</v>
      </c>
      <c r="E452" t="s">
        <v>877</v>
      </c>
      <c r="F452" t="s">
        <v>754</v>
      </c>
    </row>
    <row r="453" spans="1:6" x14ac:dyDescent="0.25">
      <c r="A453" t="s">
        <v>878</v>
      </c>
      <c r="B453" t="s">
        <v>883</v>
      </c>
      <c r="C453" s="52">
        <v>44569</v>
      </c>
      <c r="D453" s="20">
        <v>0.44003472222222201</v>
      </c>
      <c r="E453" t="s">
        <v>719</v>
      </c>
      <c r="F453" t="s">
        <v>754</v>
      </c>
    </row>
    <row r="454" spans="1:6" x14ac:dyDescent="0.25">
      <c r="A454" t="s">
        <v>876</v>
      </c>
      <c r="B454" t="s">
        <v>32</v>
      </c>
      <c r="C454" s="52">
        <v>44569</v>
      </c>
      <c r="D454" s="20" t="s">
        <v>1488</v>
      </c>
      <c r="E454" t="s">
        <v>877</v>
      </c>
      <c r="F454" t="s">
        <v>754</v>
      </c>
    </row>
    <row r="455" spans="1:6" x14ac:dyDescent="0.25">
      <c r="A455" t="s">
        <v>878</v>
      </c>
      <c r="B455" t="s">
        <v>883</v>
      </c>
      <c r="C455" s="52">
        <v>44569</v>
      </c>
      <c r="D455" s="20">
        <v>0.44152777777777802</v>
      </c>
      <c r="E455" t="s">
        <v>719</v>
      </c>
      <c r="F455" t="s">
        <v>754</v>
      </c>
    </row>
    <row r="456" spans="1:6" x14ac:dyDescent="0.25">
      <c r="A456" t="s">
        <v>876</v>
      </c>
      <c r="B456" t="s">
        <v>32</v>
      </c>
      <c r="C456" s="52">
        <v>44569</v>
      </c>
      <c r="D456" s="20" t="s">
        <v>1489</v>
      </c>
      <c r="E456" t="s">
        <v>877</v>
      </c>
      <c r="F456" t="s">
        <v>754</v>
      </c>
    </row>
    <row r="457" spans="1:6" x14ac:dyDescent="0.25">
      <c r="A457" t="s">
        <v>878</v>
      </c>
      <c r="B457" t="s">
        <v>883</v>
      </c>
      <c r="C457" s="52">
        <v>44569</v>
      </c>
      <c r="D457" s="20">
        <v>0.90226851851851897</v>
      </c>
      <c r="E457" t="s">
        <v>720</v>
      </c>
      <c r="F457" t="s">
        <v>754</v>
      </c>
    </row>
    <row r="458" spans="1:6" x14ac:dyDescent="0.25">
      <c r="A458" t="s">
        <v>876</v>
      </c>
      <c r="B458" t="s">
        <v>32</v>
      </c>
      <c r="C458" s="52">
        <v>44600</v>
      </c>
      <c r="D458" s="20" t="s">
        <v>850</v>
      </c>
      <c r="E458" t="s">
        <v>877</v>
      </c>
      <c r="F458" t="s">
        <v>754</v>
      </c>
    </row>
    <row r="459" spans="1:6" x14ac:dyDescent="0.25">
      <c r="A459" t="s">
        <v>878</v>
      </c>
      <c r="B459" t="s">
        <v>883</v>
      </c>
      <c r="C459" s="52">
        <v>44600</v>
      </c>
      <c r="D459" s="20">
        <v>0.61825231481481502</v>
      </c>
      <c r="E459" t="s">
        <v>719</v>
      </c>
      <c r="F459" t="s">
        <v>754</v>
      </c>
    </row>
    <row r="460" spans="1:6" x14ac:dyDescent="0.25">
      <c r="A460" t="s">
        <v>876</v>
      </c>
      <c r="B460" t="s">
        <v>32</v>
      </c>
      <c r="C460" s="52">
        <v>44600</v>
      </c>
      <c r="D460" s="20" t="s">
        <v>851</v>
      </c>
      <c r="E460" t="s">
        <v>877</v>
      </c>
      <c r="F460" t="s">
        <v>754</v>
      </c>
    </row>
    <row r="461" spans="1:6" x14ac:dyDescent="0.25">
      <c r="A461" t="s">
        <v>878</v>
      </c>
      <c r="B461" t="s">
        <v>883</v>
      </c>
      <c r="C461" s="52">
        <v>44600</v>
      </c>
      <c r="D461" s="20">
        <v>0.80483796296296295</v>
      </c>
      <c r="E461" t="s">
        <v>720</v>
      </c>
      <c r="F461" t="s">
        <v>754</v>
      </c>
    </row>
    <row r="462" spans="1:6" x14ac:dyDescent="0.25">
      <c r="A462" t="s">
        <v>876</v>
      </c>
      <c r="B462" t="s">
        <v>32</v>
      </c>
      <c r="C462" s="52">
        <v>44600</v>
      </c>
      <c r="D462" s="20" t="s">
        <v>852</v>
      </c>
      <c r="E462" t="s">
        <v>877</v>
      </c>
      <c r="F462" t="s">
        <v>754</v>
      </c>
    </row>
    <row r="463" spans="1:6" x14ac:dyDescent="0.25">
      <c r="A463" t="s">
        <v>878</v>
      </c>
      <c r="B463" t="s">
        <v>883</v>
      </c>
      <c r="C463" s="52">
        <v>44600</v>
      </c>
      <c r="D463" s="20">
        <v>0.89217592592592598</v>
      </c>
      <c r="E463" t="s">
        <v>720</v>
      </c>
      <c r="F463" t="s">
        <v>754</v>
      </c>
    </row>
    <row r="464" spans="1:6" x14ac:dyDescent="0.25">
      <c r="A464" t="s">
        <v>876</v>
      </c>
      <c r="B464" t="s">
        <v>32</v>
      </c>
      <c r="C464" s="52">
        <v>44600</v>
      </c>
      <c r="D464" s="20" t="s">
        <v>853</v>
      </c>
      <c r="E464" t="s">
        <v>877</v>
      </c>
      <c r="F464" t="s">
        <v>754</v>
      </c>
    </row>
    <row r="465" spans="1:6" x14ac:dyDescent="0.25">
      <c r="A465" t="s">
        <v>878</v>
      </c>
      <c r="B465" t="s">
        <v>883</v>
      </c>
      <c r="C465" s="52">
        <v>44600</v>
      </c>
      <c r="D465" s="20">
        <v>0.89348379629629604</v>
      </c>
      <c r="E465" t="s">
        <v>720</v>
      </c>
      <c r="F465" t="s">
        <v>754</v>
      </c>
    </row>
    <row r="466" spans="1:6" x14ac:dyDescent="0.25">
      <c r="A466" t="s">
        <v>876</v>
      </c>
      <c r="B466" t="s">
        <v>32</v>
      </c>
      <c r="C466" s="52">
        <v>44600</v>
      </c>
      <c r="D466" s="20" t="s">
        <v>854</v>
      </c>
      <c r="E466" t="s">
        <v>877</v>
      </c>
      <c r="F466" t="s">
        <v>754</v>
      </c>
    </row>
    <row r="467" spans="1:6" x14ac:dyDescent="0.25">
      <c r="A467" t="s">
        <v>878</v>
      </c>
      <c r="B467" t="s">
        <v>883</v>
      </c>
      <c r="C467" s="52">
        <v>44600</v>
      </c>
      <c r="D467" s="20">
        <v>0.89518518518518497</v>
      </c>
      <c r="E467" t="s">
        <v>720</v>
      </c>
      <c r="F467" t="s">
        <v>754</v>
      </c>
    </row>
    <row r="468" spans="1:6" x14ac:dyDescent="0.25">
      <c r="A468" t="s">
        <v>876</v>
      </c>
      <c r="B468" t="s">
        <v>32</v>
      </c>
      <c r="C468" s="52">
        <v>44628</v>
      </c>
      <c r="D468" s="20" t="s">
        <v>1298</v>
      </c>
      <c r="E468" t="s">
        <v>877</v>
      </c>
      <c r="F468" t="s">
        <v>754</v>
      </c>
    </row>
    <row r="469" spans="1:6" x14ac:dyDescent="0.25">
      <c r="A469" t="s">
        <v>878</v>
      </c>
      <c r="B469" t="s">
        <v>883</v>
      </c>
      <c r="C469" s="52">
        <v>44628</v>
      </c>
      <c r="D469" s="20">
        <v>0.35501157407407402</v>
      </c>
      <c r="E469" t="s">
        <v>719</v>
      </c>
      <c r="F469" t="s">
        <v>754</v>
      </c>
    </row>
    <row r="470" spans="1:6" x14ac:dyDescent="0.25">
      <c r="A470" t="s">
        <v>876</v>
      </c>
      <c r="B470" t="s">
        <v>32</v>
      </c>
      <c r="C470" s="52">
        <v>44628</v>
      </c>
      <c r="D470" s="20" t="s">
        <v>1299</v>
      </c>
      <c r="E470" t="s">
        <v>877</v>
      </c>
      <c r="F470" t="s">
        <v>754</v>
      </c>
    </row>
    <row r="471" spans="1:6" x14ac:dyDescent="0.25">
      <c r="A471" t="s">
        <v>878</v>
      </c>
      <c r="B471" t="s">
        <v>883</v>
      </c>
      <c r="C471" s="52">
        <v>44628</v>
      </c>
      <c r="D471" s="20">
        <v>0.58302083333333299</v>
      </c>
      <c r="E471" t="s">
        <v>719</v>
      </c>
      <c r="F471" t="s">
        <v>754</v>
      </c>
    </row>
    <row r="472" spans="1:6" x14ac:dyDescent="0.25">
      <c r="A472" t="s">
        <v>876</v>
      </c>
      <c r="B472" t="s">
        <v>32</v>
      </c>
      <c r="C472" s="52">
        <v>44628</v>
      </c>
      <c r="D472" s="20" t="s">
        <v>1300</v>
      </c>
      <c r="E472" t="s">
        <v>877</v>
      </c>
      <c r="F472" t="s">
        <v>754</v>
      </c>
    </row>
    <row r="473" spans="1:6" x14ac:dyDescent="0.25">
      <c r="A473" t="s">
        <v>878</v>
      </c>
      <c r="B473" t="s">
        <v>883</v>
      </c>
      <c r="C473" s="52">
        <v>44628</v>
      </c>
      <c r="D473" s="20">
        <v>0.60347222222222197</v>
      </c>
      <c r="E473" t="s">
        <v>719</v>
      </c>
      <c r="F473" t="s">
        <v>754</v>
      </c>
    </row>
    <row r="474" spans="1:6" x14ac:dyDescent="0.25">
      <c r="A474" t="s">
        <v>876</v>
      </c>
      <c r="B474" t="s">
        <v>32</v>
      </c>
      <c r="C474" s="52">
        <v>44628</v>
      </c>
      <c r="D474" s="20" t="s">
        <v>1301</v>
      </c>
      <c r="E474" t="s">
        <v>877</v>
      </c>
      <c r="F474" t="s">
        <v>754</v>
      </c>
    </row>
    <row r="475" spans="1:6" x14ac:dyDescent="0.25">
      <c r="A475" t="s">
        <v>878</v>
      </c>
      <c r="B475" t="s">
        <v>883</v>
      </c>
      <c r="C475" s="52">
        <v>44628</v>
      </c>
      <c r="D475" s="20">
        <v>0.70975694444444404</v>
      </c>
      <c r="E475" t="s">
        <v>719</v>
      </c>
      <c r="F475" t="s">
        <v>754</v>
      </c>
    </row>
    <row r="476" spans="1:6" x14ac:dyDescent="0.25">
      <c r="A476" t="s">
        <v>876</v>
      </c>
      <c r="B476" t="s">
        <v>32</v>
      </c>
      <c r="C476" s="52">
        <v>44659</v>
      </c>
      <c r="D476" s="20" t="s">
        <v>944</v>
      </c>
      <c r="E476" t="s">
        <v>877</v>
      </c>
      <c r="F476" t="s">
        <v>754</v>
      </c>
    </row>
    <row r="477" spans="1:6" x14ac:dyDescent="0.25">
      <c r="A477" t="s">
        <v>878</v>
      </c>
      <c r="B477" t="s">
        <v>883</v>
      </c>
      <c r="C477" s="52">
        <v>44659</v>
      </c>
      <c r="D477" s="20">
        <v>0.30394675925925901</v>
      </c>
      <c r="E477" t="s">
        <v>719</v>
      </c>
      <c r="F477" t="s">
        <v>754</v>
      </c>
    </row>
    <row r="478" spans="1:6" x14ac:dyDescent="0.25">
      <c r="A478" t="s">
        <v>876</v>
      </c>
      <c r="B478" t="s">
        <v>32</v>
      </c>
      <c r="C478" s="52">
        <v>44659</v>
      </c>
      <c r="D478" s="20" t="s">
        <v>945</v>
      </c>
      <c r="E478" t="s">
        <v>877</v>
      </c>
      <c r="F478" t="s">
        <v>754</v>
      </c>
    </row>
    <row r="479" spans="1:6" x14ac:dyDescent="0.25">
      <c r="A479" t="s">
        <v>878</v>
      </c>
      <c r="B479" t="s">
        <v>883</v>
      </c>
      <c r="C479" s="52">
        <v>44659</v>
      </c>
      <c r="D479" s="20">
        <v>0.3565625</v>
      </c>
      <c r="E479" t="s">
        <v>719</v>
      </c>
      <c r="F479" t="s">
        <v>754</v>
      </c>
    </row>
    <row r="480" spans="1:6" x14ac:dyDescent="0.25">
      <c r="A480" t="s">
        <v>876</v>
      </c>
      <c r="B480" t="s">
        <v>32</v>
      </c>
      <c r="C480" s="52">
        <v>44659</v>
      </c>
      <c r="D480" s="20" t="s">
        <v>946</v>
      </c>
      <c r="E480" t="s">
        <v>877</v>
      </c>
      <c r="F480" t="s">
        <v>754</v>
      </c>
    </row>
    <row r="481" spans="1:6" x14ac:dyDescent="0.25">
      <c r="A481" t="s">
        <v>878</v>
      </c>
      <c r="B481" t="s">
        <v>883</v>
      </c>
      <c r="C481" s="52">
        <v>44659</v>
      </c>
      <c r="D481" s="20">
        <v>0.38383101851851897</v>
      </c>
      <c r="E481" t="s">
        <v>719</v>
      </c>
      <c r="F481" t="s">
        <v>754</v>
      </c>
    </row>
    <row r="482" spans="1:6" x14ac:dyDescent="0.25">
      <c r="A482" t="s">
        <v>876</v>
      </c>
      <c r="B482" t="s">
        <v>32</v>
      </c>
      <c r="C482" s="52">
        <v>44659</v>
      </c>
      <c r="D482" s="20" t="s">
        <v>947</v>
      </c>
      <c r="E482" t="s">
        <v>877</v>
      </c>
      <c r="F482" t="s">
        <v>754</v>
      </c>
    </row>
    <row r="483" spans="1:6" x14ac:dyDescent="0.25">
      <c r="A483" t="s">
        <v>878</v>
      </c>
      <c r="B483" t="s">
        <v>883</v>
      </c>
      <c r="C483" s="52">
        <v>44659</v>
      </c>
      <c r="D483" s="20">
        <v>0.68482638888888903</v>
      </c>
      <c r="E483" t="s">
        <v>719</v>
      </c>
      <c r="F483" t="s">
        <v>754</v>
      </c>
    </row>
    <row r="484" spans="1:6" x14ac:dyDescent="0.25">
      <c r="A484" t="s">
        <v>876</v>
      </c>
      <c r="B484" t="s">
        <v>32</v>
      </c>
      <c r="C484" s="52">
        <v>44659</v>
      </c>
      <c r="D484" s="20" t="s">
        <v>948</v>
      </c>
      <c r="E484" t="s">
        <v>877</v>
      </c>
      <c r="F484" t="s">
        <v>754</v>
      </c>
    </row>
    <row r="485" spans="1:6" x14ac:dyDescent="0.25">
      <c r="A485" t="s">
        <v>878</v>
      </c>
      <c r="B485" t="s">
        <v>883</v>
      </c>
      <c r="C485" s="52">
        <v>44659</v>
      </c>
      <c r="D485" s="20">
        <v>0.68585648148148104</v>
      </c>
      <c r="E485" t="s">
        <v>719</v>
      </c>
      <c r="F485" t="s">
        <v>754</v>
      </c>
    </row>
    <row r="486" spans="1:6" x14ac:dyDescent="0.25">
      <c r="A486" t="s">
        <v>876</v>
      </c>
      <c r="B486" t="s">
        <v>32</v>
      </c>
      <c r="C486" s="52">
        <v>44659</v>
      </c>
      <c r="D486" s="20" t="s">
        <v>949</v>
      </c>
      <c r="E486" t="s">
        <v>877</v>
      </c>
      <c r="F486" t="s">
        <v>754</v>
      </c>
    </row>
    <row r="487" spans="1:6" x14ac:dyDescent="0.25">
      <c r="A487" t="s">
        <v>878</v>
      </c>
      <c r="B487" t="s">
        <v>883</v>
      </c>
      <c r="C487" s="52">
        <v>44659</v>
      </c>
      <c r="D487" s="20">
        <v>0.72486111111111096</v>
      </c>
      <c r="E487" t="s">
        <v>901</v>
      </c>
      <c r="F487" t="s">
        <v>754</v>
      </c>
    </row>
    <row r="488" spans="1:6" x14ac:dyDescent="0.25">
      <c r="A488" t="s">
        <v>876</v>
      </c>
      <c r="B488" t="s">
        <v>32</v>
      </c>
      <c r="C488" s="52">
        <v>44659</v>
      </c>
      <c r="D488" s="20" t="s">
        <v>950</v>
      </c>
      <c r="E488" t="s">
        <v>877</v>
      </c>
      <c r="F488" t="s">
        <v>754</v>
      </c>
    </row>
    <row r="489" spans="1:6" x14ac:dyDescent="0.25">
      <c r="A489" t="s">
        <v>878</v>
      </c>
      <c r="B489" t="s">
        <v>883</v>
      </c>
      <c r="C489" s="52">
        <v>44659</v>
      </c>
      <c r="D489" s="20">
        <v>0.77501157407407395</v>
      </c>
      <c r="E489" t="s">
        <v>720</v>
      </c>
      <c r="F489" t="s">
        <v>754</v>
      </c>
    </row>
    <row r="490" spans="1:6" x14ac:dyDescent="0.25">
      <c r="A490" t="s">
        <v>876</v>
      </c>
      <c r="B490" t="s">
        <v>32</v>
      </c>
      <c r="C490" s="52">
        <v>44659</v>
      </c>
      <c r="D490" s="20" t="s">
        <v>951</v>
      </c>
      <c r="E490" t="s">
        <v>877</v>
      </c>
      <c r="F490" t="s">
        <v>754</v>
      </c>
    </row>
    <row r="491" spans="1:6" x14ac:dyDescent="0.25">
      <c r="A491" t="s">
        <v>878</v>
      </c>
      <c r="B491" t="s">
        <v>883</v>
      </c>
      <c r="C491" s="52">
        <v>44659</v>
      </c>
      <c r="D491" s="20">
        <v>0.77725694444444404</v>
      </c>
      <c r="E491" t="s">
        <v>720</v>
      </c>
      <c r="F491" t="s">
        <v>754</v>
      </c>
    </row>
    <row r="492" spans="1:6" x14ac:dyDescent="0.25">
      <c r="A492" t="s">
        <v>876</v>
      </c>
      <c r="B492" t="s">
        <v>32</v>
      </c>
      <c r="C492" s="52">
        <v>44659</v>
      </c>
      <c r="D492" s="20" t="s">
        <v>952</v>
      </c>
      <c r="E492" t="s">
        <v>877</v>
      </c>
      <c r="F492" t="s">
        <v>754</v>
      </c>
    </row>
    <row r="493" spans="1:6" x14ac:dyDescent="0.25">
      <c r="A493" t="s">
        <v>878</v>
      </c>
      <c r="B493" t="s">
        <v>883</v>
      </c>
      <c r="C493" s="52">
        <v>44659</v>
      </c>
      <c r="D493" s="20">
        <v>0.78798611111111105</v>
      </c>
      <c r="E493" t="s">
        <v>720</v>
      </c>
      <c r="F493" t="s">
        <v>754</v>
      </c>
    </row>
    <row r="494" spans="1:6" x14ac:dyDescent="0.25">
      <c r="A494" t="s">
        <v>876</v>
      </c>
      <c r="B494" t="s">
        <v>32</v>
      </c>
      <c r="C494" s="52">
        <v>44659</v>
      </c>
      <c r="D494" s="20" t="s">
        <v>953</v>
      </c>
      <c r="E494" t="s">
        <v>877</v>
      </c>
      <c r="F494" t="s">
        <v>754</v>
      </c>
    </row>
    <row r="495" spans="1:6" x14ac:dyDescent="0.25">
      <c r="A495" t="s">
        <v>878</v>
      </c>
      <c r="B495" t="s">
        <v>883</v>
      </c>
      <c r="C495" s="52">
        <v>44659</v>
      </c>
      <c r="D495" s="20">
        <v>0.789791666666667</v>
      </c>
      <c r="E495" t="s">
        <v>720</v>
      </c>
      <c r="F495" t="s">
        <v>754</v>
      </c>
    </row>
    <row r="496" spans="1:6" x14ac:dyDescent="0.25">
      <c r="A496" t="s">
        <v>876</v>
      </c>
      <c r="B496" t="s">
        <v>32</v>
      </c>
      <c r="C496" s="52">
        <v>44659</v>
      </c>
      <c r="D496" s="20" t="s">
        <v>954</v>
      </c>
      <c r="E496" t="s">
        <v>877</v>
      </c>
      <c r="F496" t="s">
        <v>754</v>
      </c>
    </row>
    <row r="497" spans="1:6" x14ac:dyDescent="0.25">
      <c r="A497" t="s">
        <v>878</v>
      </c>
      <c r="B497" t="s">
        <v>883</v>
      </c>
      <c r="C497" s="52">
        <v>44659</v>
      </c>
      <c r="D497" s="20">
        <v>0.79182870370370395</v>
      </c>
      <c r="E497" t="s">
        <v>720</v>
      </c>
      <c r="F497" t="s">
        <v>754</v>
      </c>
    </row>
    <row r="498" spans="1:6" x14ac:dyDescent="0.25">
      <c r="A498" t="s">
        <v>876</v>
      </c>
      <c r="B498" t="s">
        <v>32</v>
      </c>
      <c r="C498" s="52">
        <v>44659</v>
      </c>
      <c r="D498" s="20" t="s">
        <v>955</v>
      </c>
      <c r="E498" t="s">
        <v>877</v>
      </c>
      <c r="F498" t="s">
        <v>754</v>
      </c>
    </row>
    <row r="499" spans="1:6" x14ac:dyDescent="0.25">
      <c r="A499" t="s">
        <v>878</v>
      </c>
      <c r="B499" t="s">
        <v>883</v>
      </c>
      <c r="C499" s="52">
        <v>44659</v>
      </c>
      <c r="D499" s="20">
        <v>0.88351851851851804</v>
      </c>
      <c r="E499" t="s">
        <v>720</v>
      </c>
      <c r="F499" t="s">
        <v>754</v>
      </c>
    </row>
    <row r="500" spans="1:6" x14ac:dyDescent="0.25">
      <c r="A500" t="s">
        <v>876</v>
      </c>
      <c r="B500" t="s">
        <v>32</v>
      </c>
      <c r="C500" s="52">
        <v>44659</v>
      </c>
      <c r="D500" s="20" t="s">
        <v>956</v>
      </c>
      <c r="E500" t="s">
        <v>877</v>
      </c>
      <c r="F500" t="s">
        <v>754</v>
      </c>
    </row>
    <row r="501" spans="1:6" x14ac:dyDescent="0.25">
      <c r="A501" t="s">
        <v>878</v>
      </c>
      <c r="B501" t="s">
        <v>883</v>
      </c>
      <c r="C501" s="52">
        <v>44659</v>
      </c>
      <c r="D501" s="20">
        <v>0.89356481481481498</v>
      </c>
      <c r="E501" t="s">
        <v>720</v>
      </c>
      <c r="F501" t="s">
        <v>754</v>
      </c>
    </row>
    <row r="502" spans="1:6" x14ac:dyDescent="0.25">
      <c r="A502" t="s">
        <v>876</v>
      </c>
      <c r="B502" t="s">
        <v>32</v>
      </c>
      <c r="C502" s="52">
        <v>44659</v>
      </c>
      <c r="D502" s="20" t="s">
        <v>957</v>
      </c>
      <c r="E502" t="s">
        <v>877</v>
      </c>
      <c r="F502" t="s">
        <v>754</v>
      </c>
    </row>
    <row r="503" spans="1:6" x14ac:dyDescent="0.25">
      <c r="A503" t="s">
        <v>878</v>
      </c>
      <c r="B503" t="s">
        <v>883</v>
      </c>
      <c r="C503" s="52">
        <v>44659</v>
      </c>
      <c r="D503" s="20">
        <v>0.90524305555555595</v>
      </c>
      <c r="E503" t="s">
        <v>720</v>
      </c>
      <c r="F503" t="s">
        <v>754</v>
      </c>
    </row>
    <row r="504" spans="1:6" x14ac:dyDescent="0.25">
      <c r="A504" t="s">
        <v>876</v>
      </c>
      <c r="B504" t="s">
        <v>32</v>
      </c>
      <c r="C504" s="52">
        <v>44659</v>
      </c>
      <c r="D504" s="20" t="s">
        <v>958</v>
      </c>
      <c r="E504" t="s">
        <v>877</v>
      </c>
      <c r="F504" t="s">
        <v>754</v>
      </c>
    </row>
    <row r="505" spans="1:6" x14ac:dyDescent="0.25">
      <c r="A505" t="s">
        <v>878</v>
      </c>
      <c r="B505" t="s">
        <v>883</v>
      </c>
      <c r="C505" s="52">
        <v>44659</v>
      </c>
      <c r="D505" s="20">
        <v>0.90666666666666695</v>
      </c>
      <c r="E505" t="s">
        <v>720</v>
      </c>
      <c r="F505" t="s">
        <v>754</v>
      </c>
    </row>
    <row r="506" spans="1:6" x14ac:dyDescent="0.25">
      <c r="A506" t="s">
        <v>876</v>
      </c>
      <c r="B506" t="s">
        <v>32</v>
      </c>
      <c r="C506" s="52">
        <v>44659</v>
      </c>
      <c r="D506" s="20" t="s">
        <v>959</v>
      </c>
      <c r="E506" t="s">
        <v>877</v>
      </c>
      <c r="F506" t="s">
        <v>754</v>
      </c>
    </row>
    <row r="507" spans="1:6" x14ac:dyDescent="0.25">
      <c r="A507" t="s">
        <v>878</v>
      </c>
      <c r="B507" t="s">
        <v>883</v>
      </c>
      <c r="C507" s="52">
        <v>44659</v>
      </c>
      <c r="D507" s="20">
        <v>0.91108796296296302</v>
      </c>
      <c r="E507" t="s">
        <v>720</v>
      </c>
      <c r="F507" t="s">
        <v>754</v>
      </c>
    </row>
    <row r="508" spans="1:6" x14ac:dyDescent="0.25">
      <c r="A508" t="s">
        <v>876</v>
      </c>
      <c r="B508" t="s">
        <v>32</v>
      </c>
      <c r="C508" s="52">
        <v>44659</v>
      </c>
      <c r="D508" s="20" t="s">
        <v>960</v>
      </c>
      <c r="E508" t="s">
        <v>877</v>
      </c>
      <c r="F508" t="s">
        <v>754</v>
      </c>
    </row>
    <row r="509" spans="1:6" x14ac:dyDescent="0.25">
      <c r="A509" t="s">
        <v>878</v>
      </c>
      <c r="B509" t="s">
        <v>883</v>
      </c>
      <c r="C509" s="52">
        <v>44659</v>
      </c>
      <c r="D509" s="20">
        <v>0.92216435185185197</v>
      </c>
      <c r="E509" t="s">
        <v>720</v>
      </c>
      <c r="F509" t="s">
        <v>754</v>
      </c>
    </row>
    <row r="510" spans="1:6" x14ac:dyDescent="0.25">
      <c r="A510" t="s">
        <v>876</v>
      </c>
      <c r="B510" t="s">
        <v>32</v>
      </c>
      <c r="C510" s="52">
        <v>44659</v>
      </c>
      <c r="D510" s="20" t="s">
        <v>961</v>
      </c>
      <c r="E510" t="s">
        <v>877</v>
      </c>
      <c r="F510" t="s">
        <v>754</v>
      </c>
    </row>
    <row r="511" spans="1:6" x14ac:dyDescent="0.25">
      <c r="A511" t="s">
        <v>878</v>
      </c>
      <c r="B511" t="s">
        <v>883</v>
      </c>
      <c r="C511" s="52">
        <v>44659</v>
      </c>
      <c r="D511" s="20">
        <v>0.95528935185185204</v>
      </c>
      <c r="E511" t="s">
        <v>720</v>
      </c>
      <c r="F511" t="s">
        <v>754</v>
      </c>
    </row>
    <row r="512" spans="1:6" x14ac:dyDescent="0.25">
      <c r="A512" t="s">
        <v>876</v>
      </c>
      <c r="B512" t="s">
        <v>32</v>
      </c>
      <c r="C512" s="52">
        <v>44689</v>
      </c>
      <c r="D512" s="20" t="s">
        <v>2459</v>
      </c>
      <c r="E512" t="s">
        <v>877</v>
      </c>
      <c r="F512" t="s">
        <v>754</v>
      </c>
    </row>
    <row r="513" spans="1:6" x14ac:dyDescent="0.25">
      <c r="A513" t="s">
        <v>878</v>
      </c>
      <c r="B513" t="s">
        <v>883</v>
      </c>
      <c r="C513" s="52">
        <v>44689</v>
      </c>
      <c r="D513" s="20">
        <v>0.28483796296296299</v>
      </c>
      <c r="E513" t="s">
        <v>720</v>
      </c>
      <c r="F513" t="s">
        <v>754</v>
      </c>
    </row>
    <row r="514" spans="1:6" x14ac:dyDescent="0.25">
      <c r="A514" t="s">
        <v>876</v>
      </c>
      <c r="B514" t="s">
        <v>32</v>
      </c>
      <c r="C514" s="52">
        <v>44689</v>
      </c>
      <c r="D514" s="20" t="s">
        <v>2460</v>
      </c>
      <c r="E514" t="s">
        <v>877</v>
      </c>
      <c r="F514" t="s">
        <v>754</v>
      </c>
    </row>
    <row r="515" spans="1:6" x14ac:dyDescent="0.25">
      <c r="A515" t="s">
        <v>878</v>
      </c>
      <c r="B515" t="s">
        <v>883</v>
      </c>
      <c r="C515" s="52">
        <v>44689</v>
      </c>
      <c r="D515" s="20">
        <v>0.29942129629629599</v>
      </c>
      <c r="E515" t="s">
        <v>719</v>
      </c>
      <c r="F515" t="s">
        <v>754</v>
      </c>
    </row>
    <row r="516" spans="1:6" x14ac:dyDescent="0.25">
      <c r="A516" t="s">
        <v>876</v>
      </c>
      <c r="B516" t="s">
        <v>32</v>
      </c>
      <c r="C516" s="52">
        <v>44689</v>
      </c>
      <c r="D516" s="20" t="s">
        <v>2461</v>
      </c>
      <c r="E516" t="s">
        <v>877</v>
      </c>
      <c r="F516" t="s">
        <v>754</v>
      </c>
    </row>
    <row r="517" spans="1:6" x14ac:dyDescent="0.25">
      <c r="A517" t="s">
        <v>878</v>
      </c>
      <c r="B517" t="s">
        <v>883</v>
      </c>
      <c r="C517" s="52">
        <v>44689</v>
      </c>
      <c r="D517" s="20">
        <v>0.31601851851851898</v>
      </c>
      <c r="E517" t="s">
        <v>719</v>
      </c>
      <c r="F517" t="s">
        <v>754</v>
      </c>
    </row>
    <row r="518" spans="1:6" x14ac:dyDescent="0.25">
      <c r="A518" t="s">
        <v>876</v>
      </c>
      <c r="B518" t="s">
        <v>32</v>
      </c>
      <c r="C518" s="52">
        <v>44689</v>
      </c>
      <c r="D518" s="20" t="s">
        <v>2462</v>
      </c>
      <c r="E518" t="s">
        <v>877</v>
      </c>
      <c r="F518" t="s">
        <v>754</v>
      </c>
    </row>
    <row r="519" spans="1:6" x14ac:dyDescent="0.25">
      <c r="A519" t="s">
        <v>878</v>
      </c>
      <c r="B519" t="s">
        <v>883</v>
      </c>
      <c r="C519" s="52">
        <v>44689</v>
      </c>
      <c r="D519" s="20">
        <v>0.317002314814815</v>
      </c>
      <c r="E519" t="s">
        <v>719</v>
      </c>
      <c r="F519" t="s">
        <v>754</v>
      </c>
    </row>
    <row r="520" spans="1:6" x14ac:dyDescent="0.25">
      <c r="A520" t="s">
        <v>876</v>
      </c>
      <c r="B520" t="s">
        <v>32</v>
      </c>
      <c r="C520" s="52">
        <v>44689</v>
      </c>
      <c r="D520" s="20" t="s">
        <v>2463</v>
      </c>
      <c r="E520" t="s">
        <v>877</v>
      </c>
      <c r="F520" t="s">
        <v>754</v>
      </c>
    </row>
    <row r="521" spans="1:6" x14ac:dyDescent="0.25">
      <c r="A521" t="s">
        <v>878</v>
      </c>
      <c r="B521" t="s">
        <v>883</v>
      </c>
      <c r="C521" s="52">
        <v>44689</v>
      </c>
      <c r="D521" s="20">
        <v>0.33717592592592599</v>
      </c>
      <c r="E521" t="s">
        <v>719</v>
      </c>
      <c r="F521" t="s">
        <v>754</v>
      </c>
    </row>
    <row r="522" spans="1:6" x14ac:dyDescent="0.25">
      <c r="A522" t="s">
        <v>876</v>
      </c>
      <c r="B522" t="s">
        <v>32</v>
      </c>
      <c r="C522" s="52">
        <v>44689</v>
      </c>
      <c r="D522" s="20" t="s">
        <v>2464</v>
      </c>
      <c r="E522" t="s">
        <v>877</v>
      </c>
      <c r="F522" t="s">
        <v>754</v>
      </c>
    </row>
    <row r="523" spans="1:6" x14ac:dyDescent="0.25">
      <c r="A523" t="s">
        <v>878</v>
      </c>
      <c r="B523" t="s">
        <v>883</v>
      </c>
      <c r="C523" s="52">
        <v>44689</v>
      </c>
      <c r="D523" s="20">
        <v>0.37290509259259302</v>
      </c>
      <c r="E523" t="s">
        <v>719</v>
      </c>
      <c r="F523" t="s">
        <v>754</v>
      </c>
    </row>
    <row r="524" spans="1:6" x14ac:dyDescent="0.25">
      <c r="A524" t="s">
        <v>876</v>
      </c>
      <c r="B524" t="s">
        <v>32</v>
      </c>
      <c r="C524" s="52">
        <v>44689</v>
      </c>
      <c r="D524" s="20" t="s">
        <v>2465</v>
      </c>
      <c r="E524" t="s">
        <v>877</v>
      </c>
      <c r="F524" t="s">
        <v>754</v>
      </c>
    </row>
    <row r="525" spans="1:6" x14ac:dyDescent="0.25">
      <c r="A525" t="s">
        <v>878</v>
      </c>
      <c r="B525" t="s">
        <v>883</v>
      </c>
      <c r="C525" s="52">
        <v>44689</v>
      </c>
      <c r="D525" s="20">
        <v>0.39708333333333301</v>
      </c>
      <c r="E525" t="s">
        <v>719</v>
      </c>
      <c r="F525" t="s">
        <v>754</v>
      </c>
    </row>
    <row r="526" spans="1:6" x14ac:dyDescent="0.25">
      <c r="A526" t="s">
        <v>876</v>
      </c>
      <c r="B526" t="s">
        <v>32</v>
      </c>
      <c r="C526" s="52">
        <v>44689</v>
      </c>
      <c r="D526" s="20" t="s">
        <v>2466</v>
      </c>
      <c r="E526" t="s">
        <v>877</v>
      </c>
      <c r="F526" t="s">
        <v>754</v>
      </c>
    </row>
    <row r="527" spans="1:6" x14ac:dyDescent="0.25">
      <c r="A527" t="s">
        <v>878</v>
      </c>
      <c r="B527" t="s">
        <v>883</v>
      </c>
      <c r="C527" s="52">
        <v>44689</v>
      </c>
      <c r="D527" s="20">
        <v>0.39918981481481502</v>
      </c>
      <c r="E527" t="s">
        <v>719</v>
      </c>
      <c r="F527" t="s">
        <v>754</v>
      </c>
    </row>
    <row r="528" spans="1:6" x14ac:dyDescent="0.25">
      <c r="A528" t="s">
        <v>876</v>
      </c>
      <c r="B528" t="s">
        <v>32</v>
      </c>
      <c r="C528" s="52">
        <v>44689</v>
      </c>
      <c r="D528" s="20" t="s">
        <v>2467</v>
      </c>
      <c r="E528" t="s">
        <v>877</v>
      </c>
      <c r="F528" t="s">
        <v>754</v>
      </c>
    </row>
    <row r="529" spans="1:6" x14ac:dyDescent="0.25">
      <c r="A529" t="s">
        <v>878</v>
      </c>
      <c r="B529" t="s">
        <v>883</v>
      </c>
      <c r="C529" s="52">
        <v>44689</v>
      </c>
      <c r="D529" s="20">
        <v>0.40099537037036997</v>
      </c>
      <c r="E529" t="s">
        <v>719</v>
      </c>
      <c r="F529" t="s">
        <v>754</v>
      </c>
    </row>
    <row r="530" spans="1:6" x14ac:dyDescent="0.25">
      <c r="A530" t="s">
        <v>876</v>
      </c>
      <c r="B530" t="s">
        <v>32</v>
      </c>
      <c r="C530" s="52">
        <v>44689</v>
      </c>
      <c r="D530" s="20" t="s">
        <v>2468</v>
      </c>
      <c r="E530" t="s">
        <v>877</v>
      </c>
      <c r="F530" t="s">
        <v>754</v>
      </c>
    </row>
    <row r="531" spans="1:6" x14ac:dyDescent="0.25">
      <c r="A531" t="s">
        <v>878</v>
      </c>
      <c r="B531" t="s">
        <v>883</v>
      </c>
      <c r="C531" s="52">
        <v>44689</v>
      </c>
      <c r="D531" s="20">
        <v>0.40300925925925901</v>
      </c>
      <c r="E531" t="s">
        <v>719</v>
      </c>
      <c r="F531" t="s">
        <v>754</v>
      </c>
    </row>
    <row r="532" spans="1:6" x14ac:dyDescent="0.25">
      <c r="A532" t="s">
        <v>876</v>
      </c>
      <c r="B532" t="s">
        <v>32</v>
      </c>
      <c r="C532" s="52">
        <v>44689</v>
      </c>
      <c r="D532" s="20" t="s">
        <v>2469</v>
      </c>
      <c r="E532" t="s">
        <v>877</v>
      </c>
      <c r="F532" t="s">
        <v>754</v>
      </c>
    </row>
    <row r="533" spans="1:6" x14ac:dyDescent="0.25">
      <c r="A533" t="s">
        <v>878</v>
      </c>
      <c r="B533" t="s">
        <v>883</v>
      </c>
      <c r="C533" s="52">
        <v>44689</v>
      </c>
      <c r="D533" s="20">
        <v>0.40600694444444402</v>
      </c>
      <c r="E533" t="s">
        <v>719</v>
      </c>
      <c r="F533" t="s">
        <v>754</v>
      </c>
    </row>
    <row r="534" spans="1:6" x14ac:dyDescent="0.25">
      <c r="A534" t="s">
        <v>876</v>
      </c>
      <c r="B534" t="s">
        <v>32</v>
      </c>
      <c r="C534" s="52">
        <v>44689</v>
      </c>
      <c r="D534" s="20" t="s">
        <v>2470</v>
      </c>
      <c r="E534" t="s">
        <v>877</v>
      </c>
      <c r="F534" t="s">
        <v>754</v>
      </c>
    </row>
    <row r="535" spans="1:6" x14ac:dyDescent="0.25">
      <c r="A535" t="s">
        <v>878</v>
      </c>
      <c r="B535" t="s">
        <v>883</v>
      </c>
      <c r="C535" s="52">
        <v>44689</v>
      </c>
      <c r="D535" s="20">
        <v>0.407523148148148</v>
      </c>
      <c r="E535" t="s">
        <v>719</v>
      </c>
      <c r="F535" t="s">
        <v>754</v>
      </c>
    </row>
    <row r="536" spans="1:6" x14ac:dyDescent="0.25">
      <c r="A536" t="s">
        <v>876</v>
      </c>
      <c r="B536" t="s">
        <v>32</v>
      </c>
      <c r="C536" s="52">
        <v>44689</v>
      </c>
      <c r="D536" s="20" t="s">
        <v>2471</v>
      </c>
      <c r="E536" t="s">
        <v>877</v>
      </c>
      <c r="F536" t="s">
        <v>754</v>
      </c>
    </row>
    <row r="537" spans="1:6" x14ac:dyDescent="0.25">
      <c r="A537" t="s">
        <v>878</v>
      </c>
      <c r="B537" t="s">
        <v>883</v>
      </c>
      <c r="C537" s="52">
        <v>44689</v>
      </c>
      <c r="D537" s="20">
        <v>0.42105324074074102</v>
      </c>
      <c r="E537" t="s">
        <v>719</v>
      </c>
      <c r="F537" t="s">
        <v>754</v>
      </c>
    </row>
    <row r="538" spans="1:6" x14ac:dyDescent="0.25">
      <c r="A538" t="s">
        <v>876</v>
      </c>
      <c r="B538" t="s">
        <v>32</v>
      </c>
      <c r="C538" s="52">
        <v>44689</v>
      </c>
      <c r="D538" s="20" t="s">
        <v>2472</v>
      </c>
      <c r="E538" t="s">
        <v>877</v>
      </c>
      <c r="F538" t="s">
        <v>754</v>
      </c>
    </row>
    <row r="539" spans="1:6" x14ac:dyDescent="0.25">
      <c r="A539" t="s">
        <v>878</v>
      </c>
      <c r="B539" t="s">
        <v>883</v>
      </c>
      <c r="C539" s="52">
        <v>44689</v>
      </c>
      <c r="D539" s="20">
        <v>0.43163194444444403</v>
      </c>
      <c r="E539" t="s">
        <v>719</v>
      </c>
      <c r="F539" t="s">
        <v>754</v>
      </c>
    </row>
    <row r="540" spans="1:6" x14ac:dyDescent="0.25">
      <c r="A540" t="s">
        <v>876</v>
      </c>
      <c r="B540" t="s">
        <v>32</v>
      </c>
      <c r="C540" s="52">
        <v>44689</v>
      </c>
      <c r="D540" s="20" t="s">
        <v>2473</v>
      </c>
      <c r="E540" t="s">
        <v>877</v>
      </c>
      <c r="F540" t="s">
        <v>754</v>
      </c>
    </row>
    <row r="541" spans="1:6" x14ac:dyDescent="0.25">
      <c r="A541" t="s">
        <v>878</v>
      </c>
      <c r="B541" t="s">
        <v>883</v>
      </c>
      <c r="C541" s="52">
        <v>44689</v>
      </c>
      <c r="D541" s="20">
        <v>0.45682870370370399</v>
      </c>
      <c r="E541" t="s">
        <v>719</v>
      </c>
      <c r="F541" t="s">
        <v>754</v>
      </c>
    </row>
    <row r="542" spans="1:6" x14ac:dyDescent="0.25">
      <c r="A542" t="s">
        <v>876</v>
      </c>
      <c r="B542" t="s">
        <v>32</v>
      </c>
      <c r="C542" s="52">
        <v>44689</v>
      </c>
      <c r="D542" s="20" t="s">
        <v>2474</v>
      </c>
      <c r="E542" t="s">
        <v>877</v>
      </c>
      <c r="F542" t="s">
        <v>754</v>
      </c>
    </row>
    <row r="543" spans="1:6" x14ac:dyDescent="0.25">
      <c r="A543" t="s">
        <v>878</v>
      </c>
      <c r="B543" t="s">
        <v>883</v>
      </c>
      <c r="C543" s="52">
        <v>44689</v>
      </c>
      <c r="D543" s="20">
        <v>0.50010416666666702</v>
      </c>
      <c r="E543" t="s">
        <v>719</v>
      </c>
      <c r="F543" t="s">
        <v>754</v>
      </c>
    </row>
    <row r="544" spans="1:6" x14ac:dyDescent="0.25">
      <c r="A544" t="s">
        <v>876</v>
      </c>
      <c r="B544" t="s">
        <v>32</v>
      </c>
      <c r="C544" s="52">
        <v>44689</v>
      </c>
      <c r="D544" s="20" t="s">
        <v>2475</v>
      </c>
      <c r="E544" t="s">
        <v>877</v>
      </c>
      <c r="F544" t="s">
        <v>754</v>
      </c>
    </row>
    <row r="545" spans="1:6" x14ac:dyDescent="0.25">
      <c r="A545" t="s">
        <v>878</v>
      </c>
      <c r="B545" t="s">
        <v>883</v>
      </c>
      <c r="C545" s="52">
        <v>44689</v>
      </c>
      <c r="D545" s="20">
        <v>0.51670138888888895</v>
      </c>
      <c r="E545" t="s">
        <v>719</v>
      </c>
      <c r="F545" t="s">
        <v>754</v>
      </c>
    </row>
    <row r="546" spans="1:6" x14ac:dyDescent="0.25">
      <c r="A546" t="s">
        <v>876</v>
      </c>
      <c r="B546" t="s">
        <v>32</v>
      </c>
      <c r="C546" s="52">
        <v>44689</v>
      </c>
      <c r="D546" s="20" t="s">
        <v>2476</v>
      </c>
      <c r="E546" t="s">
        <v>877</v>
      </c>
      <c r="F546" t="s">
        <v>754</v>
      </c>
    </row>
    <row r="547" spans="1:6" x14ac:dyDescent="0.25">
      <c r="A547" t="s">
        <v>878</v>
      </c>
      <c r="B547" t="s">
        <v>883</v>
      </c>
      <c r="C547" s="52">
        <v>44689</v>
      </c>
      <c r="D547" s="20">
        <v>0.53561342592592598</v>
      </c>
      <c r="E547" t="s">
        <v>719</v>
      </c>
      <c r="F547" t="s">
        <v>754</v>
      </c>
    </row>
    <row r="548" spans="1:6" x14ac:dyDescent="0.25">
      <c r="A548" t="s">
        <v>876</v>
      </c>
      <c r="B548" t="s">
        <v>32</v>
      </c>
      <c r="C548" s="52">
        <v>44689</v>
      </c>
      <c r="D548" s="20" t="s">
        <v>2477</v>
      </c>
      <c r="E548" t="s">
        <v>877</v>
      </c>
      <c r="F548" t="s">
        <v>754</v>
      </c>
    </row>
    <row r="549" spans="1:6" x14ac:dyDescent="0.25">
      <c r="A549" t="s">
        <v>878</v>
      </c>
      <c r="B549" t="s">
        <v>883</v>
      </c>
      <c r="C549" s="52">
        <v>44689</v>
      </c>
      <c r="D549" s="20">
        <v>0.65420138888888901</v>
      </c>
      <c r="E549" t="s">
        <v>901</v>
      </c>
      <c r="F549" t="s">
        <v>754</v>
      </c>
    </row>
    <row r="550" spans="1:6" x14ac:dyDescent="0.25">
      <c r="A550" t="s">
        <v>876</v>
      </c>
      <c r="B550" t="s">
        <v>32</v>
      </c>
      <c r="C550" s="52">
        <v>44689</v>
      </c>
      <c r="D550" s="20" t="s">
        <v>2478</v>
      </c>
      <c r="E550" t="s">
        <v>877</v>
      </c>
      <c r="F550" t="s">
        <v>754</v>
      </c>
    </row>
    <row r="551" spans="1:6" x14ac:dyDescent="0.25">
      <c r="A551" t="s">
        <v>878</v>
      </c>
      <c r="B551" t="s">
        <v>883</v>
      </c>
      <c r="C551" s="52">
        <v>44689</v>
      </c>
      <c r="D551" s="20">
        <v>0.70577546296296301</v>
      </c>
      <c r="E551" t="s">
        <v>719</v>
      </c>
      <c r="F551" t="s">
        <v>754</v>
      </c>
    </row>
    <row r="552" spans="1:6" x14ac:dyDescent="0.25">
      <c r="A552" t="s">
        <v>876</v>
      </c>
      <c r="B552" t="s">
        <v>32</v>
      </c>
      <c r="C552" s="52">
        <v>44689</v>
      </c>
      <c r="D552" s="20" t="s">
        <v>2479</v>
      </c>
      <c r="E552" t="s">
        <v>877</v>
      </c>
      <c r="F552" t="s">
        <v>754</v>
      </c>
    </row>
    <row r="553" spans="1:6" x14ac:dyDescent="0.25">
      <c r="A553" t="s">
        <v>878</v>
      </c>
      <c r="B553" t="s">
        <v>883</v>
      </c>
      <c r="C553" s="52">
        <v>44689</v>
      </c>
      <c r="D553" s="20">
        <v>0.89005787037036999</v>
      </c>
      <c r="E553" t="s">
        <v>720</v>
      </c>
      <c r="F553" t="s">
        <v>754</v>
      </c>
    </row>
    <row r="554" spans="1:6" x14ac:dyDescent="0.25">
      <c r="A554" t="s">
        <v>876</v>
      </c>
      <c r="B554" t="s">
        <v>32</v>
      </c>
      <c r="C554" s="52">
        <v>44689</v>
      </c>
      <c r="D554" s="20" t="s">
        <v>2480</v>
      </c>
      <c r="E554" t="s">
        <v>877</v>
      </c>
      <c r="F554" t="s">
        <v>754</v>
      </c>
    </row>
    <row r="555" spans="1:6" x14ac:dyDescent="0.25">
      <c r="A555" t="s">
        <v>878</v>
      </c>
      <c r="B555" t="s">
        <v>883</v>
      </c>
      <c r="C555" s="52">
        <v>44689</v>
      </c>
      <c r="D555" s="20">
        <v>0.90216435185185195</v>
      </c>
      <c r="E555" t="s">
        <v>720</v>
      </c>
      <c r="F555" t="s">
        <v>754</v>
      </c>
    </row>
    <row r="556" spans="1:6" x14ac:dyDescent="0.25">
      <c r="A556" t="s">
        <v>876</v>
      </c>
      <c r="B556" t="s">
        <v>32</v>
      </c>
      <c r="C556" s="52">
        <v>44720</v>
      </c>
      <c r="D556" s="20" t="s">
        <v>2481</v>
      </c>
      <c r="E556" t="s">
        <v>877</v>
      </c>
      <c r="F556" t="s">
        <v>754</v>
      </c>
    </row>
    <row r="557" spans="1:6" x14ac:dyDescent="0.25">
      <c r="A557" t="s">
        <v>878</v>
      </c>
      <c r="B557" t="s">
        <v>883</v>
      </c>
      <c r="C557" s="52">
        <v>44720</v>
      </c>
      <c r="D557" s="20">
        <v>0.75153935185185206</v>
      </c>
      <c r="E557" t="s">
        <v>719</v>
      </c>
      <c r="F557" t="s">
        <v>754</v>
      </c>
    </row>
    <row r="558" spans="1:6" x14ac:dyDescent="0.25">
      <c r="A558" t="s">
        <v>876</v>
      </c>
      <c r="B558" t="s">
        <v>35</v>
      </c>
      <c r="C558" s="52">
        <v>44569</v>
      </c>
      <c r="D558" s="20" t="s">
        <v>1490</v>
      </c>
      <c r="E558" t="s">
        <v>877</v>
      </c>
      <c r="F558" t="s">
        <v>754</v>
      </c>
    </row>
    <row r="559" spans="1:6" x14ac:dyDescent="0.25">
      <c r="A559" t="s">
        <v>878</v>
      </c>
      <c r="B559" t="s">
        <v>884</v>
      </c>
      <c r="C559" s="52">
        <v>44569</v>
      </c>
      <c r="D559" s="20">
        <v>3.9224537037037002E-2</v>
      </c>
      <c r="E559" t="s">
        <v>902</v>
      </c>
      <c r="F559" t="s">
        <v>754</v>
      </c>
    </row>
    <row r="560" spans="1:6" x14ac:dyDescent="0.25">
      <c r="A560" t="s">
        <v>876</v>
      </c>
      <c r="B560" t="s">
        <v>35</v>
      </c>
      <c r="C560" s="52">
        <v>44569</v>
      </c>
      <c r="D560" s="20" t="s">
        <v>1491</v>
      </c>
      <c r="E560" t="s">
        <v>877</v>
      </c>
      <c r="F560" t="s">
        <v>754</v>
      </c>
    </row>
    <row r="561" spans="1:6" x14ac:dyDescent="0.25">
      <c r="A561" t="s">
        <v>878</v>
      </c>
      <c r="B561" t="s">
        <v>884</v>
      </c>
      <c r="C561" s="52">
        <v>44569</v>
      </c>
      <c r="D561" s="20">
        <v>0.48282407407407402</v>
      </c>
      <c r="E561" t="s">
        <v>721</v>
      </c>
      <c r="F561" t="s">
        <v>754</v>
      </c>
    </row>
    <row r="562" spans="1:6" x14ac:dyDescent="0.25">
      <c r="A562" t="s">
        <v>876</v>
      </c>
      <c r="B562" t="s">
        <v>35</v>
      </c>
      <c r="C562" s="52">
        <v>44569</v>
      </c>
      <c r="D562" s="20" t="s">
        <v>1492</v>
      </c>
      <c r="E562" t="s">
        <v>877</v>
      </c>
      <c r="F562" t="s">
        <v>754</v>
      </c>
    </row>
    <row r="563" spans="1:6" x14ac:dyDescent="0.25">
      <c r="A563" t="s">
        <v>878</v>
      </c>
      <c r="B563" t="s">
        <v>884</v>
      </c>
      <c r="C563" s="52">
        <v>44569</v>
      </c>
      <c r="D563" s="20">
        <v>0.55695601851851895</v>
      </c>
      <c r="E563" t="s">
        <v>721</v>
      </c>
      <c r="F563" t="s">
        <v>754</v>
      </c>
    </row>
    <row r="564" spans="1:6" x14ac:dyDescent="0.25">
      <c r="A564" t="s">
        <v>876</v>
      </c>
      <c r="B564" t="s">
        <v>35</v>
      </c>
      <c r="C564" s="52">
        <v>44600</v>
      </c>
      <c r="D564" s="20" t="s">
        <v>855</v>
      </c>
      <c r="E564" t="s">
        <v>877</v>
      </c>
      <c r="F564" t="s">
        <v>754</v>
      </c>
    </row>
    <row r="565" spans="1:6" x14ac:dyDescent="0.25">
      <c r="A565" t="s">
        <v>878</v>
      </c>
      <c r="B565" t="s">
        <v>884</v>
      </c>
      <c r="C565" s="52">
        <v>44600</v>
      </c>
      <c r="D565" s="20">
        <v>0.45659722222222199</v>
      </c>
      <c r="E565" t="s">
        <v>721</v>
      </c>
      <c r="F565" t="s">
        <v>754</v>
      </c>
    </row>
    <row r="566" spans="1:6" x14ac:dyDescent="0.25">
      <c r="A566" t="s">
        <v>876</v>
      </c>
      <c r="B566" t="s">
        <v>35</v>
      </c>
      <c r="C566" s="52">
        <v>44600</v>
      </c>
      <c r="D566" s="20" t="s">
        <v>856</v>
      </c>
      <c r="E566" t="s">
        <v>877</v>
      </c>
      <c r="F566" t="s">
        <v>754</v>
      </c>
    </row>
    <row r="567" spans="1:6" x14ac:dyDescent="0.25">
      <c r="A567" t="s">
        <v>878</v>
      </c>
      <c r="B567" t="s">
        <v>884</v>
      </c>
      <c r="C567" s="52">
        <v>44600</v>
      </c>
      <c r="D567" s="20">
        <v>0.63885416666666694</v>
      </c>
      <c r="E567" t="s">
        <v>721</v>
      </c>
      <c r="F567" t="s">
        <v>754</v>
      </c>
    </row>
    <row r="568" spans="1:6" x14ac:dyDescent="0.25">
      <c r="A568" t="s">
        <v>876</v>
      </c>
      <c r="B568" t="s">
        <v>35</v>
      </c>
      <c r="C568" s="52">
        <v>44628</v>
      </c>
      <c r="D568" s="20" t="s">
        <v>1302</v>
      </c>
      <c r="E568" t="s">
        <v>877</v>
      </c>
      <c r="F568" t="s">
        <v>754</v>
      </c>
    </row>
    <row r="569" spans="1:6" x14ac:dyDescent="0.25">
      <c r="A569" t="s">
        <v>878</v>
      </c>
      <c r="B569" t="s">
        <v>884</v>
      </c>
      <c r="C569" s="52">
        <v>44628</v>
      </c>
      <c r="D569" s="20">
        <v>0.72636574074074101</v>
      </c>
      <c r="E569" t="s">
        <v>902</v>
      </c>
      <c r="F569" t="s">
        <v>754</v>
      </c>
    </row>
    <row r="570" spans="1:6" x14ac:dyDescent="0.25">
      <c r="A570" t="s">
        <v>876</v>
      </c>
      <c r="B570" t="s">
        <v>35</v>
      </c>
      <c r="C570" s="52">
        <v>44659</v>
      </c>
      <c r="D570" s="20" t="s">
        <v>962</v>
      </c>
      <c r="E570" t="s">
        <v>877</v>
      </c>
      <c r="F570" t="s">
        <v>754</v>
      </c>
    </row>
    <row r="571" spans="1:6" x14ac:dyDescent="0.25">
      <c r="A571" t="s">
        <v>878</v>
      </c>
      <c r="B571" t="s">
        <v>884</v>
      </c>
      <c r="C571" s="52">
        <v>44659</v>
      </c>
      <c r="D571" s="20">
        <v>0.78421296296296295</v>
      </c>
      <c r="E571" t="s">
        <v>721</v>
      </c>
      <c r="F571" t="s">
        <v>754</v>
      </c>
    </row>
    <row r="572" spans="1:6" x14ac:dyDescent="0.25">
      <c r="A572" t="s">
        <v>876</v>
      </c>
      <c r="B572" t="s">
        <v>35</v>
      </c>
      <c r="C572" s="52">
        <v>44659</v>
      </c>
      <c r="D572" s="20" t="s">
        <v>963</v>
      </c>
      <c r="E572" t="s">
        <v>877</v>
      </c>
      <c r="F572" t="s">
        <v>754</v>
      </c>
    </row>
    <row r="573" spans="1:6" x14ac:dyDescent="0.25">
      <c r="A573" t="s">
        <v>878</v>
      </c>
      <c r="B573" t="s">
        <v>884</v>
      </c>
      <c r="C573" s="52">
        <v>44659</v>
      </c>
      <c r="D573" s="20">
        <v>0.88678240740740699</v>
      </c>
      <c r="E573" t="s">
        <v>721</v>
      </c>
      <c r="F573" t="s">
        <v>754</v>
      </c>
    </row>
    <row r="574" spans="1:6" x14ac:dyDescent="0.25">
      <c r="A574" t="s">
        <v>876</v>
      </c>
      <c r="B574" t="s">
        <v>35</v>
      </c>
      <c r="C574" s="52">
        <v>44659</v>
      </c>
      <c r="D574" s="20" t="s">
        <v>964</v>
      </c>
      <c r="E574" t="s">
        <v>877</v>
      </c>
      <c r="F574" t="s">
        <v>754</v>
      </c>
    </row>
    <row r="575" spans="1:6" x14ac:dyDescent="0.25">
      <c r="A575" t="s">
        <v>878</v>
      </c>
      <c r="B575" t="s">
        <v>884</v>
      </c>
      <c r="C575" s="52">
        <v>44659</v>
      </c>
      <c r="D575" s="20">
        <v>0.96261574074074097</v>
      </c>
      <c r="E575" t="s">
        <v>721</v>
      </c>
      <c r="F575" t="s">
        <v>754</v>
      </c>
    </row>
    <row r="576" spans="1:6" x14ac:dyDescent="0.25">
      <c r="A576" t="s">
        <v>876</v>
      </c>
      <c r="B576" t="s">
        <v>35</v>
      </c>
      <c r="C576" s="52">
        <v>44689</v>
      </c>
      <c r="D576" s="20" t="s">
        <v>2482</v>
      </c>
      <c r="E576" t="s">
        <v>877</v>
      </c>
      <c r="F576" t="s">
        <v>754</v>
      </c>
    </row>
    <row r="577" spans="1:6" x14ac:dyDescent="0.25">
      <c r="A577" t="s">
        <v>878</v>
      </c>
      <c r="B577" t="s">
        <v>884</v>
      </c>
      <c r="C577" s="52">
        <v>44689</v>
      </c>
      <c r="D577" s="20">
        <v>0.27790509259259299</v>
      </c>
      <c r="E577" t="s">
        <v>902</v>
      </c>
      <c r="F577" t="s">
        <v>754</v>
      </c>
    </row>
    <row r="578" spans="1:6" x14ac:dyDescent="0.25">
      <c r="A578" t="s">
        <v>876</v>
      </c>
      <c r="B578" t="s">
        <v>35</v>
      </c>
      <c r="C578" s="52">
        <v>44689</v>
      </c>
      <c r="D578" s="20" t="s">
        <v>2483</v>
      </c>
      <c r="E578" t="s">
        <v>877</v>
      </c>
      <c r="F578" t="s">
        <v>754</v>
      </c>
    </row>
    <row r="579" spans="1:6" x14ac:dyDescent="0.25">
      <c r="A579" t="s">
        <v>878</v>
      </c>
      <c r="B579" t="s">
        <v>884</v>
      </c>
      <c r="C579" s="52">
        <v>44689</v>
      </c>
      <c r="D579" s="20">
        <v>0.322233796296296</v>
      </c>
      <c r="E579" t="s">
        <v>902</v>
      </c>
      <c r="F579" t="s">
        <v>754</v>
      </c>
    </row>
    <row r="580" spans="1:6" x14ac:dyDescent="0.25">
      <c r="A580" t="s">
        <v>876</v>
      </c>
      <c r="B580" t="s">
        <v>35</v>
      </c>
      <c r="C580" s="52">
        <v>44689</v>
      </c>
      <c r="D580" s="20" t="s">
        <v>2484</v>
      </c>
      <c r="E580" t="s">
        <v>877</v>
      </c>
      <c r="F580" t="s">
        <v>754</v>
      </c>
    </row>
    <row r="581" spans="1:6" x14ac:dyDescent="0.25">
      <c r="A581" t="s">
        <v>878</v>
      </c>
      <c r="B581" t="s">
        <v>884</v>
      </c>
      <c r="C581" s="52">
        <v>44689</v>
      </c>
      <c r="D581" s="20">
        <v>0.33861111111111097</v>
      </c>
      <c r="E581" t="s">
        <v>902</v>
      </c>
      <c r="F581" t="s">
        <v>754</v>
      </c>
    </row>
    <row r="582" spans="1:6" x14ac:dyDescent="0.25">
      <c r="A582" t="s">
        <v>876</v>
      </c>
      <c r="B582" t="s">
        <v>35</v>
      </c>
      <c r="C582" s="52">
        <v>44689</v>
      </c>
      <c r="D582" s="20" t="s">
        <v>2485</v>
      </c>
      <c r="E582" t="s">
        <v>877</v>
      </c>
      <c r="F582" t="s">
        <v>754</v>
      </c>
    </row>
    <row r="583" spans="1:6" x14ac:dyDescent="0.25">
      <c r="A583" t="s">
        <v>878</v>
      </c>
      <c r="B583" t="s">
        <v>884</v>
      </c>
      <c r="C583" s="52">
        <v>44689</v>
      </c>
      <c r="D583" s="20">
        <v>0.34</v>
      </c>
      <c r="E583" t="s">
        <v>902</v>
      </c>
      <c r="F583" t="s">
        <v>754</v>
      </c>
    </row>
    <row r="584" spans="1:6" x14ac:dyDescent="0.25">
      <c r="A584" t="s">
        <v>876</v>
      </c>
      <c r="B584" t="s">
        <v>35</v>
      </c>
      <c r="C584" s="52">
        <v>44689</v>
      </c>
      <c r="D584" s="20" t="s">
        <v>2486</v>
      </c>
      <c r="E584" t="s">
        <v>877</v>
      </c>
      <c r="F584" t="s">
        <v>754</v>
      </c>
    </row>
    <row r="585" spans="1:6" x14ac:dyDescent="0.25">
      <c r="A585" t="s">
        <v>878</v>
      </c>
      <c r="B585" t="s">
        <v>884</v>
      </c>
      <c r="C585" s="52">
        <v>44689</v>
      </c>
      <c r="D585" s="20">
        <v>0.34453703703703698</v>
      </c>
      <c r="E585" t="s">
        <v>902</v>
      </c>
      <c r="F585" t="s">
        <v>754</v>
      </c>
    </row>
    <row r="586" spans="1:6" x14ac:dyDescent="0.25">
      <c r="A586" t="s">
        <v>876</v>
      </c>
      <c r="B586" t="s">
        <v>35</v>
      </c>
      <c r="C586" s="52">
        <v>44689</v>
      </c>
      <c r="D586" s="20" t="s">
        <v>2487</v>
      </c>
      <c r="E586" t="s">
        <v>877</v>
      </c>
      <c r="F586" t="s">
        <v>754</v>
      </c>
    </row>
    <row r="587" spans="1:6" x14ac:dyDescent="0.25">
      <c r="A587" t="s">
        <v>878</v>
      </c>
      <c r="B587" t="s">
        <v>884</v>
      </c>
      <c r="C587" s="52">
        <v>44689</v>
      </c>
      <c r="D587" s="20">
        <v>0.34550925925925902</v>
      </c>
      <c r="E587" t="s">
        <v>902</v>
      </c>
      <c r="F587" t="s">
        <v>754</v>
      </c>
    </row>
    <row r="588" spans="1:6" x14ac:dyDescent="0.25">
      <c r="A588" t="s">
        <v>876</v>
      </c>
      <c r="B588" t="s">
        <v>35</v>
      </c>
      <c r="C588" s="52">
        <v>44689</v>
      </c>
      <c r="D588" s="20" t="s">
        <v>2488</v>
      </c>
      <c r="E588" t="s">
        <v>877</v>
      </c>
      <c r="F588" t="s">
        <v>754</v>
      </c>
    </row>
    <row r="589" spans="1:6" x14ac:dyDescent="0.25">
      <c r="A589" t="s">
        <v>878</v>
      </c>
      <c r="B589" t="s">
        <v>884</v>
      </c>
      <c r="C589" s="52">
        <v>44689</v>
      </c>
      <c r="D589" s="20">
        <v>0.35164351851851799</v>
      </c>
      <c r="E589" t="s">
        <v>902</v>
      </c>
      <c r="F589" t="s">
        <v>754</v>
      </c>
    </row>
    <row r="590" spans="1:6" x14ac:dyDescent="0.25">
      <c r="A590" t="s">
        <v>876</v>
      </c>
      <c r="B590" t="s">
        <v>35</v>
      </c>
      <c r="C590" s="52">
        <v>44689</v>
      </c>
      <c r="D590" s="20" t="s">
        <v>2489</v>
      </c>
      <c r="E590" t="s">
        <v>877</v>
      </c>
      <c r="F590" t="s">
        <v>754</v>
      </c>
    </row>
    <row r="591" spans="1:6" x14ac:dyDescent="0.25">
      <c r="A591" t="s">
        <v>878</v>
      </c>
      <c r="B591" t="s">
        <v>884</v>
      </c>
      <c r="C591" s="52">
        <v>44689</v>
      </c>
      <c r="D591" s="20">
        <v>0.37585648148148099</v>
      </c>
      <c r="E591" t="s">
        <v>902</v>
      </c>
      <c r="F591" t="s">
        <v>754</v>
      </c>
    </row>
    <row r="592" spans="1:6" x14ac:dyDescent="0.25">
      <c r="A592" t="s">
        <v>876</v>
      </c>
      <c r="B592" t="s">
        <v>35</v>
      </c>
      <c r="C592" s="52">
        <v>44689</v>
      </c>
      <c r="D592" s="20" t="s">
        <v>2490</v>
      </c>
      <c r="E592" t="s">
        <v>877</v>
      </c>
      <c r="F592" t="s">
        <v>754</v>
      </c>
    </row>
    <row r="593" spans="1:6" x14ac:dyDescent="0.25">
      <c r="A593" t="s">
        <v>878</v>
      </c>
      <c r="B593" t="s">
        <v>884</v>
      </c>
      <c r="C593" s="52">
        <v>44689</v>
      </c>
      <c r="D593" s="20">
        <v>0.37717592592592603</v>
      </c>
      <c r="E593" t="s">
        <v>902</v>
      </c>
      <c r="F593" t="s">
        <v>754</v>
      </c>
    </row>
    <row r="594" spans="1:6" x14ac:dyDescent="0.25">
      <c r="A594" t="s">
        <v>876</v>
      </c>
      <c r="B594" t="s">
        <v>35</v>
      </c>
      <c r="C594" s="52">
        <v>44689</v>
      </c>
      <c r="D594" s="20" t="s">
        <v>2491</v>
      </c>
      <c r="E594" t="s">
        <v>877</v>
      </c>
      <c r="F594" t="s">
        <v>754</v>
      </c>
    </row>
    <row r="595" spans="1:6" x14ac:dyDescent="0.25">
      <c r="A595" t="s">
        <v>878</v>
      </c>
      <c r="B595" t="s">
        <v>884</v>
      </c>
      <c r="C595" s="52">
        <v>44689</v>
      </c>
      <c r="D595" s="20">
        <v>0.40314814814814798</v>
      </c>
      <c r="E595" t="s">
        <v>902</v>
      </c>
      <c r="F595" t="s">
        <v>754</v>
      </c>
    </row>
    <row r="596" spans="1:6" x14ac:dyDescent="0.25">
      <c r="A596" t="s">
        <v>876</v>
      </c>
      <c r="B596" t="s">
        <v>35</v>
      </c>
      <c r="C596" s="52">
        <v>44689</v>
      </c>
      <c r="D596" s="20" t="s">
        <v>2492</v>
      </c>
      <c r="E596" t="s">
        <v>877</v>
      </c>
      <c r="F596" t="s">
        <v>754</v>
      </c>
    </row>
    <row r="597" spans="1:6" x14ac:dyDescent="0.25">
      <c r="A597" t="s">
        <v>878</v>
      </c>
      <c r="B597" t="s">
        <v>884</v>
      </c>
      <c r="C597" s="52">
        <v>44689</v>
      </c>
      <c r="D597" s="20">
        <v>0.42234953703703698</v>
      </c>
      <c r="E597" t="s">
        <v>902</v>
      </c>
      <c r="F597" t="s">
        <v>754</v>
      </c>
    </row>
    <row r="598" spans="1:6" x14ac:dyDescent="0.25">
      <c r="A598" t="s">
        <v>876</v>
      </c>
      <c r="B598" t="s">
        <v>35</v>
      </c>
      <c r="C598" s="52">
        <v>44689</v>
      </c>
      <c r="D598" s="20" t="s">
        <v>2493</v>
      </c>
      <c r="E598" t="s">
        <v>877</v>
      </c>
      <c r="F598" t="s">
        <v>754</v>
      </c>
    </row>
    <row r="599" spans="1:6" x14ac:dyDescent="0.25">
      <c r="A599" t="s">
        <v>878</v>
      </c>
      <c r="B599" t="s">
        <v>884</v>
      </c>
      <c r="C599" s="52">
        <v>44689</v>
      </c>
      <c r="D599" s="20">
        <v>0.443622685185185</v>
      </c>
      <c r="E599" t="s">
        <v>902</v>
      </c>
      <c r="F599" t="s">
        <v>754</v>
      </c>
    </row>
    <row r="600" spans="1:6" x14ac:dyDescent="0.25">
      <c r="A600" t="s">
        <v>876</v>
      </c>
      <c r="B600" t="s">
        <v>35</v>
      </c>
      <c r="C600" s="52">
        <v>44689</v>
      </c>
      <c r="D600" s="20" t="s">
        <v>972</v>
      </c>
      <c r="E600" t="s">
        <v>877</v>
      </c>
      <c r="F600" t="s">
        <v>754</v>
      </c>
    </row>
    <row r="601" spans="1:6" x14ac:dyDescent="0.25">
      <c r="A601" t="s">
        <v>878</v>
      </c>
      <c r="B601" t="s">
        <v>884</v>
      </c>
      <c r="C601" s="52">
        <v>44689</v>
      </c>
      <c r="D601" s="20">
        <v>0.460474537037037</v>
      </c>
      <c r="E601" t="s">
        <v>902</v>
      </c>
      <c r="F601" t="s">
        <v>754</v>
      </c>
    </row>
    <row r="602" spans="1:6" x14ac:dyDescent="0.25">
      <c r="A602" t="s">
        <v>876</v>
      </c>
      <c r="B602" t="s">
        <v>35</v>
      </c>
      <c r="C602" s="52">
        <v>44689</v>
      </c>
      <c r="D602" s="20" t="s">
        <v>2494</v>
      </c>
      <c r="E602" t="s">
        <v>877</v>
      </c>
      <c r="F602" t="s">
        <v>754</v>
      </c>
    </row>
    <row r="603" spans="1:6" x14ac:dyDescent="0.25">
      <c r="A603" t="s">
        <v>878</v>
      </c>
      <c r="B603" t="s">
        <v>884</v>
      </c>
      <c r="C603" s="52">
        <v>44689</v>
      </c>
      <c r="D603" s="20">
        <v>0.51415509259259295</v>
      </c>
      <c r="E603" t="s">
        <v>902</v>
      </c>
      <c r="F603" t="s">
        <v>754</v>
      </c>
    </row>
    <row r="604" spans="1:6" x14ac:dyDescent="0.25">
      <c r="A604" t="s">
        <v>876</v>
      </c>
      <c r="B604" t="s">
        <v>35</v>
      </c>
      <c r="C604" s="52">
        <v>44689</v>
      </c>
      <c r="D604" s="20" t="s">
        <v>2495</v>
      </c>
      <c r="E604" t="s">
        <v>877</v>
      </c>
      <c r="F604" t="s">
        <v>754</v>
      </c>
    </row>
    <row r="605" spans="1:6" x14ac:dyDescent="0.25">
      <c r="A605" t="s">
        <v>878</v>
      </c>
      <c r="B605" t="s">
        <v>884</v>
      </c>
      <c r="C605" s="52">
        <v>44689</v>
      </c>
      <c r="D605" s="20">
        <v>0.52331018518518502</v>
      </c>
      <c r="E605" t="s">
        <v>902</v>
      </c>
      <c r="F605" t="s">
        <v>754</v>
      </c>
    </row>
    <row r="606" spans="1:6" x14ac:dyDescent="0.25">
      <c r="A606" t="s">
        <v>876</v>
      </c>
      <c r="B606" t="s">
        <v>35</v>
      </c>
      <c r="C606" s="52">
        <v>44689</v>
      </c>
      <c r="D606" s="20" t="s">
        <v>2496</v>
      </c>
      <c r="E606" t="s">
        <v>877</v>
      </c>
      <c r="F606" t="s">
        <v>754</v>
      </c>
    </row>
    <row r="607" spans="1:6" x14ac:dyDescent="0.25">
      <c r="A607" t="s">
        <v>878</v>
      </c>
      <c r="B607" t="s">
        <v>884</v>
      </c>
      <c r="C607" s="52">
        <v>44689</v>
      </c>
      <c r="D607" s="20">
        <v>0.63996527777777801</v>
      </c>
      <c r="E607" t="s">
        <v>902</v>
      </c>
      <c r="F607" t="s">
        <v>754</v>
      </c>
    </row>
    <row r="608" spans="1:6" x14ac:dyDescent="0.25">
      <c r="A608" t="s">
        <v>876</v>
      </c>
      <c r="B608" t="s">
        <v>35</v>
      </c>
      <c r="C608" s="52">
        <v>44750</v>
      </c>
      <c r="D608" s="20" t="s">
        <v>2497</v>
      </c>
      <c r="E608" t="s">
        <v>877</v>
      </c>
      <c r="F608" t="s">
        <v>754</v>
      </c>
    </row>
    <row r="609" spans="1:6" x14ac:dyDescent="0.25">
      <c r="A609" t="s">
        <v>878</v>
      </c>
      <c r="B609" t="s">
        <v>884</v>
      </c>
      <c r="C609" s="52">
        <v>44750</v>
      </c>
      <c r="D609" s="20">
        <v>0.71238425925925897</v>
      </c>
      <c r="E609" t="s">
        <v>902</v>
      </c>
      <c r="F609" t="s">
        <v>754</v>
      </c>
    </row>
    <row r="610" spans="1:6" x14ac:dyDescent="0.25">
      <c r="A610" t="s">
        <v>876</v>
      </c>
      <c r="B610" t="s">
        <v>39</v>
      </c>
      <c r="C610" s="52">
        <v>44569</v>
      </c>
      <c r="D610" s="20" t="s">
        <v>1493</v>
      </c>
      <c r="E610" t="s">
        <v>877</v>
      </c>
      <c r="F610" t="s">
        <v>754</v>
      </c>
    </row>
    <row r="611" spans="1:6" x14ac:dyDescent="0.25">
      <c r="A611" t="s">
        <v>878</v>
      </c>
      <c r="B611" t="s">
        <v>885</v>
      </c>
      <c r="C611" s="52">
        <v>44569</v>
      </c>
      <c r="D611" s="20">
        <v>0.38050925925925899</v>
      </c>
      <c r="E611" t="s">
        <v>1465</v>
      </c>
      <c r="F611" t="s">
        <v>754</v>
      </c>
    </row>
    <row r="612" spans="1:6" x14ac:dyDescent="0.25">
      <c r="A612" t="s">
        <v>876</v>
      </c>
      <c r="B612" t="s">
        <v>39</v>
      </c>
      <c r="C612" s="52">
        <v>44569</v>
      </c>
      <c r="D612" s="20" t="s">
        <v>1494</v>
      </c>
      <c r="E612" t="s">
        <v>877</v>
      </c>
      <c r="F612" t="s">
        <v>754</v>
      </c>
    </row>
    <row r="613" spans="1:6" x14ac:dyDescent="0.25">
      <c r="A613" t="s">
        <v>878</v>
      </c>
      <c r="B613" t="s">
        <v>885</v>
      </c>
      <c r="C613" s="52">
        <v>44569</v>
      </c>
      <c r="D613" s="20">
        <v>0.79261574074074104</v>
      </c>
      <c r="E613" t="s">
        <v>1280</v>
      </c>
      <c r="F613" t="s">
        <v>754</v>
      </c>
    </row>
    <row r="614" spans="1:6" x14ac:dyDescent="0.25">
      <c r="A614" t="s">
        <v>876</v>
      </c>
      <c r="B614" t="s">
        <v>39</v>
      </c>
      <c r="C614" s="52">
        <v>44600</v>
      </c>
      <c r="D614" s="20" t="s">
        <v>857</v>
      </c>
      <c r="E614" t="s">
        <v>877</v>
      </c>
      <c r="F614" t="s">
        <v>754</v>
      </c>
    </row>
    <row r="615" spans="1:6" x14ac:dyDescent="0.25">
      <c r="A615" t="s">
        <v>878</v>
      </c>
      <c r="B615" t="s">
        <v>885</v>
      </c>
      <c r="C615" s="52">
        <v>44600</v>
      </c>
      <c r="D615" s="20">
        <v>0.56498842592592602</v>
      </c>
      <c r="E615" t="s">
        <v>723</v>
      </c>
      <c r="F615" t="s">
        <v>754</v>
      </c>
    </row>
    <row r="616" spans="1:6" x14ac:dyDescent="0.25">
      <c r="A616" t="s">
        <v>876</v>
      </c>
      <c r="B616" t="s">
        <v>39</v>
      </c>
      <c r="C616" s="52">
        <v>44628</v>
      </c>
      <c r="D616" s="20" t="s">
        <v>1303</v>
      </c>
      <c r="E616" t="s">
        <v>877</v>
      </c>
      <c r="F616" t="s">
        <v>754</v>
      </c>
    </row>
    <row r="617" spans="1:6" x14ac:dyDescent="0.25">
      <c r="A617" t="s">
        <v>878</v>
      </c>
      <c r="B617" t="s">
        <v>885</v>
      </c>
      <c r="C617" s="52">
        <v>44628</v>
      </c>
      <c r="D617" s="20">
        <v>0.55650462962962999</v>
      </c>
      <c r="E617" t="s">
        <v>723</v>
      </c>
      <c r="F617" t="s">
        <v>754</v>
      </c>
    </row>
    <row r="618" spans="1:6" x14ac:dyDescent="0.25">
      <c r="A618" t="s">
        <v>876</v>
      </c>
      <c r="B618" t="s">
        <v>39</v>
      </c>
      <c r="C618" s="52">
        <v>44628</v>
      </c>
      <c r="D618" s="20" t="s">
        <v>1304</v>
      </c>
      <c r="E618" t="s">
        <v>877</v>
      </c>
      <c r="F618" t="s">
        <v>754</v>
      </c>
    </row>
    <row r="619" spans="1:6" x14ac:dyDescent="0.25">
      <c r="A619" t="s">
        <v>878</v>
      </c>
      <c r="B619" t="s">
        <v>885</v>
      </c>
      <c r="C619" s="52">
        <v>44628</v>
      </c>
      <c r="D619" s="20">
        <v>0.90107638888888897</v>
      </c>
      <c r="E619" t="s">
        <v>1280</v>
      </c>
      <c r="F619" t="s">
        <v>754</v>
      </c>
    </row>
    <row r="620" spans="1:6" x14ac:dyDescent="0.25">
      <c r="A620" t="s">
        <v>876</v>
      </c>
      <c r="B620" t="s">
        <v>39</v>
      </c>
      <c r="C620" s="52">
        <v>44659</v>
      </c>
      <c r="D620" s="20" t="s">
        <v>965</v>
      </c>
      <c r="E620" t="s">
        <v>877</v>
      </c>
      <c r="F620" t="s">
        <v>754</v>
      </c>
    </row>
    <row r="621" spans="1:6" x14ac:dyDescent="0.25">
      <c r="A621" t="s">
        <v>878</v>
      </c>
      <c r="B621" t="s">
        <v>885</v>
      </c>
      <c r="C621" s="52">
        <v>44659</v>
      </c>
      <c r="D621" s="20">
        <v>0.444583333333333</v>
      </c>
      <c r="E621" t="s">
        <v>723</v>
      </c>
      <c r="F621" t="s">
        <v>754</v>
      </c>
    </row>
    <row r="622" spans="1:6" x14ac:dyDescent="0.25">
      <c r="A622" t="s">
        <v>876</v>
      </c>
      <c r="B622" t="s">
        <v>39</v>
      </c>
      <c r="C622" s="52">
        <v>44659</v>
      </c>
      <c r="D622" s="20" t="s">
        <v>966</v>
      </c>
      <c r="E622" t="s">
        <v>877</v>
      </c>
      <c r="F622" t="s">
        <v>754</v>
      </c>
    </row>
    <row r="623" spans="1:6" x14ac:dyDescent="0.25">
      <c r="A623" t="s">
        <v>878</v>
      </c>
      <c r="B623" t="s">
        <v>885</v>
      </c>
      <c r="C623" s="52">
        <v>44659</v>
      </c>
      <c r="D623" s="20">
        <v>0.54401620370370396</v>
      </c>
      <c r="E623" t="s">
        <v>723</v>
      </c>
      <c r="F623" t="s">
        <v>754</v>
      </c>
    </row>
    <row r="624" spans="1:6" x14ac:dyDescent="0.25">
      <c r="A624" t="s">
        <v>876</v>
      </c>
      <c r="B624" t="s">
        <v>39</v>
      </c>
      <c r="C624" s="52">
        <v>44659</v>
      </c>
      <c r="D624" s="20" t="s">
        <v>967</v>
      </c>
      <c r="E624" t="s">
        <v>877</v>
      </c>
      <c r="F624" t="s">
        <v>754</v>
      </c>
    </row>
    <row r="625" spans="1:6" x14ac:dyDescent="0.25">
      <c r="A625" t="s">
        <v>878</v>
      </c>
      <c r="B625" t="s">
        <v>885</v>
      </c>
      <c r="C625" s="52">
        <v>44659</v>
      </c>
      <c r="D625" s="20">
        <v>0.64944444444444405</v>
      </c>
      <c r="E625" t="s">
        <v>723</v>
      </c>
      <c r="F625" t="s">
        <v>754</v>
      </c>
    </row>
    <row r="626" spans="1:6" x14ac:dyDescent="0.25">
      <c r="A626" t="s">
        <v>876</v>
      </c>
      <c r="B626" t="s">
        <v>39</v>
      </c>
      <c r="C626" s="52">
        <v>44659</v>
      </c>
      <c r="D626" s="20" t="s">
        <v>968</v>
      </c>
      <c r="E626" t="s">
        <v>877</v>
      </c>
      <c r="F626" t="s">
        <v>754</v>
      </c>
    </row>
    <row r="627" spans="1:6" x14ac:dyDescent="0.25">
      <c r="A627" t="s">
        <v>878</v>
      </c>
      <c r="B627" t="s">
        <v>885</v>
      </c>
      <c r="C627" s="52">
        <v>44659</v>
      </c>
      <c r="D627" s="20">
        <v>0.83182870370370399</v>
      </c>
      <c r="E627" t="s">
        <v>722</v>
      </c>
      <c r="F627" t="s">
        <v>754</v>
      </c>
    </row>
    <row r="628" spans="1:6" x14ac:dyDescent="0.25">
      <c r="A628" t="s">
        <v>876</v>
      </c>
      <c r="B628" t="s">
        <v>39</v>
      </c>
      <c r="C628" s="52">
        <v>44659</v>
      </c>
      <c r="D628" s="20" t="s">
        <v>969</v>
      </c>
      <c r="E628" t="s">
        <v>877</v>
      </c>
      <c r="F628" t="s">
        <v>754</v>
      </c>
    </row>
    <row r="629" spans="1:6" x14ac:dyDescent="0.25">
      <c r="A629" t="s">
        <v>878</v>
      </c>
      <c r="B629" t="s">
        <v>885</v>
      </c>
      <c r="C629" s="52">
        <v>44659</v>
      </c>
      <c r="D629" s="20">
        <v>0.83656249999999999</v>
      </c>
      <c r="E629" t="s">
        <v>722</v>
      </c>
      <c r="F629" t="s">
        <v>754</v>
      </c>
    </row>
    <row r="630" spans="1:6" x14ac:dyDescent="0.25">
      <c r="A630" t="s">
        <v>876</v>
      </c>
      <c r="B630" t="s">
        <v>39</v>
      </c>
      <c r="C630" s="52">
        <v>44659</v>
      </c>
      <c r="D630" s="20" t="s">
        <v>970</v>
      </c>
      <c r="E630" t="s">
        <v>877</v>
      </c>
      <c r="F630" t="s">
        <v>754</v>
      </c>
    </row>
    <row r="631" spans="1:6" x14ac:dyDescent="0.25">
      <c r="A631" t="s">
        <v>878</v>
      </c>
      <c r="B631" t="s">
        <v>885</v>
      </c>
      <c r="C631" s="52">
        <v>44659</v>
      </c>
      <c r="D631" s="20">
        <v>0.95086805555555598</v>
      </c>
      <c r="E631" t="s">
        <v>722</v>
      </c>
      <c r="F631" t="s">
        <v>754</v>
      </c>
    </row>
    <row r="632" spans="1:6" x14ac:dyDescent="0.25">
      <c r="A632" t="s">
        <v>876</v>
      </c>
      <c r="B632" t="s">
        <v>39</v>
      </c>
      <c r="C632" s="52">
        <v>44689</v>
      </c>
      <c r="D632" s="20" t="s">
        <v>2498</v>
      </c>
      <c r="E632" t="s">
        <v>877</v>
      </c>
      <c r="F632" t="s">
        <v>754</v>
      </c>
    </row>
    <row r="633" spans="1:6" x14ac:dyDescent="0.25">
      <c r="A633" t="s">
        <v>878</v>
      </c>
      <c r="B633" t="s">
        <v>885</v>
      </c>
      <c r="C633" s="52">
        <v>44689</v>
      </c>
      <c r="D633" s="20">
        <v>0.29848379629629601</v>
      </c>
      <c r="E633" t="s">
        <v>723</v>
      </c>
      <c r="F633" t="s">
        <v>754</v>
      </c>
    </row>
    <row r="634" spans="1:6" x14ac:dyDescent="0.25">
      <c r="A634" t="s">
        <v>876</v>
      </c>
      <c r="B634" t="s">
        <v>39</v>
      </c>
      <c r="C634" s="52">
        <v>44689</v>
      </c>
      <c r="D634" s="20" t="s">
        <v>2499</v>
      </c>
      <c r="E634" t="s">
        <v>877</v>
      </c>
      <c r="F634" t="s">
        <v>754</v>
      </c>
    </row>
    <row r="635" spans="1:6" x14ac:dyDescent="0.25">
      <c r="A635" t="s">
        <v>878</v>
      </c>
      <c r="B635" t="s">
        <v>885</v>
      </c>
      <c r="C635" s="52">
        <v>44689</v>
      </c>
      <c r="D635" s="20">
        <v>0.31702546296296302</v>
      </c>
      <c r="E635" t="s">
        <v>723</v>
      </c>
      <c r="F635" t="s">
        <v>754</v>
      </c>
    </row>
    <row r="636" spans="1:6" x14ac:dyDescent="0.25">
      <c r="A636" t="s">
        <v>876</v>
      </c>
      <c r="B636" t="s">
        <v>39</v>
      </c>
      <c r="C636" s="52">
        <v>44689</v>
      </c>
      <c r="D636" s="20" t="s">
        <v>2500</v>
      </c>
      <c r="E636" t="s">
        <v>877</v>
      </c>
      <c r="F636" t="s">
        <v>754</v>
      </c>
    </row>
    <row r="637" spans="1:6" x14ac:dyDescent="0.25">
      <c r="A637" t="s">
        <v>878</v>
      </c>
      <c r="B637" t="s">
        <v>885</v>
      </c>
      <c r="C637" s="52">
        <v>44689</v>
      </c>
      <c r="D637" s="20">
        <v>0.32826388888888902</v>
      </c>
      <c r="E637" t="s">
        <v>723</v>
      </c>
      <c r="F637" t="s">
        <v>754</v>
      </c>
    </row>
    <row r="638" spans="1:6" x14ac:dyDescent="0.25">
      <c r="A638" t="s">
        <v>876</v>
      </c>
      <c r="B638" t="s">
        <v>39</v>
      </c>
      <c r="C638" s="52">
        <v>44689</v>
      </c>
      <c r="D638" s="20" t="s">
        <v>2501</v>
      </c>
      <c r="E638" t="s">
        <v>877</v>
      </c>
      <c r="F638" t="s">
        <v>754</v>
      </c>
    </row>
    <row r="639" spans="1:6" x14ac:dyDescent="0.25">
      <c r="A639" t="s">
        <v>878</v>
      </c>
      <c r="B639" t="s">
        <v>885</v>
      </c>
      <c r="C639" s="52">
        <v>44689</v>
      </c>
      <c r="D639" s="20">
        <v>0.34218749999999998</v>
      </c>
      <c r="E639" t="s">
        <v>723</v>
      </c>
      <c r="F639" t="s">
        <v>754</v>
      </c>
    </row>
    <row r="640" spans="1:6" x14ac:dyDescent="0.25">
      <c r="A640" t="s">
        <v>876</v>
      </c>
      <c r="B640" t="s">
        <v>39</v>
      </c>
      <c r="C640" s="52">
        <v>44689</v>
      </c>
      <c r="D640" s="20" t="s">
        <v>2502</v>
      </c>
      <c r="E640" t="s">
        <v>877</v>
      </c>
      <c r="F640" t="s">
        <v>754</v>
      </c>
    </row>
    <row r="641" spans="1:6" x14ac:dyDescent="0.25">
      <c r="A641" t="s">
        <v>878</v>
      </c>
      <c r="B641" t="s">
        <v>885</v>
      </c>
      <c r="C641" s="52">
        <v>44689</v>
      </c>
      <c r="D641" s="20">
        <v>0.34484953703703702</v>
      </c>
      <c r="E641" t="s">
        <v>723</v>
      </c>
      <c r="F641" t="s">
        <v>754</v>
      </c>
    </row>
    <row r="642" spans="1:6" x14ac:dyDescent="0.25">
      <c r="A642" t="s">
        <v>876</v>
      </c>
      <c r="B642" t="s">
        <v>39</v>
      </c>
      <c r="C642" s="52">
        <v>44689</v>
      </c>
      <c r="D642" s="20" t="s">
        <v>2503</v>
      </c>
      <c r="E642" t="s">
        <v>877</v>
      </c>
      <c r="F642" t="s">
        <v>754</v>
      </c>
    </row>
    <row r="643" spans="1:6" x14ac:dyDescent="0.25">
      <c r="A643" t="s">
        <v>878</v>
      </c>
      <c r="B643" t="s">
        <v>885</v>
      </c>
      <c r="C643" s="52">
        <v>44689</v>
      </c>
      <c r="D643" s="20">
        <v>0.34725694444444399</v>
      </c>
      <c r="E643" t="s">
        <v>723</v>
      </c>
      <c r="F643" t="s">
        <v>754</v>
      </c>
    </row>
    <row r="644" spans="1:6" x14ac:dyDescent="0.25">
      <c r="A644" t="s">
        <v>876</v>
      </c>
      <c r="B644" t="s">
        <v>39</v>
      </c>
      <c r="C644" s="52">
        <v>44689</v>
      </c>
      <c r="D644" s="20" t="s">
        <v>2504</v>
      </c>
      <c r="E644" t="s">
        <v>877</v>
      </c>
      <c r="F644" t="s">
        <v>754</v>
      </c>
    </row>
    <row r="645" spans="1:6" x14ac:dyDescent="0.25">
      <c r="A645" t="s">
        <v>878</v>
      </c>
      <c r="B645" t="s">
        <v>885</v>
      </c>
      <c r="C645" s="52">
        <v>44689</v>
      </c>
      <c r="D645" s="20">
        <v>0.349907407407407</v>
      </c>
      <c r="E645" t="s">
        <v>723</v>
      </c>
      <c r="F645" t="s">
        <v>754</v>
      </c>
    </row>
    <row r="646" spans="1:6" x14ac:dyDescent="0.25">
      <c r="A646" t="s">
        <v>876</v>
      </c>
      <c r="B646" t="s">
        <v>39</v>
      </c>
      <c r="C646" s="52">
        <v>44689</v>
      </c>
      <c r="D646" s="20" t="s">
        <v>2488</v>
      </c>
      <c r="E646" t="s">
        <v>877</v>
      </c>
      <c r="F646" t="s">
        <v>754</v>
      </c>
    </row>
    <row r="647" spans="1:6" x14ac:dyDescent="0.25">
      <c r="A647" t="s">
        <v>878</v>
      </c>
      <c r="B647" t="s">
        <v>885</v>
      </c>
      <c r="C647" s="52">
        <v>44689</v>
      </c>
      <c r="D647" s="20">
        <v>0.351909722222222</v>
      </c>
      <c r="E647" t="s">
        <v>723</v>
      </c>
      <c r="F647" t="s">
        <v>754</v>
      </c>
    </row>
    <row r="648" spans="1:6" x14ac:dyDescent="0.25">
      <c r="A648" t="s">
        <v>876</v>
      </c>
      <c r="B648" t="s">
        <v>39</v>
      </c>
      <c r="C648" s="52">
        <v>44689</v>
      </c>
      <c r="D648" s="20" t="s">
        <v>2505</v>
      </c>
      <c r="E648" t="s">
        <v>877</v>
      </c>
      <c r="F648" t="s">
        <v>754</v>
      </c>
    </row>
    <row r="649" spans="1:6" x14ac:dyDescent="0.25">
      <c r="A649" t="s">
        <v>878</v>
      </c>
      <c r="B649" t="s">
        <v>885</v>
      </c>
      <c r="C649" s="52">
        <v>44689</v>
      </c>
      <c r="D649" s="20">
        <v>0.35399305555555599</v>
      </c>
      <c r="E649" t="s">
        <v>723</v>
      </c>
      <c r="F649" t="s">
        <v>754</v>
      </c>
    </row>
    <row r="650" spans="1:6" x14ac:dyDescent="0.25">
      <c r="A650" t="s">
        <v>876</v>
      </c>
      <c r="B650" t="s">
        <v>39</v>
      </c>
      <c r="C650" s="52">
        <v>44689</v>
      </c>
      <c r="D650" s="20" t="s">
        <v>2506</v>
      </c>
      <c r="E650" t="s">
        <v>877</v>
      </c>
      <c r="F650" t="s">
        <v>754</v>
      </c>
    </row>
    <row r="651" spans="1:6" x14ac:dyDescent="0.25">
      <c r="A651" t="s">
        <v>878</v>
      </c>
      <c r="B651" t="s">
        <v>885</v>
      </c>
      <c r="C651" s="52">
        <v>44689</v>
      </c>
      <c r="D651" s="20">
        <v>0.35649305555555599</v>
      </c>
      <c r="E651" t="s">
        <v>723</v>
      </c>
      <c r="F651" t="s">
        <v>754</v>
      </c>
    </row>
    <row r="652" spans="1:6" x14ac:dyDescent="0.25">
      <c r="A652" t="s">
        <v>876</v>
      </c>
      <c r="B652" t="s">
        <v>39</v>
      </c>
      <c r="C652" s="52">
        <v>44689</v>
      </c>
      <c r="D652" s="20" t="s">
        <v>2507</v>
      </c>
      <c r="E652" t="s">
        <v>877</v>
      </c>
      <c r="F652" t="s">
        <v>754</v>
      </c>
    </row>
    <row r="653" spans="1:6" x14ac:dyDescent="0.25">
      <c r="A653" t="s">
        <v>878</v>
      </c>
      <c r="B653" t="s">
        <v>885</v>
      </c>
      <c r="C653" s="52">
        <v>44689</v>
      </c>
      <c r="D653" s="20">
        <v>0.35832175925925902</v>
      </c>
      <c r="E653" t="s">
        <v>723</v>
      </c>
      <c r="F653" t="s">
        <v>754</v>
      </c>
    </row>
    <row r="654" spans="1:6" x14ac:dyDescent="0.25">
      <c r="A654" t="s">
        <v>876</v>
      </c>
      <c r="B654" t="s">
        <v>39</v>
      </c>
      <c r="C654" s="52">
        <v>44689</v>
      </c>
      <c r="D654" s="20" t="s">
        <v>2508</v>
      </c>
      <c r="E654" t="s">
        <v>877</v>
      </c>
      <c r="F654" t="s">
        <v>754</v>
      </c>
    </row>
    <row r="655" spans="1:6" x14ac:dyDescent="0.25">
      <c r="A655" t="s">
        <v>878</v>
      </c>
      <c r="B655" t="s">
        <v>885</v>
      </c>
      <c r="C655" s="52">
        <v>44689</v>
      </c>
      <c r="D655" s="20">
        <v>0.36277777777777798</v>
      </c>
      <c r="E655" t="s">
        <v>723</v>
      </c>
      <c r="F655" t="s">
        <v>754</v>
      </c>
    </row>
    <row r="656" spans="1:6" x14ac:dyDescent="0.25">
      <c r="A656" t="s">
        <v>876</v>
      </c>
      <c r="B656" t="s">
        <v>39</v>
      </c>
      <c r="C656" s="52">
        <v>44689</v>
      </c>
      <c r="D656" s="20" t="s">
        <v>2509</v>
      </c>
      <c r="E656" t="s">
        <v>877</v>
      </c>
      <c r="F656" t="s">
        <v>754</v>
      </c>
    </row>
    <row r="657" spans="1:6" x14ac:dyDescent="0.25">
      <c r="A657" t="s">
        <v>878</v>
      </c>
      <c r="B657" t="s">
        <v>885</v>
      </c>
      <c r="C657" s="52">
        <v>44689</v>
      </c>
      <c r="D657" s="20">
        <v>0.364803240740741</v>
      </c>
      <c r="E657" t="s">
        <v>723</v>
      </c>
      <c r="F657" t="s">
        <v>754</v>
      </c>
    </row>
    <row r="658" spans="1:6" x14ac:dyDescent="0.25">
      <c r="A658" t="s">
        <v>876</v>
      </c>
      <c r="B658" t="s">
        <v>39</v>
      </c>
      <c r="C658" s="52">
        <v>44689</v>
      </c>
      <c r="D658" s="20" t="s">
        <v>2510</v>
      </c>
      <c r="E658" t="s">
        <v>877</v>
      </c>
      <c r="F658" t="s">
        <v>754</v>
      </c>
    </row>
    <row r="659" spans="1:6" x14ac:dyDescent="0.25">
      <c r="A659" t="s">
        <v>878</v>
      </c>
      <c r="B659" t="s">
        <v>885</v>
      </c>
      <c r="C659" s="52">
        <v>44689</v>
      </c>
      <c r="D659" s="20">
        <v>0.36682870370370402</v>
      </c>
      <c r="E659" t="s">
        <v>723</v>
      </c>
      <c r="F659" t="s">
        <v>754</v>
      </c>
    </row>
    <row r="660" spans="1:6" x14ac:dyDescent="0.25">
      <c r="A660" t="s">
        <v>876</v>
      </c>
      <c r="B660" t="s">
        <v>39</v>
      </c>
      <c r="C660" s="52">
        <v>44689</v>
      </c>
      <c r="D660" s="20" t="s">
        <v>2511</v>
      </c>
      <c r="E660" t="s">
        <v>877</v>
      </c>
      <c r="F660" t="s">
        <v>754</v>
      </c>
    </row>
    <row r="661" spans="1:6" x14ac:dyDescent="0.25">
      <c r="A661" t="s">
        <v>878</v>
      </c>
      <c r="B661" t="s">
        <v>885</v>
      </c>
      <c r="C661" s="52">
        <v>44689</v>
      </c>
      <c r="D661" s="20">
        <v>0.36962962962962997</v>
      </c>
      <c r="E661" t="s">
        <v>723</v>
      </c>
      <c r="F661" t="s">
        <v>754</v>
      </c>
    </row>
    <row r="662" spans="1:6" x14ac:dyDescent="0.25">
      <c r="A662" t="s">
        <v>876</v>
      </c>
      <c r="B662" t="s">
        <v>39</v>
      </c>
      <c r="C662" s="52">
        <v>44689</v>
      </c>
      <c r="D662" s="20" t="s">
        <v>2512</v>
      </c>
      <c r="E662" t="s">
        <v>877</v>
      </c>
      <c r="F662" t="s">
        <v>754</v>
      </c>
    </row>
    <row r="663" spans="1:6" x14ac:dyDescent="0.25">
      <c r="A663" t="s">
        <v>878</v>
      </c>
      <c r="B663" t="s">
        <v>885</v>
      </c>
      <c r="C663" s="52">
        <v>44689</v>
      </c>
      <c r="D663" s="20">
        <v>0.376921296296296</v>
      </c>
      <c r="E663" t="s">
        <v>1465</v>
      </c>
      <c r="F663" t="s">
        <v>754</v>
      </c>
    </row>
    <row r="664" spans="1:6" x14ac:dyDescent="0.25">
      <c r="A664" t="s">
        <v>876</v>
      </c>
      <c r="B664" t="s">
        <v>39</v>
      </c>
      <c r="C664" s="52">
        <v>44689</v>
      </c>
      <c r="D664" s="20" t="s">
        <v>2513</v>
      </c>
      <c r="E664" t="s">
        <v>877</v>
      </c>
      <c r="F664" t="s">
        <v>754</v>
      </c>
    </row>
    <row r="665" spans="1:6" x14ac:dyDescent="0.25">
      <c r="A665" t="s">
        <v>878</v>
      </c>
      <c r="B665" t="s">
        <v>885</v>
      </c>
      <c r="C665" s="52">
        <v>44689</v>
      </c>
      <c r="D665" s="20">
        <v>0.37894675925925903</v>
      </c>
      <c r="E665" t="s">
        <v>1465</v>
      </c>
      <c r="F665" t="s">
        <v>754</v>
      </c>
    </row>
    <row r="666" spans="1:6" x14ac:dyDescent="0.25">
      <c r="A666" t="s">
        <v>876</v>
      </c>
      <c r="B666" t="s">
        <v>39</v>
      </c>
      <c r="C666" s="52">
        <v>44689</v>
      </c>
      <c r="D666" s="20" t="s">
        <v>2514</v>
      </c>
      <c r="E666" t="s">
        <v>877</v>
      </c>
      <c r="F666" t="s">
        <v>754</v>
      </c>
    </row>
    <row r="667" spans="1:6" x14ac:dyDescent="0.25">
      <c r="A667" t="s">
        <v>878</v>
      </c>
      <c r="B667" t="s">
        <v>885</v>
      </c>
      <c r="C667" s="52">
        <v>44689</v>
      </c>
      <c r="D667" s="20">
        <v>0.38072916666666701</v>
      </c>
      <c r="E667" t="s">
        <v>1465</v>
      </c>
      <c r="F667" t="s">
        <v>754</v>
      </c>
    </row>
    <row r="668" spans="1:6" x14ac:dyDescent="0.25">
      <c r="A668" t="s">
        <v>876</v>
      </c>
      <c r="B668" t="s">
        <v>39</v>
      </c>
      <c r="C668" s="52">
        <v>44689</v>
      </c>
      <c r="D668" s="20" t="s">
        <v>2515</v>
      </c>
      <c r="E668" t="s">
        <v>877</v>
      </c>
      <c r="F668" t="s">
        <v>754</v>
      </c>
    </row>
    <row r="669" spans="1:6" x14ac:dyDescent="0.25">
      <c r="A669" t="s">
        <v>878</v>
      </c>
      <c r="B669" t="s">
        <v>885</v>
      </c>
      <c r="C669" s="52">
        <v>44689</v>
      </c>
      <c r="D669" s="20">
        <v>0.39059027777777799</v>
      </c>
      <c r="E669" t="s">
        <v>1465</v>
      </c>
      <c r="F669" t="s">
        <v>754</v>
      </c>
    </row>
    <row r="670" spans="1:6" x14ac:dyDescent="0.25">
      <c r="A670" t="s">
        <v>876</v>
      </c>
      <c r="B670" t="s">
        <v>39</v>
      </c>
      <c r="C670" s="52">
        <v>44689</v>
      </c>
      <c r="D670" s="20" t="s">
        <v>2516</v>
      </c>
      <c r="E670" t="s">
        <v>877</v>
      </c>
      <c r="F670" t="s">
        <v>754</v>
      </c>
    </row>
    <row r="671" spans="1:6" x14ac:dyDescent="0.25">
      <c r="A671" t="s">
        <v>878</v>
      </c>
      <c r="B671" t="s">
        <v>885</v>
      </c>
      <c r="C671" s="52">
        <v>44689</v>
      </c>
      <c r="D671" s="20">
        <v>0.394050925925926</v>
      </c>
      <c r="E671" t="s">
        <v>1465</v>
      </c>
      <c r="F671" t="s">
        <v>754</v>
      </c>
    </row>
    <row r="672" spans="1:6" x14ac:dyDescent="0.25">
      <c r="A672" t="s">
        <v>876</v>
      </c>
      <c r="B672" t="s">
        <v>39</v>
      </c>
      <c r="C672" s="52">
        <v>44689</v>
      </c>
      <c r="D672" s="20" t="s">
        <v>2517</v>
      </c>
      <c r="E672" t="s">
        <v>877</v>
      </c>
      <c r="F672" t="s">
        <v>754</v>
      </c>
    </row>
    <row r="673" spans="1:6" x14ac:dyDescent="0.25">
      <c r="A673" t="s">
        <v>878</v>
      </c>
      <c r="B673" t="s">
        <v>885</v>
      </c>
      <c r="C673" s="52">
        <v>44689</v>
      </c>
      <c r="D673" s="20">
        <v>0.39685185185185201</v>
      </c>
      <c r="E673" t="s">
        <v>1465</v>
      </c>
      <c r="F673" t="s">
        <v>754</v>
      </c>
    </row>
    <row r="674" spans="1:6" x14ac:dyDescent="0.25">
      <c r="A674" t="s">
        <v>876</v>
      </c>
      <c r="B674" t="s">
        <v>39</v>
      </c>
      <c r="C674" s="52">
        <v>44689</v>
      </c>
      <c r="D674" s="20" t="s">
        <v>2518</v>
      </c>
      <c r="E674" t="s">
        <v>877</v>
      </c>
      <c r="F674" t="s">
        <v>754</v>
      </c>
    </row>
    <row r="675" spans="1:6" x14ac:dyDescent="0.25">
      <c r="A675" t="s">
        <v>878</v>
      </c>
      <c r="B675" t="s">
        <v>885</v>
      </c>
      <c r="C675" s="52">
        <v>44689</v>
      </c>
      <c r="D675" s="20">
        <v>0.39884259259259303</v>
      </c>
      <c r="E675" t="s">
        <v>1465</v>
      </c>
      <c r="F675" t="s">
        <v>754</v>
      </c>
    </row>
    <row r="676" spans="1:6" x14ac:dyDescent="0.25">
      <c r="A676" t="s">
        <v>876</v>
      </c>
      <c r="B676" t="s">
        <v>39</v>
      </c>
      <c r="C676" s="52">
        <v>44689</v>
      </c>
      <c r="D676" s="20" t="s">
        <v>2519</v>
      </c>
      <c r="E676" t="s">
        <v>877</v>
      </c>
      <c r="F676" t="s">
        <v>754</v>
      </c>
    </row>
    <row r="677" spans="1:6" x14ac:dyDescent="0.25">
      <c r="A677" t="s">
        <v>878</v>
      </c>
      <c r="B677" t="s">
        <v>885</v>
      </c>
      <c r="C677" s="52">
        <v>44689</v>
      </c>
      <c r="D677" s="20">
        <v>0.405173611111111</v>
      </c>
      <c r="E677" t="s">
        <v>1465</v>
      </c>
      <c r="F677" t="s">
        <v>754</v>
      </c>
    </row>
    <row r="678" spans="1:6" x14ac:dyDescent="0.25">
      <c r="A678" t="s">
        <v>876</v>
      </c>
      <c r="B678" t="s">
        <v>39</v>
      </c>
      <c r="C678" s="52">
        <v>44689</v>
      </c>
      <c r="D678" s="20" t="s">
        <v>2520</v>
      </c>
      <c r="E678" t="s">
        <v>877</v>
      </c>
      <c r="F678" t="s">
        <v>754</v>
      </c>
    </row>
    <row r="679" spans="1:6" x14ac:dyDescent="0.25">
      <c r="A679" t="s">
        <v>878</v>
      </c>
      <c r="B679" t="s">
        <v>885</v>
      </c>
      <c r="C679" s="52">
        <v>44689</v>
      </c>
      <c r="D679" s="20">
        <v>0.40765046296296298</v>
      </c>
      <c r="E679" t="s">
        <v>1465</v>
      </c>
      <c r="F679" t="s">
        <v>754</v>
      </c>
    </row>
    <row r="680" spans="1:6" x14ac:dyDescent="0.25">
      <c r="A680" t="s">
        <v>876</v>
      </c>
      <c r="B680" t="s">
        <v>39</v>
      </c>
      <c r="C680" s="52">
        <v>44689</v>
      </c>
      <c r="D680" s="20" t="s">
        <v>2521</v>
      </c>
      <c r="E680" t="s">
        <v>877</v>
      </c>
      <c r="F680" t="s">
        <v>754</v>
      </c>
    </row>
    <row r="681" spans="1:6" x14ac:dyDescent="0.25">
      <c r="A681" t="s">
        <v>878</v>
      </c>
      <c r="B681" t="s">
        <v>885</v>
      </c>
      <c r="C681" s="52">
        <v>44689</v>
      </c>
      <c r="D681" s="20">
        <v>0.41018518518518499</v>
      </c>
      <c r="E681" t="s">
        <v>1465</v>
      </c>
      <c r="F681" t="s">
        <v>754</v>
      </c>
    </row>
    <row r="682" spans="1:6" x14ac:dyDescent="0.25">
      <c r="A682" t="s">
        <v>876</v>
      </c>
      <c r="B682" t="s">
        <v>39</v>
      </c>
      <c r="C682" s="52">
        <v>44689</v>
      </c>
      <c r="D682" s="20" t="s">
        <v>2522</v>
      </c>
      <c r="E682" t="s">
        <v>877</v>
      </c>
      <c r="F682" t="s">
        <v>754</v>
      </c>
    </row>
    <row r="683" spans="1:6" x14ac:dyDescent="0.25">
      <c r="A683" t="s">
        <v>878</v>
      </c>
      <c r="B683" t="s">
        <v>885</v>
      </c>
      <c r="C683" s="52">
        <v>44689</v>
      </c>
      <c r="D683" s="20">
        <v>0.41370370370370402</v>
      </c>
      <c r="E683" t="s">
        <v>1465</v>
      </c>
      <c r="F683" t="s">
        <v>754</v>
      </c>
    </row>
    <row r="684" spans="1:6" x14ac:dyDescent="0.25">
      <c r="A684" t="s">
        <v>876</v>
      </c>
      <c r="B684" t="s">
        <v>39</v>
      </c>
      <c r="C684" s="52">
        <v>44689</v>
      </c>
      <c r="D684" s="20" t="s">
        <v>2523</v>
      </c>
      <c r="E684" t="s">
        <v>877</v>
      </c>
      <c r="F684" t="s">
        <v>754</v>
      </c>
    </row>
    <row r="685" spans="1:6" x14ac:dyDescent="0.25">
      <c r="A685" t="s">
        <v>878</v>
      </c>
      <c r="B685" t="s">
        <v>885</v>
      </c>
      <c r="C685" s="52">
        <v>44689</v>
      </c>
      <c r="D685" s="20">
        <v>0.41696759259259297</v>
      </c>
      <c r="E685" t="s">
        <v>1465</v>
      </c>
      <c r="F685" t="s">
        <v>754</v>
      </c>
    </row>
    <row r="686" spans="1:6" x14ac:dyDescent="0.25">
      <c r="A686" t="s">
        <v>876</v>
      </c>
      <c r="B686" t="s">
        <v>39</v>
      </c>
      <c r="C686" s="52">
        <v>44689</v>
      </c>
      <c r="D686" s="20" t="s">
        <v>2524</v>
      </c>
      <c r="E686" t="s">
        <v>877</v>
      </c>
      <c r="F686" t="s">
        <v>754</v>
      </c>
    </row>
    <row r="687" spans="1:6" x14ac:dyDescent="0.25">
      <c r="A687" t="s">
        <v>878</v>
      </c>
      <c r="B687" t="s">
        <v>885</v>
      </c>
      <c r="C687" s="52">
        <v>44689</v>
      </c>
      <c r="D687" s="20">
        <v>0.46672453703703698</v>
      </c>
      <c r="E687" t="s">
        <v>1465</v>
      </c>
      <c r="F687" t="s">
        <v>754</v>
      </c>
    </row>
    <row r="688" spans="1:6" x14ac:dyDescent="0.25">
      <c r="A688" t="s">
        <v>876</v>
      </c>
      <c r="B688" t="s">
        <v>39</v>
      </c>
      <c r="C688" s="52">
        <v>44689</v>
      </c>
      <c r="D688" s="20" t="s">
        <v>2525</v>
      </c>
      <c r="E688" t="s">
        <v>877</v>
      </c>
      <c r="F688" t="s">
        <v>754</v>
      </c>
    </row>
    <row r="689" spans="1:6" x14ac:dyDescent="0.25">
      <c r="A689" t="s">
        <v>878</v>
      </c>
      <c r="B689" t="s">
        <v>885</v>
      </c>
      <c r="C689" s="52">
        <v>44689</v>
      </c>
      <c r="D689" s="20">
        <v>0.46896990740740702</v>
      </c>
      <c r="E689" t="s">
        <v>1465</v>
      </c>
      <c r="F689" t="s">
        <v>754</v>
      </c>
    </row>
    <row r="690" spans="1:6" x14ac:dyDescent="0.25">
      <c r="A690" t="s">
        <v>876</v>
      </c>
      <c r="B690" t="s">
        <v>39</v>
      </c>
      <c r="C690" s="52">
        <v>44689</v>
      </c>
      <c r="D690" s="20" t="s">
        <v>2526</v>
      </c>
      <c r="E690" t="s">
        <v>877</v>
      </c>
      <c r="F690" t="s">
        <v>754</v>
      </c>
    </row>
    <row r="691" spans="1:6" x14ac:dyDescent="0.25">
      <c r="A691" t="s">
        <v>878</v>
      </c>
      <c r="B691" t="s">
        <v>885</v>
      </c>
      <c r="C691" s="52">
        <v>44689</v>
      </c>
      <c r="D691" s="20">
        <v>0.48834490740740699</v>
      </c>
      <c r="E691" t="s">
        <v>1465</v>
      </c>
      <c r="F691" t="s">
        <v>754</v>
      </c>
    </row>
    <row r="692" spans="1:6" x14ac:dyDescent="0.25">
      <c r="A692" t="s">
        <v>876</v>
      </c>
      <c r="B692" t="s">
        <v>39</v>
      </c>
      <c r="C692" s="52">
        <v>44689</v>
      </c>
      <c r="D692" s="20" t="s">
        <v>2527</v>
      </c>
      <c r="E692" t="s">
        <v>877</v>
      </c>
      <c r="F692" t="s">
        <v>754</v>
      </c>
    </row>
    <row r="693" spans="1:6" x14ac:dyDescent="0.25">
      <c r="A693" t="s">
        <v>878</v>
      </c>
      <c r="B693" t="s">
        <v>885</v>
      </c>
      <c r="C693" s="52">
        <v>44689</v>
      </c>
      <c r="D693" s="20">
        <v>0.593483796296296</v>
      </c>
      <c r="E693" t="s">
        <v>723</v>
      </c>
      <c r="F693" t="s">
        <v>754</v>
      </c>
    </row>
    <row r="694" spans="1:6" x14ac:dyDescent="0.25">
      <c r="A694" t="s">
        <v>876</v>
      </c>
      <c r="B694" t="s">
        <v>39</v>
      </c>
      <c r="C694" s="52">
        <v>44689</v>
      </c>
      <c r="D694" s="20" t="s">
        <v>2528</v>
      </c>
      <c r="E694" t="s">
        <v>877</v>
      </c>
      <c r="F694" t="s">
        <v>754</v>
      </c>
    </row>
    <row r="695" spans="1:6" x14ac:dyDescent="0.25">
      <c r="A695" t="s">
        <v>878</v>
      </c>
      <c r="B695" t="s">
        <v>885</v>
      </c>
      <c r="C695" s="52">
        <v>44689</v>
      </c>
      <c r="D695" s="20">
        <v>0.60857638888888899</v>
      </c>
      <c r="E695" t="s">
        <v>723</v>
      </c>
      <c r="F695" t="s">
        <v>754</v>
      </c>
    </row>
    <row r="696" spans="1:6" x14ac:dyDescent="0.25">
      <c r="A696" t="s">
        <v>876</v>
      </c>
      <c r="B696" t="s">
        <v>39</v>
      </c>
      <c r="C696" s="52">
        <v>44689</v>
      </c>
      <c r="D696" s="20" t="s">
        <v>2529</v>
      </c>
      <c r="E696" t="s">
        <v>877</v>
      </c>
      <c r="F696" t="s">
        <v>754</v>
      </c>
    </row>
    <row r="697" spans="1:6" x14ac:dyDescent="0.25">
      <c r="A697" t="s">
        <v>878</v>
      </c>
      <c r="B697" t="s">
        <v>885</v>
      </c>
      <c r="C697" s="52">
        <v>44689</v>
      </c>
      <c r="D697" s="20">
        <v>0.70037037037036998</v>
      </c>
      <c r="E697" t="s">
        <v>723</v>
      </c>
      <c r="F697" t="s">
        <v>754</v>
      </c>
    </row>
    <row r="698" spans="1:6" x14ac:dyDescent="0.25">
      <c r="A698" t="s">
        <v>876</v>
      </c>
      <c r="B698" t="s">
        <v>39</v>
      </c>
      <c r="C698" s="52">
        <v>44689</v>
      </c>
      <c r="D698" s="20" t="s">
        <v>2530</v>
      </c>
      <c r="E698" t="s">
        <v>877</v>
      </c>
      <c r="F698" t="s">
        <v>754</v>
      </c>
    </row>
    <row r="699" spans="1:6" x14ac:dyDescent="0.25">
      <c r="A699" t="s">
        <v>878</v>
      </c>
      <c r="B699" t="s">
        <v>885</v>
      </c>
      <c r="C699" s="52">
        <v>44689</v>
      </c>
      <c r="D699" s="20">
        <v>0.73967592592592601</v>
      </c>
      <c r="E699" t="s">
        <v>723</v>
      </c>
      <c r="F699" t="s">
        <v>754</v>
      </c>
    </row>
    <row r="700" spans="1:6" x14ac:dyDescent="0.25">
      <c r="A700" t="s">
        <v>876</v>
      </c>
      <c r="B700" t="s">
        <v>39</v>
      </c>
      <c r="C700" s="52">
        <v>44689</v>
      </c>
      <c r="D700" s="20" t="s">
        <v>2531</v>
      </c>
      <c r="E700" t="s">
        <v>877</v>
      </c>
      <c r="F700" t="s">
        <v>754</v>
      </c>
    </row>
    <row r="701" spans="1:6" x14ac:dyDescent="0.25">
      <c r="A701" t="s">
        <v>878</v>
      </c>
      <c r="B701" t="s">
        <v>885</v>
      </c>
      <c r="C701" s="52">
        <v>44689</v>
      </c>
      <c r="D701" s="20">
        <v>0.80222222222222195</v>
      </c>
      <c r="E701" t="s">
        <v>722</v>
      </c>
      <c r="F701" t="s">
        <v>754</v>
      </c>
    </row>
    <row r="702" spans="1:6" x14ac:dyDescent="0.25">
      <c r="A702" t="s">
        <v>876</v>
      </c>
      <c r="B702" t="s">
        <v>39</v>
      </c>
      <c r="C702" s="52">
        <v>44689</v>
      </c>
      <c r="D702" s="20" t="s">
        <v>2532</v>
      </c>
      <c r="E702" t="s">
        <v>877</v>
      </c>
      <c r="F702" t="s">
        <v>754</v>
      </c>
    </row>
    <row r="703" spans="1:6" x14ac:dyDescent="0.25">
      <c r="A703" t="s">
        <v>878</v>
      </c>
      <c r="B703" t="s">
        <v>885</v>
      </c>
      <c r="C703" s="52">
        <v>44689</v>
      </c>
      <c r="D703" s="20">
        <v>0.81405092592592598</v>
      </c>
      <c r="E703" t="s">
        <v>722</v>
      </c>
      <c r="F703" t="s">
        <v>754</v>
      </c>
    </row>
    <row r="704" spans="1:6" x14ac:dyDescent="0.25">
      <c r="A704" t="s">
        <v>876</v>
      </c>
      <c r="B704" t="s">
        <v>39</v>
      </c>
      <c r="C704" s="52">
        <v>44689</v>
      </c>
      <c r="D704" s="20" t="s">
        <v>2533</v>
      </c>
      <c r="E704" t="s">
        <v>877</v>
      </c>
      <c r="F704" t="s">
        <v>754</v>
      </c>
    </row>
    <row r="705" spans="1:6" x14ac:dyDescent="0.25">
      <c r="A705" t="s">
        <v>878</v>
      </c>
      <c r="B705" t="s">
        <v>885</v>
      </c>
      <c r="C705" s="52">
        <v>44689</v>
      </c>
      <c r="D705" s="20">
        <v>0.85581018518518504</v>
      </c>
      <c r="E705" t="s">
        <v>722</v>
      </c>
      <c r="F705" t="s">
        <v>754</v>
      </c>
    </row>
    <row r="706" spans="1:6" x14ac:dyDescent="0.25">
      <c r="A706" t="s">
        <v>876</v>
      </c>
      <c r="B706" t="s">
        <v>39</v>
      </c>
      <c r="C706" s="52">
        <v>44689</v>
      </c>
      <c r="D706" s="20" t="s">
        <v>2534</v>
      </c>
      <c r="E706" t="s">
        <v>877</v>
      </c>
      <c r="F706" t="s">
        <v>754</v>
      </c>
    </row>
    <row r="707" spans="1:6" x14ac:dyDescent="0.25">
      <c r="A707" t="s">
        <v>878</v>
      </c>
      <c r="B707" t="s">
        <v>885</v>
      </c>
      <c r="C707" s="52">
        <v>44689</v>
      </c>
      <c r="D707" s="20">
        <v>0.88476851851851901</v>
      </c>
      <c r="E707" t="s">
        <v>722</v>
      </c>
      <c r="F707" t="s">
        <v>754</v>
      </c>
    </row>
    <row r="708" spans="1:6" x14ac:dyDescent="0.25">
      <c r="A708" t="s">
        <v>876</v>
      </c>
      <c r="B708" t="s">
        <v>39</v>
      </c>
      <c r="C708" s="52">
        <v>44689</v>
      </c>
      <c r="D708" s="20" t="s">
        <v>2535</v>
      </c>
      <c r="E708" t="s">
        <v>877</v>
      </c>
      <c r="F708" t="s">
        <v>754</v>
      </c>
    </row>
    <row r="709" spans="1:6" x14ac:dyDescent="0.25">
      <c r="A709" t="s">
        <v>878</v>
      </c>
      <c r="B709" t="s">
        <v>885</v>
      </c>
      <c r="C709" s="52">
        <v>44689</v>
      </c>
      <c r="D709" s="20">
        <v>0.97814814814814799</v>
      </c>
      <c r="E709" t="s">
        <v>722</v>
      </c>
      <c r="F709" t="s">
        <v>754</v>
      </c>
    </row>
    <row r="710" spans="1:6" x14ac:dyDescent="0.25">
      <c r="A710" t="s">
        <v>876</v>
      </c>
      <c r="B710" t="s">
        <v>39</v>
      </c>
      <c r="C710" s="52">
        <v>44720</v>
      </c>
      <c r="D710" s="20" t="s">
        <v>2536</v>
      </c>
      <c r="E710" t="s">
        <v>877</v>
      </c>
      <c r="F710" t="s">
        <v>754</v>
      </c>
    </row>
    <row r="711" spans="1:6" x14ac:dyDescent="0.25">
      <c r="A711" t="s">
        <v>878</v>
      </c>
      <c r="B711" t="s">
        <v>885</v>
      </c>
      <c r="C711" s="52">
        <v>44720</v>
      </c>
      <c r="D711" s="20">
        <v>0.56799768518518501</v>
      </c>
      <c r="E711" t="s">
        <v>1465</v>
      </c>
      <c r="F711" t="s">
        <v>754</v>
      </c>
    </row>
    <row r="712" spans="1:6" x14ac:dyDescent="0.25">
      <c r="A712" t="s">
        <v>876</v>
      </c>
      <c r="B712" t="s">
        <v>39</v>
      </c>
      <c r="C712" s="52">
        <v>44720</v>
      </c>
      <c r="D712" s="20" t="s">
        <v>2537</v>
      </c>
      <c r="E712" t="s">
        <v>877</v>
      </c>
      <c r="F712" t="s">
        <v>754</v>
      </c>
    </row>
    <row r="713" spans="1:6" x14ac:dyDescent="0.25">
      <c r="A713" t="s">
        <v>878</v>
      </c>
      <c r="B713" t="s">
        <v>885</v>
      </c>
      <c r="C713" s="52">
        <v>44720</v>
      </c>
      <c r="D713" s="20">
        <v>0.65493055555555602</v>
      </c>
      <c r="E713" t="s">
        <v>901</v>
      </c>
      <c r="F713" t="s">
        <v>754</v>
      </c>
    </row>
    <row r="714" spans="1:6" x14ac:dyDescent="0.25">
      <c r="A714" t="s">
        <v>876</v>
      </c>
      <c r="B714" t="s">
        <v>39</v>
      </c>
      <c r="C714" s="52">
        <v>44750</v>
      </c>
      <c r="D714" s="20" t="s">
        <v>2538</v>
      </c>
      <c r="E714" t="s">
        <v>877</v>
      </c>
      <c r="F714" t="s">
        <v>754</v>
      </c>
    </row>
    <row r="715" spans="1:6" x14ac:dyDescent="0.25">
      <c r="A715" t="s">
        <v>878</v>
      </c>
      <c r="B715" t="s">
        <v>885</v>
      </c>
      <c r="C715" s="52">
        <v>44750</v>
      </c>
      <c r="D715" s="20">
        <v>0.40763888888888899</v>
      </c>
      <c r="E715" t="s">
        <v>1465</v>
      </c>
      <c r="F715" t="s">
        <v>754</v>
      </c>
    </row>
    <row r="716" spans="1:6" x14ac:dyDescent="0.25">
      <c r="A716" t="s">
        <v>876</v>
      </c>
      <c r="B716" t="s">
        <v>39</v>
      </c>
      <c r="C716" s="52">
        <v>44750</v>
      </c>
      <c r="D716" s="20" t="s">
        <v>2539</v>
      </c>
      <c r="E716" t="s">
        <v>877</v>
      </c>
      <c r="F716" t="s">
        <v>754</v>
      </c>
    </row>
    <row r="717" spans="1:6" x14ac:dyDescent="0.25">
      <c r="A717" t="s">
        <v>878</v>
      </c>
      <c r="B717" t="s">
        <v>885</v>
      </c>
      <c r="C717" s="52">
        <v>44750</v>
      </c>
      <c r="D717" s="20">
        <v>0.52186342592592605</v>
      </c>
      <c r="E717" t="s">
        <v>1465</v>
      </c>
      <c r="F717" t="s">
        <v>754</v>
      </c>
    </row>
    <row r="718" spans="1:6" x14ac:dyDescent="0.25">
      <c r="A718" t="s">
        <v>876</v>
      </c>
      <c r="B718" t="s">
        <v>39</v>
      </c>
      <c r="C718" s="52">
        <v>44750</v>
      </c>
      <c r="D718" s="20" t="s">
        <v>2540</v>
      </c>
      <c r="E718" t="s">
        <v>877</v>
      </c>
      <c r="F718" t="s">
        <v>754</v>
      </c>
    </row>
    <row r="719" spans="1:6" x14ac:dyDescent="0.25">
      <c r="A719" t="s">
        <v>878</v>
      </c>
      <c r="B719" t="s">
        <v>885</v>
      </c>
      <c r="C719" s="52">
        <v>44750</v>
      </c>
      <c r="D719" s="20">
        <v>0.81158564814814804</v>
      </c>
      <c r="E719" t="s">
        <v>1280</v>
      </c>
      <c r="F719" t="s">
        <v>754</v>
      </c>
    </row>
    <row r="720" spans="1:6" x14ac:dyDescent="0.25">
      <c r="A720" t="s">
        <v>876</v>
      </c>
      <c r="B720" t="s">
        <v>36</v>
      </c>
      <c r="C720" s="52">
        <v>44569</v>
      </c>
      <c r="D720" s="20" t="s">
        <v>1495</v>
      </c>
      <c r="E720" t="s">
        <v>877</v>
      </c>
      <c r="F720" t="s">
        <v>754</v>
      </c>
    </row>
    <row r="721" spans="1:6" x14ac:dyDescent="0.25">
      <c r="A721" t="s">
        <v>878</v>
      </c>
      <c r="B721" t="s">
        <v>886</v>
      </c>
      <c r="C721" s="52">
        <v>44569</v>
      </c>
      <c r="D721" s="20">
        <v>0.49528935185185202</v>
      </c>
      <c r="E721" t="s">
        <v>724</v>
      </c>
      <c r="F721" t="s">
        <v>754</v>
      </c>
    </row>
    <row r="722" spans="1:6" x14ac:dyDescent="0.25">
      <c r="A722" t="s">
        <v>876</v>
      </c>
      <c r="B722" t="s">
        <v>36</v>
      </c>
      <c r="C722" s="52">
        <v>44569</v>
      </c>
      <c r="D722" s="20" t="s">
        <v>1496</v>
      </c>
      <c r="E722" t="s">
        <v>877</v>
      </c>
      <c r="F722" t="s">
        <v>754</v>
      </c>
    </row>
    <row r="723" spans="1:6" x14ac:dyDescent="0.25">
      <c r="A723" t="s">
        <v>878</v>
      </c>
      <c r="B723" t="s">
        <v>886</v>
      </c>
      <c r="C723" s="52">
        <v>44569</v>
      </c>
      <c r="D723" s="20">
        <v>0.58893518518518495</v>
      </c>
      <c r="E723" t="s">
        <v>724</v>
      </c>
      <c r="F723" t="s">
        <v>754</v>
      </c>
    </row>
    <row r="724" spans="1:6" x14ac:dyDescent="0.25">
      <c r="A724" t="s">
        <v>876</v>
      </c>
      <c r="B724" t="s">
        <v>36</v>
      </c>
      <c r="C724" s="52">
        <v>44600</v>
      </c>
      <c r="D724" s="20" t="s">
        <v>858</v>
      </c>
      <c r="E724" t="s">
        <v>877</v>
      </c>
      <c r="F724" t="s">
        <v>754</v>
      </c>
    </row>
    <row r="725" spans="1:6" x14ac:dyDescent="0.25">
      <c r="A725" t="s">
        <v>878</v>
      </c>
      <c r="B725" t="s">
        <v>886</v>
      </c>
      <c r="C725" s="52">
        <v>44600</v>
      </c>
      <c r="D725" s="20">
        <v>0.47613425925925901</v>
      </c>
      <c r="E725" t="s">
        <v>724</v>
      </c>
      <c r="F725" t="s">
        <v>754</v>
      </c>
    </row>
    <row r="726" spans="1:6" x14ac:dyDescent="0.25">
      <c r="A726" t="s">
        <v>876</v>
      </c>
      <c r="B726" t="s">
        <v>36</v>
      </c>
      <c r="C726" s="52">
        <v>44600</v>
      </c>
      <c r="D726" s="20" t="s">
        <v>859</v>
      </c>
      <c r="E726" t="s">
        <v>877</v>
      </c>
      <c r="F726" t="s">
        <v>754</v>
      </c>
    </row>
    <row r="727" spans="1:6" x14ac:dyDescent="0.25">
      <c r="A727" t="s">
        <v>878</v>
      </c>
      <c r="B727" t="s">
        <v>886</v>
      </c>
      <c r="C727" s="52">
        <v>44600</v>
      </c>
      <c r="D727" s="20">
        <v>0.75775462962963003</v>
      </c>
      <c r="E727" t="s">
        <v>724</v>
      </c>
      <c r="F727" t="s">
        <v>754</v>
      </c>
    </row>
    <row r="728" spans="1:6" x14ac:dyDescent="0.25">
      <c r="A728" t="s">
        <v>876</v>
      </c>
      <c r="B728" t="s">
        <v>36</v>
      </c>
      <c r="C728" s="52">
        <v>44600</v>
      </c>
      <c r="D728" s="20" t="s">
        <v>860</v>
      </c>
      <c r="E728" t="s">
        <v>877</v>
      </c>
      <c r="F728" t="s">
        <v>754</v>
      </c>
    </row>
    <row r="729" spans="1:6" x14ac:dyDescent="0.25">
      <c r="A729" t="s">
        <v>878</v>
      </c>
      <c r="B729" t="s">
        <v>886</v>
      </c>
      <c r="C729" s="52">
        <v>44600</v>
      </c>
      <c r="D729" s="20">
        <v>0.81087962962963001</v>
      </c>
      <c r="E729" t="s">
        <v>725</v>
      </c>
      <c r="F729" t="s">
        <v>754</v>
      </c>
    </row>
    <row r="730" spans="1:6" x14ac:dyDescent="0.25">
      <c r="A730" t="s">
        <v>876</v>
      </c>
      <c r="B730" t="s">
        <v>36</v>
      </c>
      <c r="C730" s="52">
        <v>44628</v>
      </c>
      <c r="D730" s="20" t="s">
        <v>1305</v>
      </c>
      <c r="E730" t="s">
        <v>877</v>
      </c>
      <c r="F730" t="s">
        <v>754</v>
      </c>
    </row>
    <row r="731" spans="1:6" x14ac:dyDescent="0.25">
      <c r="A731" t="s">
        <v>878</v>
      </c>
      <c r="B731" t="s">
        <v>886</v>
      </c>
      <c r="C731" s="52">
        <v>44628</v>
      </c>
      <c r="D731" s="20">
        <v>0.37593749999999998</v>
      </c>
      <c r="E731" t="s">
        <v>724</v>
      </c>
      <c r="F731" t="s">
        <v>754</v>
      </c>
    </row>
    <row r="732" spans="1:6" x14ac:dyDescent="0.25">
      <c r="A732" t="s">
        <v>876</v>
      </c>
      <c r="B732" t="s">
        <v>36</v>
      </c>
      <c r="C732" s="52">
        <v>44628</v>
      </c>
      <c r="D732" s="20" t="s">
        <v>1306</v>
      </c>
      <c r="E732" t="s">
        <v>877</v>
      </c>
      <c r="F732" t="s">
        <v>754</v>
      </c>
    </row>
    <row r="733" spans="1:6" x14ac:dyDescent="0.25">
      <c r="A733" t="s">
        <v>878</v>
      </c>
      <c r="B733" t="s">
        <v>886</v>
      </c>
      <c r="C733" s="52">
        <v>44628</v>
      </c>
      <c r="D733" s="20">
        <v>0.44135416666666699</v>
      </c>
      <c r="E733" t="s">
        <v>724</v>
      </c>
      <c r="F733" t="s">
        <v>754</v>
      </c>
    </row>
    <row r="734" spans="1:6" x14ac:dyDescent="0.25">
      <c r="A734" t="s">
        <v>876</v>
      </c>
      <c r="B734" t="s">
        <v>36</v>
      </c>
      <c r="C734" s="52">
        <v>44628</v>
      </c>
      <c r="D734" s="20" t="s">
        <v>1307</v>
      </c>
      <c r="E734" t="s">
        <v>877</v>
      </c>
      <c r="F734" t="s">
        <v>754</v>
      </c>
    </row>
    <row r="735" spans="1:6" x14ac:dyDescent="0.25">
      <c r="A735" t="s">
        <v>878</v>
      </c>
      <c r="B735" t="s">
        <v>886</v>
      </c>
      <c r="C735" s="52">
        <v>44628</v>
      </c>
      <c r="D735" s="20">
        <v>0.49901620370370398</v>
      </c>
      <c r="E735" t="s">
        <v>724</v>
      </c>
      <c r="F735" t="s">
        <v>754</v>
      </c>
    </row>
    <row r="736" spans="1:6" x14ac:dyDescent="0.25">
      <c r="A736" t="s">
        <v>876</v>
      </c>
      <c r="B736" t="s">
        <v>36</v>
      </c>
      <c r="C736" s="52">
        <v>44628</v>
      </c>
      <c r="D736" s="20" t="s">
        <v>1308</v>
      </c>
      <c r="E736" t="s">
        <v>877</v>
      </c>
      <c r="F736" t="s">
        <v>754</v>
      </c>
    </row>
    <row r="737" spans="1:6" x14ac:dyDescent="0.25">
      <c r="A737" t="s">
        <v>878</v>
      </c>
      <c r="B737" t="s">
        <v>886</v>
      </c>
      <c r="C737" s="52">
        <v>44628</v>
      </c>
      <c r="D737" s="20">
        <v>0.59203703703703703</v>
      </c>
      <c r="E737" t="s">
        <v>724</v>
      </c>
      <c r="F737" t="s">
        <v>754</v>
      </c>
    </row>
    <row r="738" spans="1:6" x14ac:dyDescent="0.25">
      <c r="A738" t="s">
        <v>876</v>
      </c>
      <c r="B738" t="s">
        <v>36</v>
      </c>
      <c r="C738" s="52">
        <v>44628</v>
      </c>
      <c r="D738" s="20" t="s">
        <v>1309</v>
      </c>
      <c r="E738" t="s">
        <v>877</v>
      </c>
      <c r="F738" t="s">
        <v>754</v>
      </c>
    </row>
    <row r="739" spans="1:6" x14ac:dyDescent="0.25">
      <c r="A739" t="s">
        <v>878</v>
      </c>
      <c r="B739" t="s">
        <v>886</v>
      </c>
      <c r="C739" s="52">
        <v>44628</v>
      </c>
      <c r="D739" s="20">
        <v>0.63268518518518502</v>
      </c>
      <c r="E739" t="s">
        <v>724</v>
      </c>
      <c r="F739" t="s">
        <v>754</v>
      </c>
    </row>
    <row r="740" spans="1:6" x14ac:dyDescent="0.25">
      <c r="A740" t="s">
        <v>876</v>
      </c>
      <c r="B740" t="s">
        <v>36</v>
      </c>
      <c r="C740" s="52">
        <v>44659</v>
      </c>
      <c r="D740" s="20" t="s">
        <v>971</v>
      </c>
      <c r="E740" t="s">
        <v>877</v>
      </c>
      <c r="F740" t="s">
        <v>754</v>
      </c>
    </row>
    <row r="741" spans="1:6" x14ac:dyDescent="0.25">
      <c r="A741" t="s">
        <v>878</v>
      </c>
      <c r="B741" t="s">
        <v>886</v>
      </c>
      <c r="C741" s="52">
        <v>44659</v>
      </c>
      <c r="D741" s="20">
        <v>0.43626157407407401</v>
      </c>
      <c r="E741" t="s">
        <v>724</v>
      </c>
      <c r="F741" t="s">
        <v>754</v>
      </c>
    </row>
    <row r="742" spans="1:6" x14ac:dyDescent="0.25">
      <c r="A742" t="s">
        <v>876</v>
      </c>
      <c r="B742" t="s">
        <v>36</v>
      </c>
      <c r="C742" s="52">
        <v>44659</v>
      </c>
      <c r="D742" s="20" t="s">
        <v>972</v>
      </c>
      <c r="E742" t="s">
        <v>877</v>
      </c>
      <c r="F742" t="s">
        <v>754</v>
      </c>
    </row>
    <row r="743" spans="1:6" x14ac:dyDescent="0.25">
      <c r="A743" t="s">
        <v>878</v>
      </c>
      <c r="B743" t="s">
        <v>886</v>
      </c>
      <c r="C743" s="52">
        <v>44659</v>
      </c>
      <c r="D743" s="20">
        <v>0.459780092592593</v>
      </c>
      <c r="E743" t="s">
        <v>724</v>
      </c>
      <c r="F743" t="s">
        <v>754</v>
      </c>
    </row>
    <row r="744" spans="1:6" x14ac:dyDescent="0.25">
      <c r="A744" t="s">
        <v>876</v>
      </c>
      <c r="B744" t="s">
        <v>36</v>
      </c>
      <c r="C744" s="52">
        <v>44659</v>
      </c>
      <c r="D744" s="20" t="s">
        <v>973</v>
      </c>
      <c r="E744" t="s">
        <v>877</v>
      </c>
      <c r="F744" t="s">
        <v>754</v>
      </c>
    </row>
    <row r="745" spans="1:6" x14ac:dyDescent="0.25">
      <c r="A745" t="s">
        <v>878</v>
      </c>
      <c r="B745" t="s">
        <v>886</v>
      </c>
      <c r="C745" s="52">
        <v>44659</v>
      </c>
      <c r="D745" s="20">
        <v>0.47319444444444397</v>
      </c>
      <c r="E745" t="s">
        <v>724</v>
      </c>
      <c r="F745" t="s">
        <v>754</v>
      </c>
    </row>
    <row r="746" spans="1:6" x14ac:dyDescent="0.25">
      <c r="A746" t="s">
        <v>876</v>
      </c>
      <c r="B746" t="s">
        <v>36</v>
      </c>
      <c r="C746" s="52">
        <v>44659</v>
      </c>
      <c r="D746" s="20" t="s">
        <v>974</v>
      </c>
      <c r="E746" t="s">
        <v>877</v>
      </c>
      <c r="F746" t="s">
        <v>754</v>
      </c>
    </row>
    <row r="747" spans="1:6" x14ac:dyDescent="0.25">
      <c r="A747" t="s">
        <v>878</v>
      </c>
      <c r="B747" t="s">
        <v>886</v>
      </c>
      <c r="C747" s="52">
        <v>44659</v>
      </c>
      <c r="D747" s="20">
        <v>0.54709490740740696</v>
      </c>
      <c r="E747" t="s">
        <v>724</v>
      </c>
      <c r="F747" t="s">
        <v>754</v>
      </c>
    </row>
    <row r="748" spans="1:6" x14ac:dyDescent="0.25">
      <c r="A748" t="s">
        <v>876</v>
      </c>
      <c r="B748" t="s">
        <v>36</v>
      </c>
      <c r="C748" s="52">
        <v>44659</v>
      </c>
      <c r="D748" s="20" t="s">
        <v>975</v>
      </c>
      <c r="E748" t="s">
        <v>877</v>
      </c>
      <c r="F748" t="s">
        <v>754</v>
      </c>
    </row>
    <row r="749" spans="1:6" x14ac:dyDescent="0.25">
      <c r="A749" t="s">
        <v>878</v>
      </c>
      <c r="B749" t="s">
        <v>886</v>
      </c>
      <c r="C749" s="52">
        <v>44659</v>
      </c>
      <c r="D749" s="20">
        <v>0.66918981481481499</v>
      </c>
      <c r="E749" t="s">
        <v>724</v>
      </c>
      <c r="F749" t="s">
        <v>754</v>
      </c>
    </row>
    <row r="750" spans="1:6" x14ac:dyDescent="0.25">
      <c r="A750" t="s">
        <v>876</v>
      </c>
      <c r="B750" t="s">
        <v>36</v>
      </c>
      <c r="C750" s="52">
        <v>44659</v>
      </c>
      <c r="D750" s="20" t="s">
        <v>976</v>
      </c>
      <c r="E750" t="s">
        <v>877</v>
      </c>
      <c r="F750" t="s">
        <v>754</v>
      </c>
    </row>
    <row r="751" spans="1:6" x14ac:dyDescent="0.25">
      <c r="A751" t="s">
        <v>878</v>
      </c>
      <c r="B751" t="s">
        <v>886</v>
      </c>
      <c r="C751" s="52">
        <v>44659</v>
      </c>
      <c r="D751" s="20">
        <v>0.73469907407407398</v>
      </c>
      <c r="E751" t="s">
        <v>724</v>
      </c>
      <c r="F751" t="s">
        <v>754</v>
      </c>
    </row>
    <row r="752" spans="1:6" x14ac:dyDescent="0.25">
      <c r="A752" t="s">
        <v>876</v>
      </c>
      <c r="B752" t="s">
        <v>36</v>
      </c>
      <c r="C752" s="52">
        <v>44659</v>
      </c>
      <c r="D752" s="20" t="s">
        <v>977</v>
      </c>
      <c r="E752" t="s">
        <v>877</v>
      </c>
      <c r="F752" t="s">
        <v>754</v>
      </c>
    </row>
    <row r="753" spans="1:6" x14ac:dyDescent="0.25">
      <c r="A753" t="s">
        <v>878</v>
      </c>
      <c r="B753" t="s">
        <v>886</v>
      </c>
      <c r="C753" s="52">
        <v>44659</v>
      </c>
      <c r="D753" s="20">
        <v>0.74483796296296301</v>
      </c>
      <c r="E753" t="s">
        <v>724</v>
      </c>
      <c r="F753" t="s">
        <v>754</v>
      </c>
    </row>
    <row r="754" spans="1:6" x14ac:dyDescent="0.25">
      <c r="A754" t="s">
        <v>876</v>
      </c>
      <c r="B754" t="s">
        <v>36</v>
      </c>
      <c r="C754" s="52">
        <v>44659</v>
      </c>
      <c r="D754" s="20" t="s">
        <v>978</v>
      </c>
      <c r="E754" t="s">
        <v>877</v>
      </c>
      <c r="F754" t="s">
        <v>754</v>
      </c>
    </row>
    <row r="755" spans="1:6" x14ac:dyDescent="0.25">
      <c r="A755" t="s">
        <v>878</v>
      </c>
      <c r="B755" t="s">
        <v>886</v>
      </c>
      <c r="C755" s="52">
        <v>44659</v>
      </c>
      <c r="D755" s="20">
        <v>0.74747685185185198</v>
      </c>
      <c r="E755" t="s">
        <v>724</v>
      </c>
      <c r="F755" t="s">
        <v>754</v>
      </c>
    </row>
    <row r="756" spans="1:6" x14ac:dyDescent="0.25">
      <c r="A756" t="s">
        <v>876</v>
      </c>
      <c r="B756" t="s">
        <v>36</v>
      </c>
      <c r="C756" s="52">
        <v>44659</v>
      </c>
      <c r="D756" s="20" t="s">
        <v>979</v>
      </c>
      <c r="E756" t="s">
        <v>877</v>
      </c>
      <c r="F756" t="s">
        <v>754</v>
      </c>
    </row>
    <row r="757" spans="1:6" x14ac:dyDescent="0.25">
      <c r="A757" t="s">
        <v>878</v>
      </c>
      <c r="B757" t="s">
        <v>886</v>
      </c>
      <c r="C757" s="52">
        <v>44659</v>
      </c>
      <c r="D757" s="20">
        <v>0.75033564814814802</v>
      </c>
      <c r="E757" t="s">
        <v>724</v>
      </c>
      <c r="F757" t="s">
        <v>754</v>
      </c>
    </row>
    <row r="758" spans="1:6" x14ac:dyDescent="0.25">
      <c r="A758" t="s">
        <v>876</v>
      </c>
      <c r="B758" t="s">
        <v>36</v>
      </c>
      <c r="C758" s="52">
        <v>44659</v>
      </c>
      <c r="D758" s="20" t="s">
        <v>980</v>
      </c>
      <c r="E758" t="s">
        <v>877</v>
      </c>
      <c r="F758" t="s">
        <v>754</v>
      </c>
    </row>
    <row r="759" spans="1:6" x14ac:dyDescent="0.25">
      <c r="A759" t="s">
        <v>878</v>
      </c>
      <c r="B759" t="s">
        <v>886</v>
      </c>
      <c r="C759" s="52">
        <v>44659</v>
      </c>
      <c r="D759" s="20">
        <v>0.76322916666666696</v>
      </c>
      <c r="E759" t="s">
        <v>725</v>
      </c>
      <c r="F759" t="s">
        <v>754</v>
      </c>
    </row>
    <row r="760" spans="1:6" x14ac:dyDescent="0.25">
      <c r="A760" t="s">
        <v>876</v>
      </c>
      <c r="B760" t="s">
        <v>36</v>
      </c>
      <c r="C760" s="52">
        <v>44659</v>
      </c>
      <c r="D760" s="20" t="s">
        <v>981</v>
      </c>
      <c r="E760" t="s">
        <v>877</v>
      </c>
      <c r="F760" t="s">
        <v>754</v>
      </c>
    </row>
    <row r="761" spans="1:6" x14ac:dyDescent="0.25">
      <c r="A761" t="s">
        <v>878</v>
      </c>
      <c r="B761" t="s">
        <v>886</v>
      </c>
      <c r="C761" s="52">
        <v>44659</v>
      </c>
      <c r="D761" s="20">
        <v>0.83098379629629604</v>
      </c>
      <c r="E761" t="s">
        <v>725</v>
      </c>
      <c r="F761" t="s">
        <v>754</v>
      </c>
    </row>
    <row r="762" spans="1:6" x14ac:dyDescent="0.25">
      <c r="A762" t="s">
        <v>876</v>
      </c>
      <c r="B762" t="s">
        <v>36</v>
      </c>
      <c r="C762" s="52">
        <v>44659</v>
      </c>
      <c r="D762" s="20" t="s">
        <v>982</v>
      </c>
      <c r="E762" t="s">
        <v>877</v>
      </c>
      <c r="F762" t="s">
        <v>754</v>
      </c>
    </row>
    <row r="763" spans="1:6" x14ac:dyDescent="0.25">
      <c r="A763" t="s">
        <v>878</v>
      </c>
      <c r="B763" t="s">
        <v>886</v>
      </c>
      <c r="C763" s="52">
        <v>44659</v>
      </c>
      <c r="D763" s="20">
        <v>0.85502314814814795</v>
      </c>
      <c r="E763" t="s">
        <v>725</v>
      </c>
      <c r="F763" t="s">
        <v>754</v>
      </c>
    </row>
    <row r="764" spans="1:6" x14ac:dyDescent="0.25">
      <c r="A764" t="s">
        <v>876</v>
      </c>
      <c r="B764" t="s">
        <v>36</v>
      </c>
      <c r="C764" s="52">
        <v>44659</v>
      </c>
      <c r="D764" s="20" t="s">
        <v>983</v>
      </c>
      <c r="E764" t="s">
        <v>877</v>
      </c>
      <c r="F764" t="s">
        <v>754</v>
      </c>
    </row>
    <row r="765" spans="1:6" x14ac:dyDescent="0.25">
      <c r="A765" t="s">
        <v>878</v>
      </c>
      <c r="B765" t="s">
        <v>886</v>
      </c>
      <c r="C765" s="52">
        <v>44659</v>
      </c>
      <c r="D765" s="20">
        <v>0.87291666666666701</v>
      </c>
      <c r="E765" t="s">
        <v>725</v>
      </c>
      <c r="F765" t="s">
        <v>754</v>
      </c>
    </row>
    <row r="766" spans="1:6" x14ac:dyDescent="0.25">
      <c r="A766" t="s">
        <v>876</v>
      </c>
      <c r="B766" t="s">
        <v>36</v>
      </c>
      <c r="C766" s="52">
        <v>44659</v>
      </c>
      <c r="D766" s="20" t="s">
        <v>984</v>
      </c>
      <c r="E766" t="s">
        <v>877</v>
      </c>
      <c r="F766" t="s">
        <v>754</v>
      </c>
    </row>
    <row r="767" spans="1:6" x14ac:dyDescent="0.25">
      <c r="A767" t="s">
        <v>878</v>
      </c>
      <c r="B767" t="s">
        <v>886</v>
      </c>
      <c r="C767" s="52">
        <v>44659</v>
      </c>
      <c r="D767" s="20">
        <v>0.87570601851851804</v>
      </c>
      <c r="E767" t="s">
        <v>725</v>
      </c>
      <c r="F767" t="s">
        <v>754</v>
      </c>
    </row>
    <row r="768" spans="1:6" x14ac:dyDescent="0.25">
      <c r="A768" t="s">
        <v>876</v>
      </c>
      <c r="B768" t="s">
        <v>36</v>
      </c>
      <c r="C768" s="52">
        <v>44659</v>
      </c>
      <c r="D768" s="20" t="s">
        <v>985</v>
      </c>
      <c r="E768" t="s">
        <v>877</v>
      </c>
      <c r="F768" t="s">
        <v>754</v>
      </c>
    </row>
    <row r="769" spans="1:6" x14ac:dyDescent="0.25">
      <c r="A769" t="s">
        <v>878</v>
      </c>
      <c r="B769" t="s">
        <v>886</v>
      </c>
      <c r="C769" s="52">
        <v>44659</v>
      </c>
      <c r="D769" s="20">
        <v>0.89707175925925897</v>
      </c>
      <c r="E769" t="s">
        <v>725</v>
      </c>
      <c r="F769" t="s">
        <v>754</v>
      </c>
    </row>
    <row r="770" spans="1:6" x14ac:dyDescent="0.25">
      <c r="A770" t="s">
        <v>876</v>
      </c>
      <c r="B770" t="s">
        <v>36</v>
      </c>
      <c r="C770" s="52">
        <v>44659</v>
      </c>
      <c r="D770" s="20" t="s">
        <v>986</v>
      </c>
      <c r="E770" t="s">
        <v>877</v>
      </c>
      <c r="F770" t="s">
        <v>754</v>
      </c>
    </row>
    <row r="771" spans="1:6" x14ac:dyDescent="0.25">
      <c r="A771" t="s">
        <v>878</v>
      </c>
      <c r="B771" t="s">
        <v>886</v>
      </c>
      <c r="C771" s="52">
        <v>44659</v>
      </c>
      <c r="D771" s="20">
        <v>0.90145833333333303</v>
      </c>
      <c r="E771" t="s">
        <v>725</v>
      </c>
      <c r="F771" t="s">
        <v>754</v>
      </c>
    </row>
    <row r="772" spans="1:6" x14ac:dyDescent="0.25">
      <c r="A772" t="s">
        <v>876</v>
      </c>
      <c r="B772" t="s">
        <v>36</v>
      </c>
      <c r="C772" s="52">
        <v>44659</v>
      </c>
      <c r="D772" s="20" t="s">
        <v>987</v>
      </c>
      <c r="E772" t="s">
        <v>877</v>
      </c>
      <c r="F772" t="s">
        <v>754</v>
      </c>
    </row>
    <row r="773" spans="1:6" x14ac:dyDescent="0.25">
      <c r="A773" t="s">
        <v>878</v>
      </c>
      <c r="B773" t="s">
        <v>886</v>
      </c>
      <c r="C773" s="52">
        <v>44659</v>
      </c>
      <c r="D773" s="20">
        <v>0.90726851851851897</v>
      </c>
      <c r="E773" t="s">
        <v>725</v>
      </c>
      <c r="F773" t="s">
        <v>754</v>
      </c>
    </row>
    <row r="774" spans="1:6" x14ac:dyDescent="0.25">
      <c r="A774" t="s">
        <v>876</v>
      </c>
      <c r="B774" t="s">
        <v>36</v>
      </c>
      <c r="C774" s="52">
        <v>44659</v>
      </c>
      <c r="D774" s="20" t="s">
        <v>988</v>
      </c>
      <c r="E774" t="s">
        <v>877</v>
      </c>
      <c r="F774" t="s">
        <v>754</v>
      </c>
    </row>
    <row r="775" spans="1:6" x14ac:dyDescent="0.25">
      <c r="A775" t="s">
        <v>878</v>
      </c>
      <c r="B775" t="s">
        <v>886</v>
      </c>
      <c r="C775" s="52">
        <v>44659</v>
      </c>
      <c r="D775" s="20">
        <v>0.91480324074074104</v>
      </c>
      <c r="E775" t="s">
        <v>725</v>
      </c>
      <c r="F775" t="s">
        <v>754</v>
      </c>
    </row>
    <row r="776" spans="1:6" x14ac:dyDescent="0.25">
      <c r="A776" t="s">
        <v>876</v>
      </c>
      <c r="B776" t="s">
        <v>36</v>
      </c>
      <c r="C776" s="52">
        <v>44659</v>
      </c>
      <c r="D776" s="20" t="s">
        <v>989</v>
      </c>
      <c r="E776" t="s">
        <v>877</v>
      </c>
      <c r="F776" t="s">
        <v>754</v>
      </c>
    </row>
    <row r="777" spans="1:6" x14ac:dyDescent="0.25">
      <c r="A777" t="s">
        <v>878</v>
      </c>
      <c r="B777" t="s">
        <v>886</v>
      </c>
      <c r="C777" s="52">
        <v>44659</v>
      </c>
      <c r="D777" s="20">
        <v>0.955509259259259</v>
      </c>
      <c r="E777" t="s">
        <v>725</v>
      </c>
      <c r="F777" t="s">
        <v>754</v>
      </c>
    </row>
    <row r="778" spans="1:6" x14ac:dyDescent="0.25">
      <c r="A778" t="s">
        <v>876</v>
      </c>
      <c r="B778" t="s">
        <v>36</v>
      </c>
      <c r="C778" s="52">
        <v>44659</v>
      </c>
      <c r="D778" s="20" t="s">
        <v>990</v>
      </c>
      <c r="E778" t="s">
        <v>877</v>
      </c>
      <c r="F778" t="s">
        <v>754</v>
      </c>
    </row>
    <row r="779" spans="1:6" x14ac:dyDescent="0.25">
      <c r="A779" t="s">
        <v>878</v>
      </c>
      <c r="B779" t="s">
        <v>886</v>
      </c>
      <c r="C779" s="52">
        <v>44659</v>
      </c>
      <c r="D779" s="20">
        <v>0.95848379629629599</v>
      </c>
      <c r="E779" t="s">
        <v>725</v>
      </c>
      <c r="F779" t="s">
        <v>754</v>
      </c>
    </row>
    <row r="780" spans="1:6" x14ac:dyDescent="0.25">
      <c r="A780" t="s">
        <v>876</v>
      </c>
      <c r="B780" t="s">
        <v>36</v>
      </c>
      <c r="C780" s="52">
        <v>44689</v>
      </c>
      <c r="D780" s="20" t="s">
        <v>2541</v>
      </c>
      <c r="E780" t="s">
        <v>877</v>
      </c>
      <c r="F780" t="s">
        <v>754</v>
      </c>
    </row>
    <row r="781" spans="1:6" x14ac:dyDescent="0.25">
      <c r="A781" t="s">
        <v>878</v>
      </c>
      <c r="B781" t="s">
        <v>886</v>
      </c>
      <c r="C781" s="52">
        <v>44689</v>
      </c>
      <c r="D781" s="20">
        <v>0.31025462962963002</v>
      </c>
      <c r="E781" t="s">
        <v>724</v>
      </c>
      <c r="F781" t="s">
        <v>754</v>
      </c>
    </row>
    <row r="782" spans="1:6" x14ac:dyDescent="0.25">
      <c r="A782" t="s">
        <v>876</v>
      </c>
      <c r="B782" t="s">
        <v>36</v>
      </c>
      <c r="C782" s="52">
        <v>44689</v>
      </c>
      <c r="D782" s="20" t="s">
        <v>2542</v>
      </c>
      <c r="E782" t="s">
        <v>877</v>
      </c>
      <c r="F782" t="s">
        <v>754</v>
      </c>
    </row>
    <row r="783" spans="1:6" x14ac:dyDescent="0.25">
      <c r="A783" t="s">
        <v>878</v>
      </c>
      <c r="B783" t="s">
        <v>886</v>
      </c>
      <c r="C783" s="52">
        <v>44689</v>
      </c>
      <c r="D783" s="20">
        <v>0.312002314814815</v>
      </c>
      <c r="E783" t="s">
        <v>724</v>
      </c>
      <c r="F783" t="s">
        <v>754</v>
      </c>
    </row>
    <row r="784" spans="1:6" x14ac:dyDescent="0.25">
      <c r="A784" t="s">
        <v>876</v>
      </c>
      <c r="B784" t="s">
        <v>36</v>
      </c>
      <c r="C784" s="52">
        <v>44689</v>
      </c>
      <c r="D784" s="20" t="s">
        <v>2543</v>
      </c>
      <c r="E784" t="s">
        <v>877</v>
      </c>
      <c r="F784" t="s">
        <v>754</v>
      </c>
    </row>
    <row r="785" spans="1:6" x14ac:dyDescent="0.25">
      <c r="A785" t="s">
        <v>878</v>
      </c>
      <c r="B785" t="s">
        <v>886</v>
      </c>
      <c r="C785" s="52">
        <v>44689</v>
      </c>
      <c r="D785" s="20">
        <v>0.31555555555555598</v>
      </c>
      <c r="E785" t="s">
        <v>724</v>
      </c>
      <c r="F785" t="s">
        <v>754</v>
      </c>
    </row>
    <row r="786" spans="1:6" x14ac:dyDescent="0.25">
      <c r="A786" t="s">
        <v>876</v>
      </c>
      <c r="B786" t="s">
        <v>36</v>
      </c>
      <c r="C786" s="52">
        <v>44689</v>
      </c>
      <c r="D786" s="20" t="s">
        <v>2544</v>
      </c>
      <c r="E786" t="s">
        <v>877</v>
      </c>
      <c r="F786" t="s">
        <v>754</v>
      </c>
    </row>
    <row r="787" spans="1:6" x14ac:dyDescent="0.25">
      <c r="A787" t="s">
        <v>878</v>
      </c>
      <c r="B787" t="s">
        <v>886</v>
      </c>
      <c r="C787" s="52">
        <v>44689</v>
      </c>
      <c r="D787" s="20">
        <v>0.32303240740740702</v>
      </c>
      <c r="E787" t="s">
        <v>724</v>
      </c>
      <c r="F787" t="s">
        <v>754</v>
      </c>
    </row>
    <row r="788" spans="1:6" x14ac:dyDescent="0.25">
      <c r="A788" t="s">
        <v>876</v>
      </c>
      <c r="B788" t="s">
        <v>36</v>
      </c>
      <c r="C788" s="52">
        <v>44689</v>
      </c>
      <c r="D788" s="20" t="s">
        <v>2545</v>
      </c>
      <c r="E788" t="s">
        <v>877</v>
      </c>
      <c r="F788" t="s">
        <v>754</v>
      </c>
    </row>
    <row r="789" spans="1:6" x14ac:dyDescent="0.25">
      <c r="A789" t="s">
        <v>878</v>
      </c>
      <c r="B789" t="s">
        <v>886</v>
      </c>
      <c r="C789" s="52">
        <v>44689</v>
      </c>
      <c r="D789" s="20">
        <v>0.32479166666666698</v>
      </c>
      <c r="E789" t="s">
        <v>724</v>
      </c>
      <c r="F789" t="s">
        <v>754</v>
      </c>
    </row>
    <row r="790" spans="1:6" x14ac:dyDescent="0.25">
      <c r="A790" t="s">
        <v>876</v>
      </c>
      <c r="B790" t="s">
        <v>36</v>
      </c>
      <c r="C790" s="52">
        <v>44689</v>
      </c>
      <c r="D790" s="20" t="s">
        <v>2546</v>
      </c>
      <c r="E790" t="s">
        <v>877</v>
      </c>
      <c r="F790" t="s">
        <v>754</v>
      </c>
    </row>
    <row r="791" spans="1:6" x14ac:dyDescent="0.25">
      <c r="A791" t="s">
        <v>878</v>
      </c>
      <c r="B791" t="s">
        <v>886</v>
      </c>
      <c r="C791" s="52">
        <v>44689</v>
      </c>
      <c r="D791" s="20">
        <v>0.32730324074074102</v>
      </c>
      <c r="E791" t="s">
        <v>724</v>
      </c>
      <c r="F791" t="s">
        <v>754</v>
      </c>
    </row>
    <row r="792" spans="1:6" x14ac:dyDescent="0.25">
      <c r="A792" t="s">
        <v>876</v>
      </c>
      <c r="B792" t="s">
        <v>36</v>
      </c>
      <c r="C792" s="52">
        <v>44689</v>
      </c>
      <c r="D792" s="20" t="s">
        <v>2547</v>
      </c>
      <c r="E792" t="s">
        <v>877</v>
      </c>
      <c r="F792" t="s">
        <v>754</v>
      </c>
    </row>
    <row r="793" spans="1:6" x14ac:dyDescent="0.25">
      <c r="A793" t="s">
        <v>878</v>
      </c>
      <c r="B793" t="s">
        <v>886</v>
      </c>
      <c r="C793" s="52">
        <v>44689</v>
      </c>
      <c r="D793" s="20">
        <v>0.330162037037037</v>
      </c>
      <c r="E793" t="s">
        <v>724</v>
      </c>
      <c r="F793" t="s">
        <v>754</v>
      </c>
    </row>
    <row r="794" spans="1:6" x14ac:dyDescent="0.25">
      <c r="A794" t="s">
        <v>876</v>
      </c>
      <c r="B794" t="s">
        <v>36</v>
      </c>
      <c r="C794" s="52">
        <v>44689</v>
      </c>
      <c r="D794" s="20" t="s">
        <v>2548</v>
      </c>
      <c r="E794" t="s">
        <v>877</v>
      </c>
      <c r="F794" t="s">
        <v>754</v>
      </c>
    </row>
    <row r="795" spans="1:6" x14ac:dyDescent="0.25">
      <c r="A795" t="s">
        <v>878</v>
      </c>
      <c r="B795" t="s">
        <v>886</v>
      </c>
      <c r="C795" s="52">
        <v>44689</v>
      </c>
      <c r="D795" s="20">
        <v>0.33292824074074101</v>
      </c>
      <c r="E795" t="s">
        <v>724</v>
      </c>
      <c r="F795" t="s">
        <v>754</v>
      </c>
    </row>
    <row r="796" spans="1:6" x14ac:dyDescent="0.25">
      <c r="A796" t="s">
        <v>876</v>
      </c>
      <c r="B796" t="s">
        <v>36</v>
      </c>
      <c r="C796" s="52">
        <v>44689</v>
      </c>
      <c r="D796" s="20" t="s">
        <v>2549</v>
      </c>
      <c r="E796" t="s">
        <v>877</v>
      </c>
      <c r="F796" t="s">
        <v>754</v>
      </c>
    </row>
    <row r="797" spans="1:6" x14ac:dyDescent="0.25">
      <c r="A797" t="s">
        <v>878</v>
      </c>
      <c r="B797" t="s">
        <v>886</v>
      </c>
      <c r="C797" s="52">
        <v>44689</v>
      </c>
      <c r="D797" s="20">
        <v>0.33386574074074099</v>
      </c>
      <c r="E797" t="s">
        <v>724</v>
      </c>
      <c r="F797" t="s">
        <v>754</v>
      </c>
    </row>
    <row r="798" spans="1:6" x14ac:dyDescent="0.25">
      <c r="A798" t="s">
        <v>876</v>
      </c>
      <c r="B798" t="s">
        <v>36</v>
      </c>
      <c r="C798" s="52">
        <v>44689</v>
      </c>
      <c r="D798" s="20" t="s">
        <v>2550</v>
      </c>
      <c r="E798" t="s">
        <v>877</v>
      </c>
      <c r="F798" t="s">
        <v>754</v>
      </c>
    </row>
    <row r="799" spans="1:6" x14ac:dyDescent="0.25">
      <c r="A799" t="s">
        <v>878</v>
      </c>
      <c r="B799" t="s">
        <v>886</v>
      </c>
      <c r="C799" s="52">
        <v>44689</v>
      </c>
      <c r="D799" s="20">
        <v>0.34180555555555597</v>
      </c>
      <c r="E799" t="s">
        <v>724</v>
      </c>
      <c r="F799" t="s">
        <v>754</v>
      </c>
    </row>
    <row r="800" spans="1:6" x14ac:dyDescent="0.25">
      <c r="A800" t="s">
        <v>876</v>
      </c>
      <c r="B800" t="s">
        <v>36</v>
      </c>
      <c r="C800" s="52">
        <v>44689</v>
      </c>
      <c r="D800" s="20" t="s">
        <v>2551</v>
      </c>
      <c r="E800" t="s">
        <v>877</v>
      </c>
      <c r="F800" t="s">
        <v>754</v>
      </c>
    </row>
    <row r="801" spans="1:6" x14ac:dyDescent="0.25">
      <c r="A801" t="s">
        <v>878</v>
      </c>
      <c r="B801" t="s">
        <v>886</v>
      </c>
      <c r="C801" s="52">
        <v>44689</v>
      </c>
      <c r="D801" s="20">
        <v>0.34493055555555602</v>
      </c>
      <c r="E801" t="s">
        <v>724</v>
      </c>
      <c r="F801" t="s">
        <v>754</v>
      </c>
    </row>
    <row r="802" spans="1:6" x14ac:dyDescent="0.25">
      <c r="A802" t="s">
        <v>876</v>
      </c>
      <c r="B802" t="s">
        <v>36</v>
      </c>
      <c r="C802" s="52">
        <v>44689</v>
      </c>
      <c r="D802" s="20" t="s">
        <v>2552</v>
      </c>
      <c r="E802" t="s">
        <v>877</v>
      </c>
      <c r="F802" t="s">
        <v>754</v>
      </c>
    </row>
    <row r="803" spans="1:6" x14ac:dyDescent="0.25">
      <c r="A803" t="s">
        <v>878</v>
      </c>
      <c r="B803" t="s">
        <v>886</v>
      </c>
      <c r="C803" s="52">
        <v>44689</v>
      </c>
      <c r="D803" s="20">
        <v>0.34651620370370401</v>
      </c>
      <c r="E803" t="s">
        <v>724</v>
      </c>
      <c r="F803" t="s">
        <v>754</v>
      </c>
    </row>
    <row r="804" spans="1:6" x14ac:dyDescent="0.25">
      <c r="A804" t="s">
        <v>876</v>
      </c>
      <c r="B804" t="s">
        <v>36</v>
      </c>
      <c r="C804" s="52">
        <v>44689</v>
      </c>
      <c r="D804" s="20" t="s">
        <v>2553</v>
      </c>
      <c r="E804" t="s">
        <v>877</v>
      </c>
      <c r="F804" t="s">
        <v>754</v>
      </c>
    </row>
    <row r="805" spans="1:6" x14ac:dyDescent="0.25">
      <c r="A805" t="s">
        <v>878</v>
      </c>
      <c r="B805" t="s">
        <v>886</v>
      </c>
      <c r="C805" s="52">
        <v>44689</v>
      </c>
      <c r="D805" s="20">
        <v>0.34803240740740699</v>
      </c>
      <c r="E805" t="s">
        <v>724</v>
      </c>
      <c r="F805" t="s">
        <v>754</v>
      </c>
    </row>
    <row r="806" spans="1:6" x14ac:dyDescent="0.25">
      <c r="A806" t="s">
        <v>876</v>
      </c>
      <c r="B806" t="s">
        <v>36</v>
      </c>
      <c r="C806" s="52">
        <v>44689</v>
      </c>
      <c r="D806" s="20" t="s">
        <v>2554</v>
      </c>
      <c r="E806" t="s">
        <v>877</v>
      </c>
      <c r="F806" t="s">
        <v>754</v>
      </c>
    </row>
    <row r="807" spans="1:6" x14ac:dyDescent="0.25">
      <c r="A807" t="s">
        <v>878</v>
      </c>
      <c r="B807" t="s">
        <v>886</v>
      </c>
      <c r="C807" s="52">
        <v>44689</v>
      </c>
      <c r="D807" s="20">
        <v>0.349178240740741</v>
      </c>
      <c r="E807" t="s">
        <v>724</v>
      </c>
      <c r="F807" t="s">
        <v>754</v>
      </c>
    </row>
    <row r="808" spans="1:6" x14ac:dyDescent="0.25">
      <c r="A808" t="s">
        <v>876</v>
      </c>
      <c r="B808" t="s">
        <v>36</v>
      </c>
      <c r="C808" s="52">
        <v>44689</v>
      </c>
      <c r="D808" s="20" t="s">
        <v>2555</v>
      </c>
      <c r="E808" t="s">
        <v>877</v>
      </c>
      <c r="F808" t="s">
        <v>754</v>
      </c>
    </row>
    <row r="809" spans="1:6" x14ac:dyDescent="0.25">
      <c r="A809" t="s">
        <v>878</v>
      </c>
      <c r="B809" t="s">
        <v>886</v>
      </c>
      <c r="C809" s="52">
        <v>44689</v>
      </c>
      <c r="D809" s="20">
        <v>0.35159722222222201</v>
      </c>
      <c r="E809" t="s">
        <v>724</v>
      </c>
      <c r="F809" t="s">
        <v>754</v>
      </c>
    </row>
    <row r="810" spans="1:6" x14ac:dyDescent="0.25">
      <c r="A810" t="s">
        <v>876</v>
      </c>
      <c r="B810" t="s">
        <v>36</v>
      </c>
      <c r="C810" s="52">
        <v>44689</v>
      </c>
      <c r="D810" s="20" t="s">
        <v>2556</v>
      </c>
      <c r="E810" t="s">
        <v>877</v>
      </c>
      <c r="F810" t="s">
        <v>754</v>
      </c>
    </row>
    <row r="811" spans="1:6" x14ac:dyDescent="0.25">
      <c r="A811" t="s">
        <v>878</v>
      </c>
      <c r="B811" t="s">
        <v>886</v>
      </c>
      <c r="C811" s="52">
        <v>44689</v>
      </c>
      <c r="D811" s="20">
        <v>0.35322916666666698</v>
      </c>
      <c r="E811" t="s">
        <v>724</v>
      </c>
      <c r="F811" t="s">
        <v>754</v>
      </c>
    </row>
    <row r="812" spans="1:6" x14ac:dyDescent="0.25">
      <c r="A812" t="s">
        <v>876</v>
      </c>
      <c r="B812" t="s">
        <v>36</v>
      </c>
      <c r="C812" s="52">
        <v>44689</v>
      </c>
      <c r="D812" s="20" t="s">
        <v>2557</v>
      </c>
      <c r="E812" t="s">
        <v>877</v>
      </c>
      <c r="F812" t="s">
        <v>754</v>
      </c>
    </row>
    <row r="813" spans="1:6" x14ac:dyDescent="0.25">
      <c r="A813" t="s">
        <v>878</v>
      </c>
      <c r="B813" t="s">
        <v>886</v>
      </c>
      <c r="C813" s="52">
        <v>44689</v>
      </c>
      <c r="D813" s="20">
        <v>0.354641203703704</v>
      </c>
      <c r="E813" t="s">
        <v>724</v>
      </c>
      <c r="F813" t="s">
        <v>754</v>
      </c>
    </row>
    <row r="814" spans="1:6" x14ac:dyDescent="0.25">
      <c r="A814" t="s">
        <v>876</v>
      </c>
      <c r="B814" t="s">
        <v>36</v>
      </c>
      <c r="C814" s="52">
        <v>44689</v>
      </c>
      <c r="D814" s="20" t="s">
        <v>2558</v>
      </c>
      <c r="E814" t="s">
        <v>877</v>
      </c>
      <c r="F814" t="s">
        <v>754</v>
      </c>
    </row>
    <row r="815" spans="1:6" x14ac:dyDescent="0.25">
      <c r="A815" t="s">
        <v>878</v>
      </c>
      <c r="B815" t="s">
        <v>886</v>
      </c>
      <c r="C815" s="52">
        <v>44689</v>
      </c>
      <c r="D815" s="20">
        <v>0.359641203703704</v>
      </c>
      <c r="E815" t="s">
        <v>724</v>
      </c>
      <c r="F815" t="s">
        <v>754</v>
      </c>
    </row>
    <row r="816" spans="1:6" x14ac:dyDescent="0.25">
      <c r="A816" t="s">
        <v>876</v>
      </c>
      <c r="B816" t="s">
        <v>36</v>
      </c>
      <c r="C816" s="52">
        <v>44689</v>
      </c>
      <c r="D816" s="20" t="s">
        <v>2559</v>
      </c>
      <c r="E816" t="s">
        <v>877</v>
      </c>
      <c r="F816" t="s">
        <v>754</v>
      </c>
    </row>
    <row r="817" spans="1:6" x14ac:dyDescent="0.25">
      <c r="A817" t="s">
        <v>878</v>
      </c>
      <c r="B817" t="s">
        <v>886</v>
      </c>
      <c r="C817" s="52">
        <v>44689</v>
      </c>
      <c r="D817" s="20">
        <v>0.36116898148148202</v>
      </c>
      <c r="E817" t="s">
        <v>724</v>
      </c>
      <c r="F817" t="s">
        <v>754</v>
      </c>
    </row>
    <row r="818" spans="1:6" x14ac:dyDescent="0.25">
      <c r="A818" t="s">
        <v>876</v>
      </c>
      <c r="B818" t="s">
        <v>36</v>
      </c>
      <c r="C818" s="52">
        <v>44689</v>
      </c>
      <c r="D818" s="20" t="s">
        <v>2560</v>
      </c>
      <c r="E818" t="s">
        <v>877</v>
      </c>
      <c r="F818" t="s">
        <v>754</v>
      </c>
    </row>
    <row r="819" spans="1:6" x14ac:dyDescent="0.25">
      <c r="A819" t="s">
        <v>878</v>
      </c>
      <c r="B819" t="s">
        <v>886</v>
      </c>
      <c r="C819" s="52">
        <v>44689</v>
      </c>
      <c r="D819" s="20">
        <v>0.36643518518518498</v>
      </c>
      <c r="E819" t="s">
        <v>724</v>
      </c>
      <c r="F819" t="s">
        <v>754</v>
      </c>
    </row>
    <row r="820" spans="1:6" x14ac:dyDescent="0.25">
      <c r="A820" t="s">
        <v>876</v>
      </c>
      <c r="B820" t="s">
        <v>36</v>
      </c>
      <c r="C820" s="52">
        <v>44689</v>
      </c>
      <c r="D820" s="20" t="s">
        <v>2561</v>
      </c>
      <c r="E820" t="s">
        <v>877</v>
      </c>
      <c r="F820" t="s">
        <v>754</v>
      </c>
    </row>
    <row r="821" spans="1:6" x14ac:dyDescent="0.25">
      <c r="A821" t="s">
        <v>878</v>
      </c>
      <c r="B821" t="s">
        <v>886</v>
      </c>
      <c r="C821" s="52">
        <v>44689</v>
      </c>
      <c r="D821" s="20">
        <v>0.36824074074074098</v>
      </c>
      <c r="E821" t="s">
        <v>724</v>
      </c>
      <c r="F821" t="s">
        <v>754</v>
      </c>
    </row>
    <row r="822" spans="1:6" x14ac:dyDescent="0.25">
      <c r="A822" t="s">
        <v>876</v>
      </c>
      <c r="B822" t="s">
        <v>36</v>
      </c>
      <c r="C822" s="52">
        <v>44689</v>
      </c>
      <c r="D822" s="20" t="s">
        <v>2562</v>
      </c>
      <c r="E822" t="s">
        <v>877</v>
      </c>
      <c r="F822" t="s">
        <v>754</v>
      </c>
    </row>
    <row r="823" spans="1:6" x14ac:dyDescent="0.25">
      <c r="A823" t="s">
        <v>878</v>
      </c>
      <c r="B823" t="s">
        <v>886</v>
      </c>
      <c r="C823" s="52">
        <v>44689</v>
      </c>
      <c r="D823" s="20">
        <v>0.369918981481481</v>
      </c>
      <c r="E823" t="s">
        <v>724</v>
      </c>
      <c r="F823" t="s">
        <v>754</v>
      </c>
    </row>
    <row r="824" spans="1:6" x14ac:dyDescent="0.25">
      <c r="A824" t="s">
        <v>876</v>
      </c>
      <c r="B824" t="s">
        <v>36</v>
      </c>
      <c r="C824" s="52">
        <v>44689</v>
      </c>
      <c r="D824" s="20" t="s">
        <v>2563</v>
      </c>
      <c r="E824" t="s">
        <v>877</v>
      </c>
      <c r="F824" t="s">
        <v>754</v>
      </c>
    </row>
    <row r="825" spans="1:6" x14ac:dyDescent="0.25">
      <c r="A825" t="s">
        <v>878</v>
      </c>
      <c r="B825" t="s">
        <v>886</v>
      </c>
      <c r="C825" s="52">
        <v>44689</v>
      </c>
      <c r="D825" s="20">
        <v>0.37425925925925901</v>
      </c>
      <c r="E825" t="s">
        <v>724</v>
      </c>
      <c r="F825" t="s">
        <v>754</v>
      </c>
    </row>
    <row r="826" spans="1:6" x14ac:dyDescent="0.25">
      <c r="A826" t="s">
        <v>876</v>
      </c>
      <c r="B826" t="s">
        <v>36</v>
      </c>
      <c r="C826" s="52">
        <v>44689</v>
      </c>
      <c r="D826" s="20" t="s">
        <v>2564</v>
      </c>
      <c r="E826" t="s">
        <v>877</v>
      </c>
      <c r="F826" t="s">
        <v>754</v>
      </c>
    </row>
    <row r="827" spans="1:6" x14ac:dyDescent="0.25">
      <c r="A827" t="s">
        <v>878</v>
      </c>
      <c r="B827" t="s">
        <v>886</v>
      </c>
      <c r="C827" s="52">
        <v>44689</v>
      </c>
      <c r="D827" s="20">
        <v>0.37644675925925902</v>
      </c>
      <c r="E827" t="s">
        <v>724</v>
      </c>
      <c r="F827" t="s">
        <v>754</v>
      </c>
    </row>
    <row r="828" spans="1:6" x14ac:dyDescent="0.25">
      <c r="A828" t="s">
        <v>876</v>
      </c>
      <c r="B828" t="s">
        <v>36</v>
      </c>
      <c r="C828" s="52">
        <v>44689</v>
      </c>
      <c r="D828" s="20" t="s">
        <v>2565</v>
      </c>
      <c r="E828" t="s">
        <v>877</v>
      </c>
      <c r="F828" t="s">
        <v>754</v>
      </c>
    </row>
    <row r="829" spans="1:6" x14ac:dyDescent="0.25">
      <c r="A829" t="s">
        <v>878</v>
      </c>
      <c r="B829" t="s">
        <v>886</v>
      </c>
      <c r="C829" s="52">
        <v>44689</v>
      </c>
      <c r="D829" s="20">
        <v>0.37917824074074102</v>
      </c>
      <c r="E829" t="s">
        <v>724</v>
      </c>
      <c r="F829" t="s">
        <v>754</v>
      </c>
    </row>
    <row r="830" spans="1:6" x14ac:dyDescent="0.25">
      <c r="A830" t="s">
        <v>876</v>
      </c>
      <c r="B830" t="s">
        <v>36</v>
      </c>
      <c r="C830" s="52">
        <v>44689</v>
      </c>
      <c r="D830" s="20" t="s">
        <v>2436</v>
      </c>
      <c r="E830" t="s">
        <v>877</v>
      </c>
      <c r="F830" t="s">
        <v>754</v>
      </c>
    </row>
    <row r="831" spans="1:6" x14ac:dyDescent="0.25">
      <c r="A831" t="s">
        <v>878</v>
      </c>
      <c r="B831" t="s">
        <v>886</v>
      </c>
      <c r="C831" s="52">
        <v>44689</v>
      </c>
      <c r="D831" s="20">
        <v>0.381655092592593</v>
      </c>
      <c r="E831" t="s">
        <v>724</v>
      </c>
      <c r="F831" t="s">
        <v>754</v>
      </c>
    </row>
    <row r="832" spans="1:6" x14ac:dyDescent="0.25">
      <c r="A832" t="s">
        <v>876</v>
      </c>
      <c r="B832" t="s">
        <v>36</v>
      </c>
      <c r="C832" s="52">
        <v>44689</v>
      </c>
      <c r="D832" s="20" t="s">
        <v>2566</v>
      </c>
      <c r="E832" t="s">
        <v>877</v>
      </c>
      <c r="F832" t="s">
        <v>754</v>
      </c>
    </row>
    <row r="833" spans="1:6" x14ac:dyDescent="0.25">
      <c r="A833" t="s">
        <v>878</v>
      </c>
      <c r="B833" t="s">
        <v>886</v>
      </c>
      <c r="C833" s="52">
        <v>44689</v>
      </c>
      <c r="D833" s="20">
        <v>0.38324074074074099</v>
      </c>
      <c r="E833" t="s">
        <v>724</v>
      </c>
      <c r="F833" t="s">
        <v>754</v>
      </c>
    </row>
    <row r="834" spans="1:6" x14ac:dyDescent="0.25">
      <c r="A834" t="s">
        <v>876</v>
      </c>
      <c r="B834" t="s">
        <v>36</v>
      </c>
      <c r="C834" s="52">
        <v>44689</v>
      </c>
      <c r="D834" s="20" t="s">
        <v>2567</v>
      </c>
      <c r="E834" t="s">
        <v>877</v>
      </c>
      <c r="F834" t="s">
        <v>754</v>
      </c>
    </row>
    <row r="835" spans="1:6" x14ac:dyDescent="0.25">
      <c r="A835" t="s">
        <v>878</v>
      </c>
      <c r="B835" t="s">
        <v>886</v>
      </c>
      <c r="C835" s="52">
        <v>44689</v>
      </c>
      <c r="D835" s="20">
        <v>0.384583333333333</v>
      </c>
      <c r="E835" t="s">
        <v>724</v>
      </c>
      <c r="F835" t="s">
        <v>754</v>
      </c>
    </row>
    <row r="836" spans="1:6" x14ac:dyDescent="0.25">
      <c r="A836" t="s">
        <v>876</v>
      </c>
      <c r="B836" t="s">
        <v>36</v>
      </c>
      <c r="C836" s="52">
        <v>44689</v>
      </c>
      <c r="D836" s="20" t="s">
        <v>2568</v>
      </c>
      <c r="E836" t="s">
        <v>877</v>
      </c>
      <c r="F836" t="s">
        <v>754</v>
      </c>
    </row>
    <row r="837" spans="1:6" x14ac:dyDescent="0.25">
      <c r="A837" t="s">
        <v>878</v>
      </c>
      <c r="B837" t="s">
        <v>886</v>
      </c>
      <c r="C837" s="52">
        <v>44689</v>
      </c>
      <c r="D837" s="20">
        <v>0.38643518518518499</v>
      </c>
      <c r="E837" t="s">
        <v>724</v>
      </c>
      <c r="F837" t="s">
        <v>754</v>
      </c>
    </row>
    <row r="838" spans="1:6" x14ac:dyDescent="0.25">
      <c r="A838" t="s">
        <v>876</v>
      </c>
      <c r="B838" t="s">
        <v>36</v>
      </c>
      <c r="C838" s="52">
        <v>44689</v>
      </c>
      <c r="D838" s="20" t="s">
        <v>2569</v>
      </c>
      <c r="E838" t="s">
        <v>877</v>
      </c>
      <c r="F838" t="s">
        <v>754</v>
      </c>
    </row>
    <row r="839" spans="1:6" x14ac:dyDescent="0.25">
      <c r="A839" t="s">
        <v>878</v>
      </c>
      <c r="B839" t="s">
        <v>886</v>
      </c>
      <c r="C839" s="52">
        <v>44689</v>
      </c>
      <c r="D839" s="20">
        <v>0.38797453703703699</v>
      </c>
      <c r="E839" t="s">
        <v>724</v>
      </c>
      <c r="F839" t="s">
        <v>754</v>
      </c>
    </row>
    <row r="840" spans="1:6" x14ac:dyDescent="0.25">
      <c r="A840" t="s">
        <v>876</v>
      </c>
      <c r="B840" t="s">
        <v>36</v>
      </c>
      <c r="C840" s="52">
        <v>44689</v>
      </c>
      <c r="D840" s="20" t="s">
        <v>2570</v>
      </c>
      <c r="E840" t="s">
        <v>877</v>
      </c>
      <c r="F840" t="s">
        <v>754</v>
      </c>
    </row>
    <row r="841" spans="1:6" x14ac:dyDescent="0.25">
      <c r="A841" t="s">
        <v>878</v>
      </c>
      <c r="B841" t="s">
        <v>886</v>
      </c>
      <c r="C841" s="52">
        <v>44689</v>
      </c>
      <c r="D841" s="20">
        <v>0.41084490740740698</v>
      </c>
      <c r="E841" t="s">
        <v>724</v>
      </c>
      <c r="F841" t="s">
        <v>754</v>
      </c>
    </row>
    <row r="842" spans="1:6" x14ac:dyDescent="0.25">
      <c r="A842" t="s">
        <v>876</v>
      </c>
      <c r="B842" t="s">
        <v>36</v>
      </c>
      <c r="C842" s="52">
        <v>44689</v>
      </c>
      <c r="D842" s="20" t="s">
        <v>2571</v>
      </c>
      <c r="E842" t="s">
        <v>877</v>
      </c>
      <c r="F842" t="s">
        <v>754</v>
      </c>
    </row>
    <row r="843" spans="1:6" x14ac:dyDescent="0.25">
      <c r="A843" t="s">
        <v>878</v>
      </c>
      <c r="B843" t="s">
        <v>886</v>
      </c>
      <c r="C843" s="52">
        <v>44689</v>
      </c>
      <c r="D843" s="20">
        <v>0.41537037037037</v>
      </c>
      <c r="E843" t="s">
        <v>724</v>
      </c>
      <c r="F843" t="s">
        <v>754</v>
      </c>
    </row>
    <row r="844" spans="1:6" x14ac:dyDescent="0.25">
      <c r="A844" t="s">
        <v>876</v>
      </c>
      <c r="B844" t="s">
        <v>36</v>
      </c>
      <c r="C844" s="52">
        <v>44689</v>
      </c>
      <c r="D844" s="20" t="s">
        <v>2572</v>
      </c>
      <c r="E844" t="s">
        <v>877</v>
      </c>
      <c r="F844" t="s">
        <v>754</v>
      </c>
    </row>
    <row r="845" spans="1:6" x14ac:dyDescent="0.25">
      <c r="A845" t="s">
        <v>878</v>
      </c>
      <c r="B845" t="s">
        <v>886</v>
      </c>
      <c r="C845" s="52">
        <v>44689</v>
      </c>
      <c r="D845" s="20">
        <v>0.43971064814814798</v>
      </c>
      <c r="E845" t="s">
        <v>724</v>
      </c>
      <c r="F845" t="s">
        <v>754</v>
      </c>
    </row>
    <row r="846" spans="1:6" x14ac:dyDescent="0.25">
      <c r="A846" t="s">
        <v>876</v>
      </c>
      <c r="B846" t="s">
        <v>36</v>
      </c>
      <c r="C846" s="52">
        <v>44689</v>
      </c>
      <c r="D846" s="20" t="s">
        <v>2573</v>
      </c>
      <c r="E846" t="s">
        <v>877</v>
      </c>
      <c r="F846" t="s">
        <v>754</v>
      </c>
    </row>
    <row r="847" spans="1:6" x14ac:dyDescent="0.25">
      <c r="A847" t="s">
        <v>878</v>
      </c>
      <c r="B847" t="s">
        <v>886</v>
      </c>
      <c r="C847" s="52">
        <v>44689</v>
      </c>
      <c r="D847" s="20">
        <v>0.45432870370370398</v>
      </c>
      <c r="E847" t="s">
        <v>724</v>
      </c>
      <c r="F847" t="s">
        <v>754</v>
      </c>
    </row>
    <row r="848" spans="1:6" x14ac:dyDescent="0.25">
      <c r="A848" t="s">
        <v>876</v>
      </c>
      <c r="B848" t="s">
        <v>36</v>
      </c>
      <c r="C848" s="52">
        <v>44689</v>
      </c>
      <c r="D848" s="20" t="s">
        <v>2574</v>
      </c>
      <c r="E848" t="s">
        <v>877</v>
      </c>
      <c r="F848" t="s">
        <v>754</v>
      </c>
    </row>
    <row r="849" spans="1:6" x14ac:dyDescent="0.25">
      <c r="A849" t="s">
        <v>878</v>
      </c>
      <c r="B849" t="s">
        <v>886</v>
      </c>
      <c r="C849" s="52">
        <v>44689</v>
      </c>
      <c r="D849" s="20">
        <v>0.474907407407407</v>
      </c>
      <c r="E849" t="s">
        <v>724</v>
      </c>
      <c r="F849" t="s">
        <v>754</v>
      </c>
    </row>
    <row r="850" spans="1:6" x14ac:dyDescent="0.25">
      <c r="A850" t="s">
        <v>876</v>
      </c>
      <c r="B850" t="s">
        <v>36</v>
      </c>
      <c r="C850" s="52">
        <v>44689</v>
      </c>
      <c r="D850" s="20" t="s">
        <v>2575</v>
      </c>
      <c r="E850" t="s">
        <v>877</v>
      </c>
      <c r="F850" t="s">
        <v>754</v>
      </c>
    </row>
    <row r="851" spans="1:6" x14ac:dyDescent="0.25">
      <c r="A851" t="s">
        <v>878</v>
      </c>
      <c r="B851" t="s">
        <v>886</v>
      </c>
      <c r="C851" s="52">
        <v>44689</v>
      </c>
      <c r="D851" s="20">
        <v>0.48403935185185198</v>
      </c>
      <c r="E851" t="s">
        <v>724</v>
      </c>
      <c r="F851" t="s">
        <v>754</v>
      </c>
    </row>
    <row r="852" spans="1:6" x14ac:dyDescent="0.25">
      <c r="A852" t="s">
        <v>876</v>
      </c>
      <c r="B852" t="s">
        <v>36</v>
      </c>
      <c r="C852" s="52">
        <v>44689</v>
      </c>
      <c r="D852" s="20" t="s">
        <v>2576</v>
      </c>
      <c r="E852" t="s">
        <v>877</v>
      </c>
      <c r="F852" t="s">
        <v>754</v>
      </c>
    </row>
    <row r="853" spans="1:6" x14ac:dyDescent="0.25">
      <c r="A853" t="s">
        <v>878</v>
      </c>
      <c r="B853" t="s">
        <v>886</v>
      </c>
      <c r="C853" s="52">
        <v>44689</v>
      </c>
      <c r="D853" s="20">
        <v>0.48712962962963002</v>
      </c>
      <c r="E853" t="s">
        <v>724</v>
      </c>
      <c r="F853" t="s">
        <v>754</v>
      </c>
    </row>
    <row r="854" spans="1:6" x14ac:dyDescent="0.25">
      <c r="A854" t="s">
        <v>876</v>
      </c>
      <c r="B854" t="s">
        <v>36</v>
      </c>
      <c r="C854" s="52">
        <v>44689</v>
      </c>
      <c r="D854" s="20" t="s">
        <v>2577</v>
      </c>
      <c r="E854" t="s">
        <v>877</v>
      </c>
      <c r="F854" t="s">
        <v>754</v>
      </c>
    </row>
    <row r="855" spans="1:6" x14ac:dyDescent="0.25">
      <c r="A855" t="s">
        <v>878</v>
      </c>
      <c r="B855" t="s">
        <v>886</v>
      </c>
      <c r="C855" s="52">
        <v>44689</v>
      </c>
      <c r="D855" s="20">
        <v>0.50541666666666696</v>
      </c>
      <c r="E855" t="s">
        <v>724</v>
      </c>
      <c r="F855" t="s">
        <v>754</v>
      </c>
    </row>
    <row r="856" spans="1:6" x14ac:dyDescent="0.25">
      <c r="A856" t="s">
        <v>876</v>
      </c>
      <c r="B856" t="s">
        <v>36</v>
      </c>
      <c r="C856" s="52">
        <v>44689</v>
      </c>
      <c r="D856" s="20" t="s">
        <v>2578</v>
      </c>
      <c r="E856" t="s">
        <v>877</v>
      </c>
      <c r="F856" t="s">
        <v>754</v>
      </c>
    </row>
    <row r="857" spans="1:6" x14ac:dyDescent="0.25">
      <c r="A857" t="s">
        <v>878</v>
      </c>
      <c r="B857" t="s">
        <v>886</v>
      </c>
      <c r="C857" s="52">
        <v>44689</v>
      </c>
      <c r="D857" s="20">
        <v>0.51248842592592603</v>
      </c>
      <c r="E857" t="s">
        <v>724</v>
      </c>
      <c r="F857" t="s">
        <v>754</v>
      </c>
    </row>
    <row r="858" spans="1:6" x14ac:dyDescent="0.25">
      <c r="A858" t="s">
        <v>876</v>
      </c>
      <c r="B858" t="s">
        <v>36</v>
      </c>
      <c r="C858" s="52">
        <v>44689</v>
      </c>
      <c r="D858" s="20" t="s">
        <v>2579</v>
      </c>
      <c r="E858" t="s">
        <v>877</v>
      </c>
      <c r="F858" t="s">
        <v>754</v>
      </c>
    </row>
    <row r="859" spans="1:6" x14ac:dyDescent="0.25">
      <c r="A859" t="s">
        <v>878</v>
      </c>
      <c r="B859" t="s">
        <v>886</v>
      </c>
      <c r="C859" s="52">
        <v>44689</v>
      </c>
      <c r="D859" s="20">
        <v>0.545914351851852</v>
      </c>
      <c r="E859" t="s">
        <v>724</v>
      </c>
      <c r="F859" t="s">
        <v>754</v>
      </c>
    </row>
    <row r="860" spans="1:6" x14ac:dyDescent="0.25">
      <c r="A860" t="s">
        <v>876</v>
      </c>
      <c r="B860" t="s">
        <v>36</v>
      </c>
      <c r="C860" s="52">
        <v>44689</v>
      </c>
      <c r="D860" s="20" t="s">
        <v>2580</v>
      </c>
      <c r="E860" t="s">
        <v>877</v>
      </c>
      <c r="F860" t="s">
        <v>754</v>
      </c>
    </row>
    <row r="861" spans="1:6" x14ac:dyDescent="0.25">
      <c r="A861" t="s">
        <v>878</v>
      </c>
      <c r="B861" t="s">
        <v>886</v>
      </c>
      <c r="C861" s="52">
        <v>44689</v>
      </c>
      <c r="D861" s="20">
        <v>0.54914351851851895</v>
      </c>
      <c r="E861" t="s">
        <v>724</v>
      </c>
      <c r="F861" t="s">
        <v>754</v>
      </c>
    </row>
    <row r="862" spans="1:6" x14ac:dyDescent="0.25">
      <c r="A862" t="s">
        <v>876</v>
      </c>
      <c r="B862" t="s">
        <v>36</v>
      </c>
      <c r="C862" s="52">
        <v>44689</v>
      </c>
      <c r="D862" s="20" t="s">
        <v>2581</v>
      </c>
      <c r="E862" t="s">
        <v>877</v>
      </c>
      <c r="F862" t="s">
        <v>754</v>
      </c>
    </row>
    <row r="863" spans="1:6" x14ac:dyDescent="0.25">
      <c r="A863" t="s">
        <v>878</v>
      </c>
      <c r="B863" t="s">
        <v>886</v>
      </c>
      <c r="C863" s="52">
        <v>44689</v>
      </c>
      <c r="D863" s="20">
        <v>0.57193287037036999</v>
      </c>
      <c r="E863" t="s">
        <v>724</v>
      </c>
      <c r="F863" t="s">
        <v>754</v>
      </c>
    </row>
    <row r="864" spans="1:6" x14ac:dyDescent="0.25">
      <c r="A864" t="s">
        <v>876</v>
      </c>
      <c r="B864" t="s">
        <v>36</v>
      </c>
      <c r="C864" s="52">
        <v>44689</v>
      </c>
      <c r="D864" s="20" t="s">
        <v>2582</v>
      </c>
      <c r="E864" t="s">
        <v>877</v>
      </c>
      <c r="F864" t="s">
        <v>754</v>
      </c>
    </row>
    <row r="865" spans="1:6" x14ac:dyDescent="0.25">
      <c r="A865" t="s">
        <v>878</v>
      </c>
      <c r="B865" t="s">
        <v>886</v>
      </c>
      <c r="C865" s="52">
        <v>44689</v>
      </c>
      <c r="D865" s="20">
        <v>0.57349537037037002</v>
      </c>
      <c r="E865" t="s">
        <v>724</v>
      </c>
      <c r="F865" t="s">
        <v>754</v>
      </c>
    </row>
    <row r="866" spans="1:6" x14ac:dyDescent="0.25">
      <c r="A866" t="s">
        <v>876</v>
      </c>
      <c r="B866" t="s">
        <v>36</v>
      </c>
      <c r="C866" s="52">
        <v>44689</v>
      </c>
      <c r="D866" s="20" t="s">
        <v>2583</v>
      </c>
      <c r="E866" t="s">
        <v>877</v>
      </c>
      <c r="F866" t="s">
        <v>754</v>
      </c>
    </row>
    <row r="867" spans="1:6" x14ac:dyDescent="0.25">
      <c r="A867" t="s">
        <v>878</v>
      </c>
      <c r="B867" t="s">
        <v>886</v>
      </c>
      <c r="C867" s="52">
        <v>44689</v>
      </c>
      <c r="D867" s="20">
        <v>0.58915509259259302</v>
      </c>
      <c r="E867" t="s">
        <v>724</v>
      </c>
      <c r="F867" t="s">
        <v>754</v>
      </c>
    </row>
    <row r="868" spans="1:6" x14ac:dyDescent="0.25">
      <c r="A868" t="s">
        <v>876</v>
      </c>
      <c r="B868" t="s">
        <v>36</v>
      </c>
      <c r="C868" s="52">
        <v>44689</v>
      </c>
      <c r="D868" s="20" t="s">
        <v>2584</v>
      </c>
      <c r="E868" t="s">
        <v>877</v>
      </c>
      <c r="F868" t="s">
        <v>754</v>
      </c>
    </row>
    <row r="869" spans="1:6" x14ac:dyDescent="0.25">
      <c r="A869" t="s">
        <v>878</v>
      </c>
      <c r="B869" t="s">
        <v>886</v>
      </c>
      <c r="C869" s="52">
        <v>44689</v>
      </c>
      <c r="D869" s="20">
        <v>0.60780092592592605</v>
      </c>
      <c r="E869" t="s">
        <v>724</v>
      </c>
      <c r="F869" t="s">
        <v>754</v>
      </c>
    </row>
    <row r="870" spans="1:6" x14ac:dyDescent="0.25">
      <c r="A870" t="s">
        <v>876</v>
      </c>
      <c r="B870" t="s">
        <v>36</v>
      </c>
      <c r="C870" s="52">
        <v>44689</v>
      </c>
      <c r="D870" s="20" t="s">
        <v>2585</v>
      </c>
      <c r="E870" t="s">
        <v>877</v>
      </c>
      <c r="F870" t="s">
        <v>754</v>
      </c>
    </row>
    <row r="871" spans="1:6" x14ac:dyDescent="0.25">
      <c r="A871" t="s">
        <v>878</v>
      </c>
      <c r="B871" t="s">
        <v>886</v>
      </c>
      <c r="C871" s="52">
        <v>44689</v>
      </c>
      <c r="D871" s="20">
        <v>0.65121527777777799</v>
      </c>
      <c r="E871" t="s">
        <v>724</v>
      </c>
      <c r="F871" t="s">
        <v>754</v>
      </c>
    </row>
    <row r="872" spans="1:6" x14ac:dyDescent="0.25">
      <c r="A872" t="s">
        <v>876</v>
      </c>
      <c r="B872" t="s">
        <v>36</v>
      </c>
      <c r="C872" s="52">
        <v>44689</v>
      </c>
      <c r="D872" s="20" t="s">
        <v>2586</v>
      </c>
      <c r="E872" t="s">
        <v>877</v>
      </c>
      <c r="F872" t="s">
        <v>754</v>
      </c>
    </row>
    <row r="873" spans="1:6" x14ac:dyDescent="0.25">
      <c r="A873" t="s">
        <v>878</v>
      </c>
      <c r="B873" t="s">
        <v>886</v>
      </c>
      <c r="C873" s="52">
        <v>44689</v>
      </c>
      <c r="D873" s="20">
        <v>0.71506944444444398</v>
      </c>
      <c r="E873" t="s">
        <v>724</v>
      </c>
      <c r="F873" t="s">
        <v>754</v>
      </c>
    </row>
    <row r="874" spans="1:6" x14ac:dyDescent="0.25">
      <c r="A874" t="s">
        <v>876</v>
      </c>
      <c r="B874" t="s">
        <v>36</v>
      </c>
      <c r="C874" s="52">
        <v>44689</v>
      </c>
      <c r="D874" s="20" t="s">
        <v>2587</v>
      </c>
      <c r="E874" t="s">
        <v>877</v>
      </c>
      <c r="F874" t="s">
        <v>754</v>
      </c>
    </row>
    <row r="875" spans="1:6" x14ac:dyDescent="0.25">
      <c r="A875" t="s">
        <v>878</v>
      </c>
      <c r="B875" t="s">
        <v>886</v>
      </c>
      <c r="C875" s="52">
        <v>44689</v>
      </c>
      <c r="D875" s="20">
        <v>0.72700231481481503</v>
      </c>
      <c r="E875" t="s">
        <v>724</v>
      </c>
      <c r="F875" t="s">
        <v>754</v>
      </c>
    </row>
    <row r="876" spans="1:6" x14ac:dyDescent="0.25">
      <c r="A876" t="s">
        <v>876</v>
      </c>
      <c r="B876" t="s">
        <v>36</v>
      </c>
      <c r="C876" s="52">
        <v>44689</v>
      </c>
      <c r="D876" s="20" t="s">
        <v>2588</v>
      </c>
      <c r="E876" t="s">
        <v>877</v>
      </c>
      <c r="F876" t="s">
        <v>754</v>
      </c>
    </row>
    <row r="877" spans="1:6" x14ac:dyDescent="0.25">
      <c r="A877" t="s">
        <v>878</v>
      </c>
      <c r="B877" t="s">
        <v>886</v>
      </c>
      <c r="C877" s="52">
        <v>44689</v>
      </c>
      <c r="D877" s="20">
        <v>0.79466435185185202</v>
      </c>
      <c r="E877" t="s">
        <v>725</v>
      </c>
      <c r="F877" t="s">
        <v>754</v>
      </c>
    </row>
    <row r="878" spans="1:6" x14ac:dyDescent="0.25">
      <c r="A878" t="s">
        <v>876</v>
      </c>
      <c r="B878" t="s">
        <v>36</v>
      </c>
      <c r="C878" s="52">
        <v>44689</v>
      </c>
      <c r="D878" s="20" t="s">
        <v>2589</v>
      </c>
      <c r="E878" t="s">
        <v>877</v>
      </c>
      <c r="F878" t="s">
        <v>754</v>
      </c>
    </row>
    <row r="879" spans="1:6" x14ac:dyDescent="0.25">
      <c r="A879" t="s">
        <v>878</v>
      </c>
      <c r="B879" t="s">
        <v>886</v>
      </c>
      <c r="C879" s="52">
        <v>44689</v>
      </c>
      <c r="D879" s="20">
        <v>0.81179398148148196</v>
      </c>
      <c r="E879" t="s">
        <v>725</v>
      </c>
      <c r="F879" t="s">
        <v>754</v>
      </c>
    </row>
    <row r="880" spans="1:6" x14ac:dyDescent="0.25">
      <c r="A880" t="s">
        <v>876</v>
      </c>
      <c r="B880" t="s">
        <v>36</v>
      </c>
      <c r="C880" s="52">
        <v>44689</v>
      </c>
      <c r="D880" s="20" t="s">
        <v>2590</v>
      </c>
      <c r="E880" t="s">
        <v>877</v>
      </c>
      <c r="F880" t="s">
        <v>754</v>
      </c>
    </row>
    <row r="881" spans="1:6" x14ac:dyDescent="0.25">
      <c r="A881" t="s">
        <v>878</v>
      </c>
      <c r="B881" t="s">
        <v>886</v>
      </c>
      <c r="C881" s="52">
        <v>44689</v>
      </c>
      <c r="D881" s="20">
        <v>0.83462962962963005</v>
      </c>
      <c r="E881" t="s">
        <v>725</v>
      </c>
      <c r="F881" t="s">
        <v>754</v>
      </c>
    </row>
    <row r="882" spans="1:6" x14ac:dyDescent="0.25">
      <c r="A882" t="s">
        <v>876</v>
      </c>
      <c r="B882" t="s">
        <v>36</v>
      </c>
      <c r="C882" s="52">
        <v>44689</v>
      </c>
      <c r="D882" s="20" t="s">
        <v>2591</v>
      </c>
      <c r="E882" t="s">
        <v>877</v>
      </c>
      <c r="F882" t="s">
        <v>754</v>
      </c>
    </row>
    <row r="883" spans="1:6" x14ac:dyDescent="0.25">
      <c r="A883" t="s">
        <v>878</v>
      </c>
      <c r="B883" t="s">
        <v>886</v>
      </c>
      <c r="C883" s="52">
        <v>44689</v>
      </c>
      <c r="D883" s="20">
        <v>0.83758101851851896</v>
      </c>
      <c r="E883" t="s">
        <v>725</v>
      </c>
      <c r="F883" t="s">
        <v>754</v>
      </c>
    </row>
    <row r="884" spans="1:6" x14ac:dyDescent="0.25">
      <c r="A884" t="s">
        <v>876</v>
      </c>
      <c r="B884" t="s">
        <v>36</v>
      </c>
      <c r="C884" s="52">
        <v>44689</v>
      </c>
      <c r="D884" s="20" t="s">
        <v>2592</v>
      </c>
      <c r="E884" t="s">
        <v>877</v>
      </c>
      <c r="F884" t="s">
        <v>754</v>
      </c>
    </row>
    <row r="885" spans="1:6" x14ac:dyDescent="0.25">
      <c r="A885" t="s">
        <v>878</v>
      </c>
      <c r="B885" t="s">
        <v>886</v>
      </c>
      <c r="C885" s="52">
        <v>44689</v>
      </c>
      <c r="D885" s="20">
        <v>0.92743055555555598</v>
      </c>
      <c r="E885" t="s">
        <v>725</v>
      </c>
      <c r="F885" t="s">
        <v>754</v>
      </c>
    </row>
    <row r="886" spans="1:6" x14ac:dyDescent="0.25">
      <c r="A886" t="s">
        <v>876</v>
      </c>
      <c r="B886" t="s">
        <v>36</v>
      </c>
      <c r="C886" s="52">
        <v>44689</v>
      </c>
      <c r="D886" s="20" t="s">
        <v>2593</v>
      </c>
      <c r="E886" t="s">
        <v>877</v>
      </c>
      <c r="F886" t="s">
        <v>754</v>
      </c>
    </row>
    <row r="887" spans="1:6" x14ac:dyDescent="0.25">
      <c r="A887" t="s">
        <v>878</v>
      </c>
      <c r="B887" t="s">
        <v>886</v>
      </c>
      <c r="C887" s="52">
        <v>44689</v>
      </c>
      <c r="D887" s="20">
        <v>0.96050925925925901</v>
      </c>
      <c r="E887" t="s">
        <v>725</v>
      </c>
      <c r="F887" t="s">
        <v>754</v>
      </c>
    </row>
    <row r="888" spans="1:6" x14ac:dyDescent="0.25">
      <c r="A888" t="s">
        <v>876</v>
      </c>
      <c r="B888" t="s">
        <v>36</v>
      </c>
      <c r="C888" s="52">
        <v>44689</v>
      </c>
      <c r="D888" s="20" t="s">
        <v>2594</v>
      </c>
      <c r="E888" t="s">
        <v>877</v>
      </c>
      <c r="F888" t="s">
        <v>754</v>
      </c>
    </row>
    <row r="889" spans="1:6" x14ac:dyDescent="0.25">
      <c r="A889" t="s">
        <v>878</v>
      </c>
      <c r="B889" t="s">
        <v>886</v>
      </c>
      <c r="C889" s="52">
        <v>44689</v>
      </c>
      <c r="D889" s="20">
        <v>0.98406249999999995</v>
      </c>
      <c r="E889" t="s">
        <v>725</v>
      </c>
      <c r="F889" t="s">
        <v>754</v>
      </c>
    </row>
    <row r="890" spans="1:6" x14ac:dyDescent="0.25">
      <c r="A890" t="s">
        <v>876</v>
      </c>
      <c r="B890" t="s">
        <v>36</v>
      </c>
      <c r="C890" s="52">
        <v>44750</v>
      </c>
      <c r="D890" s="20" t="s">
        <v>2595</v>
      </c>
      <c r="E890" t="s">
        <v>877</v>
      </c>
      <c r="F890" t="s">
        <v>754</v>
      </c>
    </row>
    <row r="891" spans="1:6" x14ac:dyDescent="0.25">
      <c r="A891" t="s">
        <v>878</v>
      </c>
      <c r="B891" t="s">
        <v>886</v>
      </c>
      <c r="C891" s="52">
        <v>44750</v>
      </c>
      <c r="D891" s="20">
        <v>0.626921296296296</v>
      </c>
      <c r="E891" t="s">
        <v>724</v>
      </c>
      <c r="F891" t="s">
        <v>754</v>
      </c>
    </row>
    <row r="892" spans="1:6" x14ac:dyDescent="0.25">
      <c r="A892" t="s">
        <v>876</v>
      </c>
      <c r="B892" t="s">
        <v>36</v>
      </c>
      <c r="C892" s="52">
        <v>44750</v>
      </c>
      <c r="D892" s="20" t="s">
        <v>2596</v>
      </c>
      <c r="E892" t="s">
        <v>877</v>
      </c>
      <c r="F892" t="s">
        <v>754</v>
      </c>
    </row>
    <row r="893" spans="1:6" x14ac:dyDescent="0.25">
      <c r="A893" t="s">
        <v>878</v>
      </c>
      <c r="B893" t="s">
        <v>886</v>
      </c>
      <c r="C893" s="52">
        <v>44750</v>
      </c>
      <c r="D893" s="20">
        <v>0.80685185185185204</v>
      </c>
      <c r="E893" t="s">
        <v>725</v>
      </c>
      <c r="F893" t="s">
        <v>754</v>
      </c>
    </row>
    <row r="894" spans="1:6" x14ac:dyDescent="0.25">
      <c r="A894" t="s">
        <v>876</v>
      </c>
      <c r="B894" t="s">
        <v>36</v>
      </c>
      <c r="C894" s="52">
        <v>44750</v>
      </c>
      <c r="D894" s="20" t="s">
        <v>2597</v>
      </c>
      <c r="E894" t="s">
        <v>877</v>
      </c>
      <c r="F894" t="s">
        <v>754</v>
      </c>
    </row>
    <row r="895" spans="1:6" x14ac:dyDescent="0.25">
      <c r="A895" t="s">
        <v>878</v>
      </c>
      <c r="B895" t="s">
        <v>886</v>
      </c>
      <c r="C895" s="52">
        <v>44750</v>
      </c>
      <c r="D895" s="20">
        <v>0.84327546296296296</v>
      </c>
      <c r="E895" t="s">
        <v>725</v>
      </c>
      <c r="F895" t="s">
        <v>754</v>
      </c>
    </row>
    <row r="896" spans="1:6" x14ac:dyDescent="0.25">
      <c r="A896" t="s">
        <v>876</v>
      </c>
      <c r="B896" t="s">
        <v>42</v>
      </c>
      <c r="C896" s="52">
        <v>44569</v>
      </c>
      <c r="D896" s="20" t="s">
        <v>1497</v>
      </c>
      <c r="E896" t="s">
        <v>877</v>
      </c>
      <c r="F896" t="s">
        <v>754</v>
      </c>
    </row>
    <row r="897" spans="1:6" x14ac:dyDescent="0.25">
      <c r="A897" t="s">
        <v>878</v>
      </c>
      <c r="B897" t="s">
        <v>887</v>
      </c>
      <c r="C897" s="52">
        <v>44569</v>
      </c>
      <c r="D897" s="20">
        <v>0.39468750000000002</v>
      </c>
      <c r="E897" t="s">
        <v>726</v>
      </c>
      <c r="F897" t="s">
        <v>754</v>
      </c>
    </row>
    <row r="898" spans="1:6" x14ac:dyDescent="0.25">
      <c r="A898" t="s">
        <v>876</v>
      </c>
      <c r="B898" t="s">
        <v>42</v>
      </c>
      <c r="C898" s="52">
        <v>44569</v>
      </c>
      <c r="D898" s="20" t="s">
        <v>1498</v>
      </c>
      <c r="E898" t="s">
        <v>877</v>
      </c>
      <c r="F898" t="s">
        <v>754</v>
      </c>
    </row>
    <row r="899" spans="1:6" x14ac:dyDescent="0.25">
      <c r="A899" t="s">
        <v>878</v>
      </c>
      <c r="B899" t="s">
        <v>887</v>
      </c>
      <c r="C899" s="52">
        <v>44569</v>
      </c>
      <c r="D899" s="20">
        <v>0.39697916666666699</v>
      </c>
      <c r="E899" t="s">
        <v>726</v>
      </c>
      <c r="F899" t="s">
        <v>754</v>
      </c>
    </row>
    <row r="900" spans="1:6" x14ac:dyDescent="0.25">
      <c r="A900" t="s">
        <v>876</v>
      </c>
      <c r="B900" t="s">
        <v>42</v>
      </c>
      <c r="C900" s="52">
        <v>44569</v>
      </c>
      <c r="D900" s="20" t="s">
        <v>1499</v>
      </c>
      <c r="E900" t="s">
        <v>877</v>
      </c>
      <c r="F900" t="s">
        <v>754</v>
      </c>
    </row>
    <row r="901" spans="1:6" x14ac:dyDescent="0.25">
      <c r="A901" t="s">
        <v>878</v>
      </c>
      <c r="B901" t="s">
        <v>887</v>
      </c>
      <c r="C901" s="52">
        <v>44569</v>
      </c>
      <c r="D901" s="20">
        <v>0.415023148148148</v>
      </c>
      <c r="E901" t="s">
        <v>726</v>
      </c>
      <c r="F901" t="s">
        <v>754</v>
      </c>
    </row>
    <row r="902" spans="1:6" x14ac:dyDescent="0.25">
      <c r="A902" t="s">
        <v>876</v>
      </c>
      <c r="B902" t="s">
        <v>42</v>
      </c>
      <c r="C902" s="52">
        <v>44569</v>
      </c>
      <c r="D902" s="20" t="s">
        <v>1500</v>
      </c>
      <c r="E902" t="s">
        <v>877</v>
      </c>
      <c r="F902" t="s">
        <v>754</v>
      </c>
    </row>
    <row r="903" spans="1:6" x14ac:dyDescent="0.25">
      <c r="A903" t="s">
        <v>878</v>
      </c>
      <c r="B903" t="s">
        <v>887</v>
      </c>
      <c r="C903" s="52">
        <v>44569</v>
      </c>
      <c r="D903" s="20">
        <v>0.41622685185185199</v>
      </c>
      <c r="E903" t="s">
        <v>726</v>
      </c>
      <c r="F903" t="s">
        <v>754</v>
      </c>
    </row>
    <row r="904" spans="1:6" x14ac:dyDescent="0.25">
      <c r="A904" t="s">
        <v>876</v>
      </c>
      <c r="B904" t="s">
        <v>42</v>
      </c>
      <c r="C904" s="52">
        <v>44569</v>
      </c>
      <c r="D904" s="20" t="s">
        <v>1501</v>
      </c>
      <c r="E904" t="s">
        <v>877</v>
      </c>
      <c r="F904" t="s">
        <v>754</v>
      </c>
    </row>
    <row r="905" spans="1:6" x14ac:dyDescent="0.25">
      <c r="A905" t="s">
        <v>878</v>
      </c>
      <c r="B905" t="s">
        <v>887</v>
      </c>
      <c r="C905" s="52">
        <v>44569</v>
      </c>
      <c r="D905" s="20">
        <v>0.42319444444444398</v>
      </c>
      <c r="E905" t="s">
        <v>726</v>
      </c>
      <c r="F905" t="s">
        <v>754</v>
      </c>
    </row>
    <row r="906" spans="1:6" x14ac:dyDescent="0.25">
      <c r="A906" t="s">
        <v>876</v>
      </c>
      <c r="B906" t="s">
        <v>42</v>
      </c>
      <c r="C906" s="52">
        <v>44569</v>
      </c>
      <c r="D906" s="20" t="s">
        <v>1502</v>
      </c>
      <c r="E906" t="s">
        <v>877</v>
      </c>
      <c r="F906" t="s">
        <v>754</v>
      </c>
    </row>
    <row r="907" spans="1:6" x14ac:dyDescent="0.25">
      <c r="A907" t="s">
        <v>878</v>
      </c>
      <c r="B907" t="s">
        <v>887</v>
      </c>
      <c r="C907" s="52">
        <v>44569</v>
      </c>
      <c r="D907" s="20">
        <v>0.55298611111111096</v>
      </c>
      <c r="E907" t="s">
        <v>715</v>
      </c>
      <c r="F907" t="s">
        <v>754</v>
      </c>
    </row>
    <row r="908" spans="1:6" x14ac:dyDescent="0.25">
      <c r="A908" t="s">
        <v>876</v>
      </c>
      <c r="B908" t="s">
        <v>42</v>
      </c>
      <c r="C908" s="52">
        <v>44569</v>
      </c>
      <c r="D908" s="20" t="s">
        <v>1503</v>
      </c>
      <c r="E908" t="s">
        <v>877</v>
      </c>
      <c r="F908" t="s">
        <v>754</v>
      </c>
    </row>
    <row r="909" spans="1:6" x14ac:dyDescent="0.25">
      <c r="A909" t="s">
        <v>878</v>
      </c>
      <c r="B909" t="s">
        <v>887</v>
      </c>
      <c r="C909" s="52">
        <v>44569</v>
      </c>
      <c r="D909" s="20">
        <v>0.66855324074074096</v>
      </c>
      <c r="E909" t="s">
        <v>726</v>
      </c>
      <c r="F909" t="s">
        <v>754</v>
      </c>
    </row>
    <row r="910" spans="1:6" x14ac:dyDescent="0.25">
      <c r="A910" t="s">
        <v>876</v>
      </c>
      <c r="B910" t="s">
        <v>42</v>
      </c>
      <c r="C910" s="52">
        <v>44569</v>
      </c>
      <c r="D910" s="20" t="s">
        <v>1504</v>
      </c>
      <c r="E910" t="s">
        <v>877</v>
      </c>
      <c r="F910" t="s">
        <v>754</v>
      </c>
    </row>
    <row r="911" spans="1:6" x14ac:dyDescent="0.25">
      <c r="A911" t="s">
        <v>878</v>
      </c>
      <c r="B911" t="s">
        <v>887</v>
      </c>
      <c r="C911" s="52">
        <v>44569</v>
      </c>
      <c r="D911" s="20">
        <v>0.76616898148148105</v>
      </c>
      <c r="E911" t="s">
        <v>726</v>
      </c>
      <c r="F911" t="s">
        <v>754</v>
      </c>
    </row>
    <row r="912" spans="1:6" x14ac:dyDescent="0.25">
      <c r="A912" t="s">
        <v>876</v>
      </c>
      <c r="B912" t="s">
        <v>42</v>
      </c>
      <c r="C912" s="52">
        <v>44600</v>
      </c>
      <c r="D912" s="20" t="s">
        <v>861</v>
      </c>
      <c r="E912" t="s">
        <v>877</v>
      </c>
      <c r="F912" t="s">
        <v>754</v>
      </c>
    </row>
    <row r="913" spans="1:6" x14ac:dyDescent="0.25">
      <c r="A913" t="s">
        <v>878</v>
      </c>
      <c r="B913" t="s">
        <v>887</v>
      </c>
      <c r="C913" s="52">
        <v>44600</v>
      </c>
      <c r="D913" s="20">
        <v>0.44643518518518499</v>
      </c>
      <c r="E913" t="s">
        <v>726</v>
      </c>
      <c r="F913" t="s">
        <v>754</v>
      </c>
    </row>
    <row r="914" spans="1:6" x14ac:dyDescent="0.25">
      <c r="A914" t="s">
        <v>876</v>
      </c>
      <c r="B914" t="s">
        <v>42</v>
      </c>
      <c r="C914" s="52">
        <v>44600</v>
      </c>
      <c r="D914" s="20" t="s">
        <v>862</v>
      </c>
      <c r="E914" t="s">
        <v>877</v>
      </c>
      <c r="F914" t="s">
        <v>754</v>
      </c>
    </row>
    <row r="915" spans="1:6" x14ac:dyDescent="0.25">
      <c r="A915" t="s">
        <v>878</v>
      </c>
      <c r="B915" t="s">
        <v>887</v>
      </c>
      <c r="C915" s="52">
        <v>44600</v>
      </c>
      <c r="D915" s="20">
        <v>0.75480324074074101</v>
      </c>
      <c r="E915" t="s">
        <v>727</v>
      </c>
      <c r="F915" t="s">
        <v>754</v>
      </c>
    </row>
    <row r="916" spans="1:6" x14ac:dyDescent="0.25">
      <c r="A916" t="s">
        <v>876</v>
      </c>
      <c r="B916" t="s">
        <v>42</v>
      </c>
      <c r="C916" s="52">
        <v>44600</v>
      </c>
      <c r="D916" s="20" t="s">
        <v>863</v>
      </c>
      <c r="E916" t="s">
        <v>877</v>
      </c>
      <c r="F916" t="s">
        <v>754</v>
      </c>
    </row>
    <row r="917" spans="1:6" x14ac:dyDescent="0.25">
      <c r="A917" t="s">
        <v>878</v>
      </c>
      <c r="B917" t="s">
        <v>887</v>
      </c>
      <c r="C917" s="52">
        <v>44600</v>
      </c>
      <c r="D917" s="20">
        <v>0.82525462962963003</v>
      </c>
      <c r="E917" t="s">
        <v>727</v>
      </c>
      <c r="F917" t="s">
        <v>754</v>
      </c>
    </row>
    <row r="918" spans="1:6" x14ac:dyDescent="0.25">
      <c r="A918" t="s">
        <v>876</v>
      </c>
      <c r="B918" t="s">
        <v>42</v>
      </c>
      <c r="C918" s="52">
        <v>44600</v>
      </c>
      <c r="D918" s="20" t="s">
        <v>864</v>
      </c>
      <c r="E918" t="s">
        <v>877</v>
      </c>
      <c r="F918" t="s">
        <v>754</v>
      </c>
    </row>
    <row r="919" spans="1:6" x14ac:dyDescent="0.25">
      <c r="A919" t="s">
        <v>878</v>
      </c>
      <c r="B919" t="s">
        <v>887</v>
      </c>
      <c r="C919" s="52">
        <v>44600</v>
      </c>
      <c r="D919" s="20">
        <v>0.82618055555555603</v>
      </c>
      <c r="E919" t="s">
        <v>727</v>
      </c>
      <c r="F919" t="s">
        <v>754</v>
      </c>
    </row>
    <row r="920" spans="1:6" x14ac:dyDescent="0.25">
      <c r="A920" t="s">
        <v>876</v>
      </c>
      <c r="B920" t="s">
        <v>42</v>
      </c>
      <c r="C920" s="52">
        <v>44628</v>
      </c>
      <c r="D920" s="20" t="s">
        <v>1310</v>
      </c>
      <c r="E920" t="s">
        <v>877</v>
      </c>
      <c r="F920" t="s">
        <v>754</v>
      </c>
    </row>
    <row r="921" spans="1:6" x14ac:dyDescent="0.25">
      <c r="A921" t="s">
        <v>878</v>
      </c>
      <c r="B921" t="s">
        <v>887</v>
      </c>
      <c r="C921" s="52">
        <v>44628</v>
      </c>
      <c r="D921" s="20">
        <v>0.48509259259259302</v>
      </c>
      <c r="E921" t="s">
        <v>726</v>
      </c>
      <c r="F921" t="s">
        <v>754</v>
      </c>
    </row>
    <row r="922" spans="1:6" x14ac:dyDescent="0.25">
      <c r="A922" t="s">
        <v>876</v>
      </c>
      <c r="B922" t="s">
        <v>42</v>
      </c>
      <c r="C922" s="52">
        <v>44628</v>
      </c>
      <c r="D922" s="20" t="s">
        <v>1311</v>
      </c>
      <c r="E922" t="s">
        <v>877</v>
      </c>
      <c r="F922" t="s">
        <v>754</v>
      </c>
    </row>
    <row r="923" spans="1:6" x14ac:dyDescent="0.25">
      <c r="A923" t="s">
        <v>878</v>
      </c>
      <c r="B923" t="s">
        <v>887</v>
      </c>
      <c r="C923" s="52">
        <v>44628</v>
      </c>
      <c r="D923" s="20">
        <v>0.50056712962963001</v>
      </c>
      <c r="E923" t="s">
        <v>726</v>
      </c>
      <c r="F923" t="s">
        <v>754</v>
      </c>
    </row>
    <row r="924" spans="1:6" x14ac:dyDescent="0.25">
      <c r="A924" t="s">
        <v>876</v>
      </c>
      <c r="B924" t="s">
        <v>42</v>
      </c>
      <c r="C924" s="52">
        <v>44628</v>
      </c>
      <c r="D924" s="20" t="s">
        <v>1312</v>
      </c>
      <c r="E924" t="s">
        <v>877</v>
      </c>
      <c r="F924" t="s">
        <v>754</v>
      </c>
    </row>
    <row r="925" spans="1:6" x14ac:dyDescent="0.25">
      <c r="A925" t="s">
        <v>878</v>
      </c>
      <c r="B925" t="s">
        <v>887</v>
      </c>
      <c r="C925" s="52">
        <v>44628</v>
      </c>
      <c r="D925" s="20">
        <v>0.57694444444444404</v>
      </c>
      <c r="E925" t="s">
        <v>726</v>
      </c>
      <c r="F925" t="s">
        <v>754</v>
      </c>
    </row>
    <row r="926" spans="1:6" x14ac:dyDescent="0.25">
      <c r="A926" t="s">
        <v>876</v>
      </c>
      <c r="B926" t="s">
        <v>42</v>
      </c>
      <c r="C926" s="52">
        <v>44628</v>
      </c>
      <c r="D926" s="20" t="s">
        <v>1313</v>
      </c>
      <c r="E926" t="s">
        <v>877</v>
      </c>
      <c r="F926" t="s">
        <v>754</v>
      </c>
    </row>
    <row r="927" spans="1:6" x14ac:dyDescent="0.25">
      <c r="A927" t="s">
        <v>878</v>
      </c>
      <c r="B927" t="s">
        <v>887</v>
      </c>
      <c r="C927" s="52">
        <v>44628</v>
      </c>
      <c r="D927" s="20">
        <v>0.61697916666666697</v>
      </c>
      <c r="E927" t="s">
        <v>726</v>
      </c>
      <c r="F927" t="s">
        <v>754</v>
      </c>
    </row>
    <row r="928" spans="1:6" x14ac:dyDescent="0.25">
      <c r="A928" t="s">
        <v>876</v>
      </c>
      <c r="B928" t="s">
        <v>42</v>
      </c>
      <c r="C928" s="52">
        <v>44659</v>
      </c>
      <c r="D928" s="20" t="s">
        <v>991</v>
      </c>
      <c r="E928" t="s">
        <v>877</v>
      </c>
      <c r="F928" t="s">
        <v>754</v>
      </c>
    </row>
    <row r="929" spans="1:6" x14ac:dyDescent="0.25">
      <c r="A929" t="s">
        <v>878</v>
      </c>
      <c r="B929" t="s">
        <v>887</v>
      </c>
      <c r="C929" s="52">
        <v>44659</v>
      </c>
      <c r="D929" s="20">
        <v>0.30156250000000001</v>
      </c>
      <c r="E929" t="s">
        <v>727</v>
      </c>
      <c r="F929" t="s">
        <v>754</v>
      </c>
    </row>
    <row r="930" spans="1:6" x14ac:dyDescent="0.25">
      <c r="A930" t="s">
        <v>876</v>
      </c>
      <c r="B930" t="s">
        <v>42</v>
      </c>
      <c r="C930" s="52">
        <v>44659</v>
      </c>
      <c r="D930" s="20" t="s">
        <v>992</v>
      </c>
      <c r="E930" t="s">
        <v>877</v>
      </c>
      <c r="F930" t="s">
        <v>754</v>
      </c>
    </row>
    <row r="931" spans="1:6" x14ac:dyDescent="0.25">
      <c r="A931" t="s">
        <v>878</v>
      </c>
      <c r="B931" t="s">
        <v>887</v>
      </c>
      <c r="C931" s="52">
        <v>44659</v>
      </c>
      <c r="D931" s="20">
        <v>0.38699074074074102</v>
      </c>
      <c r="E931" t="s">
        <v>726</v>
      </c>
      <c r="F931" t="s">
        <v>754</v>
      </c>
    </row>
    <row r="932" spans="1:6" x14ac:dyDescent="0.25">
      <c r="A932" t="s">
        <v>876</v>
      </c>
      <c r="B932" t="s">
        <v>42</v>
      </c>
      <c r="C932" s="52">
        <v>44659</v>
      </c>
      <c r="D932" s="20" t="s">
        <v>993</v>
      </c>
      <c r="E932" t="s">
        <v>877</v>
      </c>
      <c r="F932" t="s">
        <v>754</v>
      </c>
    </row>
    <row r="933" spans="1:6" x14ac:dyDescent="0.25">
      <c r="A933" t="s">
        <v>878</v>
      </c>
      <c r="B933" t="s">
        <v>887</v>
      </c>
      <c r="C933" s="52">
        <v>44659</v>
      </c>
      <c r="D933" s="20">
        <v>0.39744212962962999</v>
      </c>
      <c r="E933" t="s">
        <v>726</v>
      </c>
      <c r="F933" t="s">
        <v>754</v>
      </c>
    </row>
    <row r="934" spans="1:6" x14ac:dyDescent="0.25">
      <c r="A934" t="s">
        <v>876</v>
      </c>
      <c r="B934" t="s">
        <v>42</v>
      </c>
      <c r="C934" s="52">
        <v>44659</v>
      </c>
      <c r="D934" s="20" t="s">
        <v>994</v>
      </c>
      <c r="E934" t="s">
        <v>877</v>
      </c>
      <c r="F934" t="s">
        <v>754</v>
      </c>
    </row>
    <row r="935" spans="1:6" x14ac:dyDescent="0.25">
      <c r="A935" t="s">
        <v>878</v>
      </c>
      <c r="B935" t="s">
        <v>887</v>
      </c>
      <c r="C935" s="52">
        <v>44659</v>
      </c>
      <c r="D935" s="20">
        <v>0.41381944444444402</v>
      </c>
      <c r="E935" t="s">
        <v>726</v>
      </c>
      <c r="F935" t="s">
        <v>754</v>
      </c>
    </row>
    <row r="936" spans="1:6" x14ac:dyDescent="0.25">
      <c r="A936" t="s">
        <v>876</v>
      </c>
      <c r="B936" t="s">
        <v>42</v>
      </c>
      <c r="C936" s="52">
        <v>44659</v>
      </c>
      <c r="D936" s="20" t="s">
        <v>995</v>
      </c>
      <c r="E936" t="s">
        <v>877</v>
      </c>
      <c r="F936" t="s">
        <v>754</v>
      </c>
    </row>
    <row r="937" spans="1:6" x14ac:dyDescent="0.25">
      <c r="A937" t="s">
        <v>878</v>
      </c>
      <c r="B937" t="s">
        <v>887</v>
      </c>
      <c r="C937" s="52">
        <v>44659</v>
      </c>
      <c r="D937" s="20">
        <v>0.54334490740740704</v>
      </c>
      <c r="E937" t="s">
        <v>726</v>
      </c>
      <c r="F937" t="s">
        <v>754</v>
      </c>
    </row>
    <row r="938" spans="1:6" x14ac:dyDescent="0.25">
      <c r="A938" t="s">
        <v>876</v>
      </c>
      <c r="B938" t="s">
        <v>42</v>
      </c>
      <c r="C938" s="52">
        <v>44659</v>
      </c>
      <c r="D938" s="20" t="s">
        <v>996</v>
      </c>
      <c r="E938" t="s">
        <v>877</v>
      </c>
      <c r="F938" t="s">
        <v>754</v>
      </c>
    </row>
    <row r="939" spans="1:6" x14ac:dyDescent="0.25">
      <c r="A939" t="s">
        <v>878</v>
      </c>
      <c r="B939" t="s">
        <v>887</v>
      </c>
      <c r="C939" s="52">
        <v>44659</v>
      </c>
      <c r="D939" s="20">
        <v>0.54608796296296302</v>
      </c>
      <c r="E939" t="s">
        <v>726</v>
      </c>
      <c r="F939" t="s">
        <v>754</v>
      </c>
    </row>
    <row r="940" spans="1:6" x14ac:dyDescent="0.25">
      <c r="A940" t="s">
        <v>876</v>
      </c>
      <c r="B940" t="s">
        <v>42</v>
      </c>
      <c r="C940" s="52">
        <v>44659</v>
      </c>
      <c r="D940" s="20" t="s">
        <v>997</v>
      </c>
      <c r="E940" t="s">
        <v>877</v>
      </c>
      <c r="F940" t="s">
        <v>754</v>
      </c>
    </row>
    <row r="941" spans="1:6" x14ac:dyDescent="0.25">
      <c r="A941" t="s">
        <v>878</v>
      </c>
      <c r="B941" t="s">
        <v>887</v>
      </c>
      <c r="C941" s="52">
        <v>44659</v>
      </c>
      <c r="D941" s="20">
        <v>0.63262731481481504</v>
      </c>
      <c r="E941" t="s">
        <v>726</v>
      </c>
      <c r="F941" t="s">
        <v>754</v>
      </c>
    </row>
    <row r="942" spans="1:6" x14ac:dyDescent="0.25">
      <c r="A942" t="s">
        <v>876</v>
      </c>
      <c r="B942" t="s">
        <v>42</v>
      </c>
      <c r="C942" s="52">
        <v>44659</v>
      </c>
      <c r="D942" s="20" t="s">
        <v>998</v>
      </c>
      <c r="E942" t="s">
        <v>877</v>
      </c>
      <c r="F942" t="s">
        <v>754</v>
      </c>
    </row>
    <row r="943" spans="1:6" x14ac:dyDescent="0.25">
      <c r="A943" t="s">
        <v>878</v>
      </c>
      <c r="B943" t="s">
        <v>887</v>
      </c>
      <c r="C943" s="52">
        <v>44659</v>
      </c>
      <c r="D943" s="20">
        <v>0.63571759259259297</v>
      </c>
      <c r="E943" t="s">
        <v>726</v>
      </c>
      <c r="F943" t="s">
        <v>754</v>
      </c>
    </row>
    <row r="944" spans="1:6" x14ac:dyDescent="0.25">
      <c r="A944" t="s">
        <v>876</v>
      </c>
      <c r="B944" t="s">
        <v>42</v>
      </c>
      <c r="C944" s="52">
        <v>44659</v>
      </c>
      <c r="D944" s="20" t="s">
        <v>999</v>
      </c>
      <c r="E944" t="s">
        <v>877</v>
      </c>
      <c r="F944" t="s">
        <v>754</v>
      </c>
    </row>
    <row r="945" spans="1:6" x14ac:dyDescent="0.25">
      <c r="A945" t="s">
        <v>878</v>
      </c>
      <c r="B945" t="s">
        <v>887</v>
      </c>
      <c r="C945" s="52">
        <v>44659</v>
      </c>
      <c r="D945" s="20">
        <v>0.66094907407407399</v>
      </c>
      <c r="E945" t="s">
        <v>726</v>
      </c>
      <c r="F945" t="s">
        <v>754</v>
      </c>
    </row>
    <row r="946" spans="1:6" x14ac:dyDescent="0.25">
      <c r="A946" t="s">
        <v>876</v>
      </c>
      <c r="B946" t="s">
        <v>42</v>
      </c>
      <c r="C946" s="52">
        <v>44689</v>
      </c>
      <c r="D946" s="20" t="s">
        <v>2598</v>
      </c>
      <c r="E946" t="s">
        <v>877</v>
      </c>
      <c r="F946" t="s">
        <v>754</v>
      </c>
    </row>
    <row r="947" spans="1:6" x14ac:dyDescent="0.25">
      <c r="A947" t="s">
        <v>878</v>
      </c>
      <c r="B947" t="s">
        <v>887</v>
      </c>
      <c r="C947" s="52">
        <v>44689</v>
      </c>
      <c r="D947" s="20">
        <v>0.314768518518519</v>
      </c>
      <c r="E947" t="s">
        <v>727</v>
      </c>
      <c r="F947" t="s">
        <v>754</v>
      </c>
    </row>
    <row r="948" spans="1:6" x14ac:dyDescent="0.25">
      <c r="A948" t="s">
        <v>876</v>
      </c>
      <c r="B948" t="s">
        <v>42</v>
      </c>
      <c r="C948" s="52">
        <v>44689</v>
      </c>
      <c r="D948" s="20" t="s">
        <v>2599</v>
      </c>
      <c r="E948" t="s">
        <v>877</v>
      </c>
      <c r="F948" t="s">
        <v>754</v>
      </c>
    </row>
    <row r="949" spans="1:6" x14ac:dyDescent="0.25">
      <c r="A949" t="s">
        <v>878</v>
      </c>
      <c r="B949" t="s">
        <v>887</v>
      </c>
      <c r="C949" s="52">
        <v>44689</v>
      </c>
      <c r="D949" s="20">
        <v>0.35519675925925898</v>
      </c>
      <c r="E949" t="s">
        <v>726</v>
      </c>
      <c r="F949" t="s">
        <v>754</v>
      </c>
    </row>
    <row r="950" spans="1:6" x14ac:dyDescent="0.25">
      <c r="A950" t="s">
        <v>876</v>
      </c>
      <c r="B950" t="s">
        <v>42</v>
      </c>
      <c r="C950" s="52">
        <v>44689</v>
      </c>
      <c r="D950" s="20" t="s">
        <v>2600</v>
      </c>
      <c r="E950" t="s">
        <v>877</v>
      </c>
      <c r="F950" t="s">
        <v>754</v>
      </c>
    </row>
    <row r="951" spans="1:6" x14ac:dyDescent="0.25">
      <c r="A951" t="s">
        <v>878</v>
      </c>
      <c r="B951" t="s">
        <v>887</v>
      </c>
      <c r="C951" s="52">
        <v>44689</v>
      </c>
      <c r="D951" s="20">
        <v>0.37179398148148102</v>
      </c>
      <c r="E951" t="s">
        <v>726</v>
      </c>
      <c r="F951" t="s">
        <v>754</v>
      </c>
    </row>
    <row r="952" spans="1:6" x14ac:dyDescent="0.25">
      <c r="A952" t="s">
        <v>876</v>
      </c>
      <c r="B952" t="s">
        <v>42</v>
      </c>
      <c r="C952" s="52">
        <v>44689</v>
      </c>
      <c r="D952" s="20" t="s">
        <v>2601</v>
      </c>
      <c r="E952" t="s">
        <v>877</v>
      </c>
      <c r="F952" t="s">
        <v>754</v>
      </c>
    </row>
    <row r="953" spans="1:6" x14ac:dyDescent="0.25">
      <c r="A953" t="s">
        <v>878</v>
      </c>
      <c r="B953" t="s">
        <v>887</v>
      </c>
      <c r="C953" s="52">
        <v>44689</v>
      </c>
      <c r="D953" s="20">
        <v>0.40165509259259302</v>
      </c>
      <c r="E953" t="s">
        <v>715</v>
      </c>
      <c r="F953" t="s">
        <v>754</v>
      </c>
    </row>
    <row r="954" spans="1:6" x14ac:dyDescent="0.25">
      <c r="A954" t="s">
        <v>876</v>
      </c>
      <c r="B954" t="s">
        <v>42</v>
      </c>
      <c r="C954" s="52">
        <v>44689</v>
      </c>
      <c r="D954" s="20" t="s">
        <v>2602</v>
      </c>
      <c r="E954" t="s">
        <v>877</v>
      </c>
      <c r="F954" t="s">
        <v>754</v>
      </c>
    </row>
    <row r="955" spans="1:6" x14ac:dyDescent="0.25">
      <c r="A955" t="s">
        <v>878</v>
      </c>
      <c r="B955" t="s">
        <v>887</v>
      </c>
      <c r="C955" s="52">
        <v>44689</v>
      </c>
      <c r="D955" s="20">
        <v>0.41291666666666699</v>
      </c>
      <c r="E955" t="s">
        <v>715</v>
      </c>
      <c r="F955" t="s">
        <v>754</v>
      </c>
    </row>
    <row r="956" spans="1:6" x14ac:dyDescent="0.25">
      <c r="A956" t="s">
        <v>876</v>
      </c>
      <c r="B956" t="s">
        <v>42</v>
      </c>
      <c r="C956" s="52">
        <v>44689</v>
      </c>
      <c r="D956" s="20" t="s">
        <v>2603</v>
      </c>
      <c r="E956" t="s">
        <v>877</v>
      </c>
      <c r="F956" t="s">
        <v>754</v>
      </c>
    </row>
    <row r="957" spans="1:6" x14ac:dyDescent="0.25">
      <c r="A957" t="s">
        <v>878</v>
      </c>
      <c r="B957" t="s">
        <v>887</v>
      </c>
      <c r="C957" s="52">
        <v>44689</v>
      </c>
      <c r="D957" s="20">
        <v>0.48554398148148098</v>
      </c>
      <c r="E957" t="s">
        <v>715</v>
      </c>
      <c r="F957" t="s">
        <v>754</v>
      </c>
    </row>
    <row r="958" spans="1:6" x14ac:dyDescent="0.25">
      <c r="A958" t="s">
        <v>876</v>
      </c>
      <c r="B958" t="s">
        <v>42</v>
      </c>
      <c r="C958" s="52">
        <v>44689</v>
      </c>
      <c r="D958" s="20" t="s">
        <v>2604</v>
      </c>
      <c r="E958" t="s">
        <v>877</v>
      </c>
      <c r="F958" t="s">
        <v>754</v>
      </c>
    </row>
    <row r="959" spans="1:6" x14ac:dyDescent="0.25">
      <c r="A959" t="s">
        <v>878</v>
      </c>
      <c r="B959" t="s">
        <v>887</v>
      </c>
      <c r="C959" s="52">
        <v>44689</v>
      </c>
      <c r="D959" s="20">
        <v>0.49255787037037002</v>
      </c>
      <c r="E959" t="s">
        <v>715</v>
      </c>
      <c r="F959" t="s">
        <v>754</v>
      </c>
    </row>
    <row r="960" spans="1:6" x14ac:dyDescent="0.25">
      <c r="A960" t="s">
        <v>876</v>
      </c>
      <c r="B960" t="s">
        <v>42</v>
      </c>
      <c r="C960" s="52">
        <v>44689</v>
      </c>
      <c r="D960" s="20" t="s">
        <v>2605</v>
      </c>
      <c r="E960" t="s">
        <v>877</v>
      </c>
      <c r="F960" t="s">
        <v>754</v>
      </c>
    </row>
    <row r="961" spans="1:6" x14ac:dyDescent="0.25">
      <c r="A961" t="s">
        <v>878</v>
      </c>
      <c r="B961" t="s">
        <v>887</v>
      </c>
      <c r="C961" s="52">
        <v>44689</v>
      </c>
      <c r="D961" s="20">
        <v>0.53053240740740704</v>
      </c>
      <c r="E961" t="s">
        <v>903</v>
      </c>
      <c r="F961" t="s">
        <v>754</v>
      </c>
    </row>
    <row r="962" spans="1:6" x14ac:dyDescent="0.25">
      <c r="A962" t="s">
        <v>876</v>
      </c>
      <c r="B962" t="s">
        <v>42</v>
      </c>
      <c r="C962" s="52">
        <v>44689</v>
      </c>
      <c r="D962" s="20" t="s">
        <v>2606</v>
      </c>
      <c r="E962" t="s">
        <v>877</v>
      </c>
      <c r="F962" t="s">
        <v>754</v>
      </c>
    </row>
    <row r="963" spans="1:6" x14ac:dyDescent="0.25">
      <c r="A963" t="s">
        <v>878</v>
      </c>
      <c r="B963" t="s">
        <v>887</v>
      </c>
      <c r="C963" s="52">
        <v>44689</v>
      </c>
      <c r="D963" s="20">
        <v>0.53935185185185197</v>
      </c>
      <c r="E963" t="s">
        <v>903</v>
      </c>
      <c r="F963" t="s">
        <v>754</v>
      </c>
    </row>
    <row r="964" spans="1:6" x14ac:dyDescent="0.25">
      <c r="A964" t="s">
        <v>876</v>
      </c>
      <c r="B964" t="s">
        <v>42</v>
      </c>
      <c r="C964" s="52">
        <v>44720</v>
      </c>
      <c r="D964" s="20" t="s">
        <v>2607</v>
      </c>
      <c r="E964" t="s">
        <v>877</v>
      </c>
      <c r="F964" t="s">
        <v>754</v>
      </c>
    </row>
    <row r="965" spans="1:6" x14ac:dyDescent="0.25">
      <c r="A965" t="s">
        <v>878</v>
      </c>
      <c r="B965" t="s">
        <v>887</v>
      </c>
      <c r="C965" s="52">
        <v>44720</v>
      </c>
      <c r="D965" s="20">
        <v>0.34869212962962998</v>
      </c>
      <c r="E965" t="s">
        <v>726</v>
      </c>
      <c r="F965" t="s">
        <v>754</v>
      </c>
    </row>
    <row r="966" spans="1:6" x14ac:dyDescent="0.25">
      <c r="A966" t="s">
        <v>876</v>
      </c>
      <c r="B966" t="s">
        <v>42</v>
      </c>
      <c r="C966" s="52">
        <v>44720</v>
      </c>
      <c r="D966" s="20" t="s">
        <v>2608</v>
      </c>
      <c r="E966" t="s">
        <v>877</v>
      </c>
      <c r="F966" t="s">
        <v>754</v>
      </c>
    </row>
    <row r="967" spans="1:6" x14ac:dyDescent="0.25">
      <c r="A967" t="s">
        <v>878</v>
      </c>
      <c r="B967" t="s">
        <v>887</v>
      </c>
      <c r="C967" s="52">
        <v>44720</v>
      </c>
      <c r="D967" s="20">
        <v>0.47115740740740703</v>
      </c>
      <c r="E967" t="s">
        <v>726</v>
      </c>
      <c r="F967" t="s">
        <v>754</v>
      </c>
    </row>
    <row r="968" spans="1:6" x14ac:dyDescent="0.25">
      <c r="A968" t="s">
        <v>876</v>
      </c>
      <c r="B968" t="s">
        <v>42</v>
      </c>
      <c r="C968" s="52">
        <v>44720</v>
      </c>
      <c r="D968" s="20" t="s">
        <v>2609</v>
      </c>
      <c r="E968" t="s">
        <v>877</v>
      </c>
      <c r="F968" t="s">
        <v>754</v>
      </c>
    </row>
    <row r="969" spans="1:6" x14ac:dyDescent="0.25">
      <c r="A969" t="s">
        <v>878</v>
      </c>
      <c r="B969" t="s">
        <v>887</v>
      </c>
      <c r="C969" s="52">
        <v>44720</v>
      </c>
      <c r="D969" s="20">
        <v>0.597523148148148</v>
      </c>
      <c r="E969" t="s">
        <v>903</v>
      </c>
      <c r="F969" t="s">
        <v>754</v>
      </c>
    </row>
    <row r="970" spans="1:6" x14ac:dyDescent="0.25">
      <c r="A970" t="s">
        <v>876</v>
      </c>
      <c r="B970" t="s">
        <v>27</v>
      </c>
      <c r="C970" s="52">
        <v>44569</v>
      </c>
      <c r="D970" s="20" t="s">
        <v>1505</v>
      </c>
      <c r="E970" t="s">
        <v>877</v>
      </c>
      <c r="F970" t="s">
        <v>754</v>
      </c>
    </row>
    <row r="971" spans="1:6" x14ac:dyDescent="0.25">
      <c r="A971" t="s">
        <v>878</v>
      </c>
      <c r="B971" t="s">
        <v>888</v>
      </c>
      <c r="C971" s="52">
        <v>44569</v>
      </c>
      <c r="D971" s="20">
        <v>0.35776620370370399</v>
      </c>
      <c r="E971" t="s">
        <v>728</v>
      </c>
      <c r="F971" t="s">
        <v>754</v>
      </c>
    </row>
    <row r="972" spans="1:6" x14ac:dyDescent="0.25">
      <c r="A972" t="s">
        <v>876</v>
      </c>
      <c r="B972" t="s">
        <v>27</v>
      </c>
      <c r="C972" s="52">
        <v>44569</v>
      </c>
      <c r="D972" s="20" t="s">
        <v>1506</v>
      </c>
      <c r="E972" t="s">
        <v>877</v>
      </c>
      <c r="F972" t="s">
        <v>754</v>
      </c>
    </row>
    <row r="973" spans="1:6" x14ac:dyDescent="0.25">
      <c r="A973" t="s">
        <v>878</v>
      </c>
      <c r="B973" t="s">
        <v>888</v>
      </c>
      <c r="C973" s="52">
        <v>44569</v>
      </c>
      <c r="D973" s="20">
        <v>0.46880787037036997</v>
      </c>
      <c r="E973" t="s">
        <v>728</v>
      </c>
      <c r="F973" t="s">
        <v>754</v>
      </c>
    </row>
    <row r="974" spans="1:6" x14ac:dyDescent="0.25">
      <c r="A974" t="s">
        <v>876</v>
      </c>
      <c r="B974" t="s">
        <v>27</v>
      </c>
      <c r="C974" s="52">
        <v>44569</v>
      </c>
      <c r="D974" s="20" t="s">
        <v>1507</v>
      </c>
      <c r="E974" t="s">
        <v>877</v>
      </c>
      <c r="F974" t="s">
        <v>754</v>
      </c>
    </row>
    <row r="975" spans="1:6" x14ac:dyDescent="0.25">
      <c r="A975" t="s">
        <v>878</v>
      </c>
      <c r="B975" t="s">
        <v>888</v>
      </c>
      <c r="C975" s="52">
        <v>44569</v>
      </c>
      <c r="D975" s="20">
        <v>0.50891203703703702</v>
      </c>
      <c r="E975" t="s">
        <v>728</v>
      </c>
      <c r="F975" t="s">
        <v>754</v>
      </c>
    </row>
    <row r="976" spans="1:6" x14ac:dyDescent="0.25">
      <c r="A976" t="s">
        <v>876</v>
      </c>
      <c r="B976" t="s">
        <v>27</v>
      </c>
      <c r="C976" s="52">
        <v>44569</v>
      </c>
      <c r="D976" s="20" t="s">
        <v>1508</v>
      </c>
      <c r="E976" t="s">
        <v>877</v>
      </c>
      <c r="F976" t="s">
        <v>754</v>
      </c>
    </row>
    <row r="977" spans="1:6" x14ac:dyDescent="0.25">
      <c r="A977" t="s">
        <v>878</v>
      </c>
      <c r="B977" t="s">
        <v>888</v>
      </c>
      <c r="C977" s="52">
        <v>44569</v>
      </c>
      <c r="D977" s="20">
        <v>0.51032407407407399</v>
      </c>
      <c r="E977" t="s">
        <v>728</v>
      </c>
      <c r="F977" t="s">
        <v>754</v>
      </c>
    </row>
    <row r="978" spans="1:6" x14ac:dyDescent="0.25">
      <c r="A978" t="s">
        <v>876</v>
      </c>
      <c r="B978" t="s">
        <v>27</v>
      </c>
      <c r="C978" s="52">
        <v>44569</v>
      </c>
      <c r="D978" s="20" t="s">
        <v>1509</v>
      </c>
      <c r="E978" t="s">
        <v>877</v>
      </c>
      <c r="F978" t="s">
        <v>754</v>
      </c>
    </row>
    <row r="979" spans="1:6" x14ac:dyDescent="0.25">
      <c r="A979" t="s">
        <v>878</v>
      </c>
      <c r="B979" t="s">
        <v>888</v>
      </c>
      <c r="C979" s="52">
        <v>44569</v>
      </c>
      <c r="D979" s="20">
        <v>0.61521990740740695</v>
      </c>
      <c r="E979" t="s">
        <v>728</v>
      </c>
      <c r="F979" t="s">
        <v>754</v>
      </c>
    </row>
    <row r="980" spans="1:6" x14ac:dyDescent="0.25">
      <c r="A980" t="s">
        <v>876</v>
      </c>
      <c r="B980" t="s">
        <v>27</v>
      </c>
      <c r="C980" s="52">
        <v>44569</v>
      </c>
      <c r="D980" s="20" t="s">
        <v>1510</v>
      </c>
      <c r="E980" t="s">
        <v>877</v>
      </c>
      <c r="F980" t="s">
        <v>754</v>
      </c>
    </row>
    <row r="981" spans="1:6" x14ac:dyDescent="0.25">
      <c r="A981" t="s">
        <v>878</v>
      </c>
      <c r="B981" t="s">
        <v>888</v>
      </c>
      <c r="C981" s="52">
        <v>44569</v>
      </c>
      <c r="D981" s="20">
        <v>0.78520833333333295</v>
      </c>
      <c r="E981" t="s">
        <v>728</v>
      </c>
      <c r="F981" t="s">
        <v>754</v>
      </c>
    </row>
    <row r="982" spans="1:6" x14ac:dyDescent="0.25">
      <c r="A982" t="s">
        <v>876</v>
      </c>
      <c r="B982" t="s">
        <v>27</v>
      </c>
      <c r="C982" s="52">
        <v>44569</v>
      </c>
      <c r="D982" s="20" t="s">
        <v>1511</v>
      </c>
      <c r="E982" t="s">
        <v>877</v>
      </c>
      <c r="F982" t="s">
        <v>754</v>
      </c>
    </row>
    <row r="983" spans="1:6" x14ac:dyDescent="0.25">
      <c r="A983" t="s">
        <v>878</v>
      </c>
      <c r="B983" t="s">
        <v>888</v>
      </c>
      <c r="C983" s="52">
        <v>44569</v>
      </c>
      <c r="D983" s="20">
        <v>0.84277777777777796</v>
      </c>
      <c r="E983" t="s">
        <v>728</v>
      </c>
      <c r="F983" t="s">
        <v>754</v>
      </c>
    </row>
    <row r="984" spans="1:6" x14ac:dyDescent="0.25">
      <c r="A984" t="s">
        <v>876</v>
      </c>
      <c r="B984" t="s">
        <v>27</v>
      </c>
      <c r="C984" s="52">
        <v>44600</v>
      </c>
      <c r="D984" s="20" t="s">
        <v>865</v>
      </c>
      <c r="E984" t="s">
        <v>877</v>
      </c>
      <c r="F984" t="s">
        <v>754</v>
      </c>
    </row>
    <row r="985" spans="1:6" x14ac:dyDescent="0.25">
      <c r="A985" t="s">
        <v>878</v>
      </c>
      <c r="B985" t="s">
        <v>888</v>
      </c>
      <c r="C985" s="52">
        <v>44600</v>
      </c>
      <c r="D985" s="20">
        <v>0.413680555555556</v>
      </c>
      <c r="E985" t="s">
        <v>728</v>
      </c>
      <c r="F985" t="s">
        <v>754</v>
      </c>
    </row>
    <row r="986" spans="1:6" x14ac:dyDescent="0.25">
      <c r="A986" t="s">
        <v>876</v>
      </c>
      <c r="B986" t="s">
        <v>27</v>
      </c>
      <c r="C986" s="52">
        <v>44600</v>
      </c>
      <c r="D986" s="20" t="s">
        <v>866</v>
      </c>
      <c r="E986" t="s">
        <v>877</v>
      </c>
      <c r="F986" t="s">
        <v>754</v>
      </c>
    </row>
    <row r="987" spans="1:6" x14ac:dyDescent="0.25">
      <c r="A987" t="s">
        <v>878</v>
      </c>
      <c r="B987" t="s">
        <v>888</v>
      </c>
      <c r="C987" s="52">
        <v>44600</v>
      </c>
      <c r="D987" s="20">
        <v>0.44533564814814802</v>
      </c>
      <c r="E987" t="s">
        <v>728</v>
      </c>
      <c r="F987" t="s">
        <v>754</v>
      </c>
    </row>
    <row r="988" spans="1:6" x14ac:dyDescent="0.25">
      <c r="A988" t="s">
        <v>876</v>
      </c>
      <c r="B988" t="s">
        <v>27</v>
      </c>
      <c r="C988" s="52">
        <v>44600</v>
      </c>
      <c r="D988" s="20" t="s">
        <v>867</v>
      </c>
      <c r="E988" t="s">
        <v>877</v>
      </c>
      <c r="F988" t="s">
        <v>754</v>
      </c>
    </row>
    <row r="989" spans="1:6" x14ac:dyDescent="0.25">
      <c r="A989" t="s">
        <v>878</v>
      </c>
      <c r="B989" t="s">
        <v>888</v>
      </c>
      <c r="C989" s="52">
        <v>44600</v>
      </c>
      <c r="D989" s="20">
        <v>0.55371527777777796</v>
      </c>
      <c r="E989" t="s">
        <v>728</v>
      </c>
      <c r="F989" t="s">
        <v>754</v>
      </c>
    </row>
    <row r="990" spans="1:6" x14ac:dyDescent="0.25">
      <c r="A990" t="s">
        <v>876</v>
      </c>
      <c r="B990" t="s">
        <v>27</v>
      </c>
      <c r="C990" s="52">
        <v>44600</v>
      </c>
      <c r="D990" s="20" t="s">
        <v>868</v>
      </c>
      <c r="E990" t="s">
        <v>877</v>
      </c>
      <c r="F990" t="s">
        <v>754</v>
      </c>
    </row>
    <row r="991" spans="1:6" x14ac:dyDescent="0.25">
      <c r="A991" t="s">
        <v>878</v>
      </c>
      <c r="B991" t="s">
        <v>888</v>
      </c>
      <c r="C991" s="52">
        <v>44600</v>
      </c>
      <c r="D991" s="20">
        <v>0.71195601851851897</v>
      </c>
      <c r="E991" t="s">
        <v>729</v>
      </c>
      <c r="F991" t="s">
        <v>754</v>
      </c>
    </row>
    <row r="992" spans="1:6" x14ac:dyDescent="0.25">
      <c r="A992" t="s">
        <v>876</v>
      </c>
      <c r="B992" t="s">
        <v>27</v>
      </c>
      <c r="C992" s="52">
        <v>44628</v>
      </c>
      <c r="D992" s="20" t="s">
        <v>1314</v>
      </c>
      <c r="E992" t="s">
        <v>877</v>
      </c>
      <c r="F992" t="s">
        <v>754</v>
      </c>
    </row>
    <row r="993" spans="1:6" x14ac:dyDescent="0.25">
      <c r="A993" t="s">
        <v>878</v>
      </c>
      <c r="B993" t="s">
        <v>888</v>
      </c>
      <c r="C993" s="52">
        <v>44628</v>
      </c>
      <c r="D993" s="20">
        <v>0.25430555555555601</v>
      </c>
      <c r="E993" t="s">
        <v>728</v>
      </c>
      <c r="F993" t="s">
        <v>754</v>
      </c>
    </row>
    <row r="994" spans="1:6" x14ac:dyDescent="0.25">
      <c r="A994" t="s">
        <v>876</v>
      </c>
      <c r="B994" t="s">
        <v>27</v>
      </c>
      <c r="C994" s="52">
        <v>44628</v>
      </c>
      <c r="D994" s="20" t="s">
        <v>1315</v>
      </c>
      <c r="E994" t="s">
        <v>877</v>
      </c>
      <c r="F994" t="s">
        <v>754</v>
      </c>
    </row>
    <row r="995" spans="1:6" x14ac:dyDescent="0.25">
      <c r="A995" t="s">
        <v>878</v>
      </c>
      <c r="B995" t="s">
        <v>888</v>
      </c>
      <c r="C995" s="52">
        <v>44628</v>
      </c>
      <c r="D995" s="20">
        <v>0.38564814814814802</v>
      </c>
      <c r="E995" t="s">
        <v>715</v>
      </c>
      <c r="F995" t="s">
        <v>754</v>
      </c>
    </row>
    <row r="996" spans="1:6" x14ac:dyDescent="0.25">
      <c r="A996" t="s">
        <v>876</v>
      </c>
      <c r="B996" t="s">
        <v>27</v>
      </c>
      <c r="C996" s="52">
        <v>44628</v>
      </c>
      <c r="D996" s="20" t="s">
        <v>1316</v>
      </c>
      <c r="E996" t="s">
        <v>877</v>
      </c>
      <c r="F996" t="s">
        <v>754</v>
      </c>
    </row>
    <row r="997" spans="1:6" x14ac:dyDescent="0.25">
      <c r="A997" t="s">
        <v>878</v>
      </c>
      <c r="B997" t="s">
        <v>888</v>
      </c>
      <c r="C997" s="52">
        <v>44628</v>
      </c>
      <c r="D997" s="20">
        <v>0.40069444444444402</v>
      </c>
      <c r="E997" t="s">
        <v>715</v>
      </c>
      <c r="F997" t="s">
        <v>754</v>
      </c>
    </row>
    <row r="998" spans="1:6" x14ac:dyDescent="0.25">
      <c r="A998" t="s">
        <v>876</v>
      </c>
      <c r="B998" t="s">
        <v>27</v>
      </c>
      <c r="C998" s="52">
        <v>44628</v>
      </c>
      <c r="D998" s="20" t="s">
        <v>1317</v>
      </c>
      <c r="E998" t="s">
        <v>877</v>
      </c>
      <c r="F998" t="s">
        <v>754</v>
      </c>
    </row>
    <row r="999" spans="1:6" x14ac:dyDescent="0.25">
      <c r="A999" t="s">
        <v>878</v>
      </c>
      <c r="B999" t="s">
        <v>888</v>
      </c>
      <c r="C999" s="52">
        <v>44628</v>
      </c>
      <c r="D999" s="20">
        <v>0.42890046296296302</v>
      </c>
      <c r="E999" t="s">
        <v>728</v>
      </c>
      <c r="F999" t="s">
        <v>754</v>
      </c>
    </row>
    <row r="1000" spans="1:6" x14ac:dyDescent="0.25">
      <c r="A1000" t="s">
        <v>876</v>
      </c>
      <c r="B1000" t="s">
        <v>27</v>
      </c>
      <c r="C1000" s="52">
        <v>44628</v>
      </c>
      <c r="D1000" s="20" t="s">
        <v>1318</v>
      </c>
      <c r="E1000" t="s">
        <v>877</v>
      </c>
      <c r="F1000" t="s">
        <v>754</v>
      </c>
    </row>
    <row r="1001" spans="1:6" x14ac:dyDescent="0.25">
      <c r="A1001" t="s">
        <v>878</v>
      </c>
      <c r="B1001" t="s">
        <v>888</v>
      </c>
      <c r="C1001" s="52">
        <v>44628</v>
      </c>
      <c r="D1001" s="20">
        <v>0.56600694444444399</v>
      </c>
      <c r="E1001" t="s">
        <v>728</v>
      </c>
      <c r="F1001" t="s">
        <v>754</v>
      </c>
    </row>
    <row r="1002" spans="1:6" x14ac:dyDescent="0.25">
      <c r="A1002" t="s">
        <v>876</v>
      </c>
      <c r="B1002" t="s">
        <v>27</v>
      </c>
      <c r="C1002" s="52">
        <v>44628</v>
      </c>
      <c r="D1002" s="20" t="s">
        <v>1319</v>
      </c>
      <c r="E1002" t="s">
        <v>877</v>
      </c>
      <c r="F1002" t="s">
        <v>754</v>
      </c>
    </row>
    <row r="1003" spans="1:6" x14ac:dyDescent="0.25">
      <c r="A1003" t="s">
        <v>878</v>
      </c>
      <c r="B1003" t="s">
        <v>888</v>
      </c>
      <c r="C1003" s="52">
        <v>44628</v>
      </c>
      <c r="D1003" s="20">
        <v>0.59055555555555606</v>
      </c>
      <c r="E1003" t="s">
        <v>728</v>
      </c>
      <c r="F1003" t="s">
        <v>754</v>
      </c>
    </row>
    <row r="1004" spans="1:6" x14ac:dyDescent="0.25">
      <c r="A1004" t="s">
        <v>876</v>
      </c>
      <c r="B1004" t="s">
        <v>27</v>
      </c>
      <c r="C1004" s="52">
        <v>44628</v>
      </c>
      <c r="D1004" s="20" t="s">
        <v>1320</v>
      </c>
      <c r="E1004" t="s">
        <v>877</v>
      </c>
      <c r="F1004" t="s">
        <v>754</v>
      </c>
    </row>
    <row r="1005" spans="1:6" x14ac:dyDescent="0.25">
      <c r="A1005" t="s">
        <v>878</v>
      </c>
      <c r="B1005" t="s">
        <v>888</v>
      </c>
      <c r="C1005" s="52">
        <v>44628</v>
      </c>
      <c r="D1005" s="20">
        <v>0.59914351851851899</v>
      </c>
      <c r="E1005" t="s">
        <v>729</v>
      </c>
      <c r="F1005" t="s">
        <v>754</v>
      </c>
    </row>
    <row r="1006" spans="1:6" x14ac:dyDescent="0.25">
      <c r="A1006" t="s">
        <v>876</v>
      </c>
      <c r="B1006" t="s">
        <v>27</v>
      </c>
      <c r="C1006" s="52">
        <v>44628</v>
      </c>
      <c r="D1006" s="20" t="s">
        <v>1321</v>
      </c>
      <c r="E1006" t="s">
        <v>877</v>
      </c>
      <c r="F1006" t="s">
        <v>754</v>
      </c>
    </row>
    <row r="1007" spans="1:6" x14ac:dyDescent="0.25">
      <c r="A1007" t="s">
        <v>878</v>
      </c>
      <c r="B1007" t="s">
        <v>888</v>
      </c>
      <c r="C1007" s="52">
        <v>44628</v>
      </c>
      <c r="D1007" s="20">
        <v>0.60119212962962998</v>
      </c>
      <c r="E1007" t="s">
        <v>729</v>
      </c>
      <c r="F1007" t="s">
        <v>754</v>
      </c>
    </row>
    <row r="1008" spans="1:6" x14ac:dyDescent="0.25">
      <c r="A1008" t="s">
        <v>876</v>
      </c>
      <c r="B1008" t="s">
        <v>27</v>
      </c>
      <c r="C1008" s="52">
        <v>44628</v>
      </c>
      <c r="D1008" s="20" t="s">
        <v>1322</v>
      </c>
      <c r="E1008" t="s">
        <v>877</v>
      </c>
      <c r="F1008" t="s">
        <v>754</v>
      </c>
    </row>
    <row r="1009" spans="1:6" x14ac:dyDescent="0.25">
      <c r="A1009" t="s">
        <v>878</v>
      </c>
      <c r="B1009" t="s">
        <v>888</v>
      </c>
      <c r="C1009" s="52">
        <v>44628</v>
      </c>
      <c r="D1009" s="20">
        <v>0.656018518518518</v>
      </c>
      <c r="E1009" t="s">
        <v>729</v>
      </c>
      <c r="F1009" t="s">
        <v>754</v>
      </c>
    </row>
    <row r="1010" spans="1:6" x14ac:dyDescent="0.25">
      <c r="A1010" t="s">
        <v>876</v>
      </c>
      <c r="B1010" t="s">
        <v>27</v>
      </c>
      <c r="C1010" s="52">
        <v>44659</v>
      </c>
      <c r="D1010" s="20" t="s">
        <v>1000</v>
      </c>
      <c r="E1010" t="s">
        <v>877</v>
      </c>
      <c r="F1010" t="s">
        <v>754</v>
      </c>
    </row>
    <row r="1011" spans="1:6" x14ac:dyDescent="0.25">
      <c r="A1011" t="s">
        <v>878</v>
      </c>
      <c r="B1011" t="s">
        <v>888</v>
      </c>
      <c r="C1011" s="52">
        <v>44659</v>
      </c>
      <c r="D1011" s="20">
        <v>0.353483796296296</v>
      </c>
      <c r="E1011" t="s">
        <v>728</v>
      </c>
      <c r="F1011" t="s">
        <v>754</v>
      </c>
    </row>
    <row r="1012" spans="1:6" x14ac:dyDescent="0.25">
      <c r="A1012" t="s">
        <v>876</v>
      </c>
      <c r="B1012" t="s">
        <v>27</v>
      </c>
      <c r="C1012" s="52">
        <v>44659</v>
      </c>
      <c r="D1012" s="20" t="s">
        <v>1001</v>
      </c>
      <c r="E1012" t="s">
        <v>877</v>
      </c>
      <c r="F1012" t="s">
        <v>754</v>
      </c>
    </row>
    <row r="1013" spans="1:6" x14ac:dyDescent="0.25">
      <c r="A1013" t="s">
        <v>878</v>
      </c>
      <c r="B1013" t="s">
        <v>888</v>
      </c>
      <c r="C1013" s="52">
        <v>44659</v>
      </c>
      <c r="D1013" s="20">
        <v>0.48719907407407398</v>
      </c>
      <c r="E1013" t="s">
        <v>728</v>
      </c>
      <c r="F1013" t="s">
        <v>754</v>
      </c>
    </row>
    <row r="1014" spans="1:6" x14ac:dyDescent="0.25">
      <c r="A1014" t="s">
        <v>876</v>
      </c>
      <c r="B1014" t="s">
        <v>27</v>
      </c>
      <c r="C1014" s="52">
        <v>44659</v>
      </c>
      <c r="D1014" s="20" t="s">
        <v>1002</v>
      </c>
      <c r="E1014" t="s">
        <v>877</v>
      </c>
      <c r="F1014" t="s">
        <v>754</v>
      </c>
    </row>
    <row r="1015" spans="1:6" x14ac:dyDescent="0.25">
      <c r="A1015" t="s">
        <v>878</v>
      </c>
      <c r="B1015" t="s">
        <v>888</v>
      </c>
      <c r="C1015" s="52">
        <v>44659</v>
      </c>
      <c r="D1015" s="20">
        <v>0.56690972222222202</v>
      </c>
      <c r="E1015" t="s">
        <v>728</v>
      </c>
      <c r="F1015" t="s">
        <v>754</v>
      </c>
    </row>
    <row r="1016" spans="1:6" x14ac:dyDescent="0.25">
      <c r="A1016" t="s">
        <v>876</v>
      </c>
      <c r="B1016" t="s">
        <v>27</v>
      </c>
      <c r="C1016" s="52">
        <v>44659</v>
      </c>
      <c r="D1016" s="20" t="s">
        <v>1003</v>
      </c>
      <c r="E1016" t="s">
        <v>877</v>
      </c>
      <c r="F1016" t="s">
        <v>754</v>
      </c>
    </row>
    <row r="1017" spans="1:6" x14ac:dyDescent="0.25">
      <c r="A1017" t="s">
        <v>878</v>
      </c>
      <c r="B1017" t="s">
        <v>888</v>
      </c>
      <c r="C1017" s="52">
        <v>44659</v>
      </c>
      <c r="D1017" s="20">
        <v>0.71722222222222198</v>
      </c>
      <c r="E1017" t="s">
        <v>729</v>
      </c>
      <c r="F1017" t="s">
        <v>754</v>
      </c>
    </row>
    <row r="1018" spans="1:6" x14ac:dyDescent="0.25">
      <c r="A1018" t="s">
        <v>876</v>
      </c>
      <c r="B1018" t="s">
        <v>27</v>
      </c>
      <c r="C1018" s="52">
        <v>44659</v>
      </c>
      <c r="D1018" s="20" t="s">
        <v>1004</v>
      </c>
      <c r="E1018" t="s">
        <v>877</v>
      </c>
      <c r="F1018" t="s">
        <v>754</v>
      </c>
    </row>
    <row r="1019" spans="1:6" x14ac:dyDescent="0.25">
      <c r="A1019" t="s">
        <v>878</v>
      </c>
      <c r="B1019" t="s">
        <v>888</v>
      </c>
      <c r="C1019" s="52">
        <v>44659</v>
      </c>
      <c r="D1019" s="20">
        <v>0.867916666666667</v>
      </c>
      <c r="E1019" t="s">
        <v>729</v>
      </c>
      <c r="F1019" t="s">
        <v>754</v>
      </c>
    </row>
    <row r="1020" spans="1:6" x14ac:dyDescent="0.25">
      <c r="A1020" t="s">
        <v>876</v>
      </c>
      <c r="B1020" t="s">
        <v>27</v>
      </c>
      <c r="C1020" s="52">
        <v>44689</v>
      </c>
      <c r="D1020" s="20" t="s">
        <v>2610</v>
      </c>
      <c r="E1020" t="s">
        <v>877</v>
      </c>
      <c r="F1020" t="s">
        <v>754</v>
      </c>
    </row>
    <row r="1021" spans="1:6" x14ac:dyDescent="0.25">
      <c r="A1021" t="s">
        <v>878</v>
      </c>
      <c r="B1021" t="s">
        <v>888</v>
      </c>
      <c r="C1021" s="52">
        <v>44689</v>
      </c>
      <c r="D1021" s="20">
        <v>0.331782407407407</v>
      </c>
      <c r="E1021" t="s">
        <v>729</v>
      </c>
      <c r="F1021" t="s">
        <v>754</v>
      </c>
    </row>
    <row r="1022" spans="1:6" x14ac:dyDescent="0.25">
      <c r="A1022" t="s">
        <v>876</v>
      </c>
      <c r="B1022" t="s">
        <v>27</v>
      </c>
      <c r="C1022" s="52">
        <v>44689</v>
      </c>
      <c r="D1022" s="20" t="s">
        <v>2611</v>
      </c>
      <c r="E1022" t="s">
        <v>877</v>
      </c>
      <c r="F1022" t="s">
        <v>754</v>
      </c>
    </row>
    <row r="1023" spans="1:6" x14ac:dyDescent="0.25">
      <c r="A1023" t="s">
        <v>878</v>
      </c>
      <c r="B1023" t="s">
        <v>888</v>
      </c>
      <c r="C1023" s="52">
        <v>44689</v>
      </c>
      <c r="D1023" s="20">
        <v>0.35439814814814802</v>
      </c>
      <c r="E1023" t="s">
        <v>729</v>
      </c>
      <c r="F1023" t="s">
        <v>754</v>
      </c>
    </row>
    <row r="1024" spans="1:6" x14ac:dyDescent="0.25">
      <c r="A1024" t="s">
        <v>876</v>
      </c>
      <c r="B1024" t="s">
        <v>27</v>
      </c>
      <c r="C1024" s="52">
        <v>44689</v>
      </c>
      <c r="D1024" s="20" t="s">
        <v>2612</v>
      </c>
      <c r="E1024" t="s">
        <v>877</v>
      </c>
      <c r="F1024" t="s">
        <v>754</v>
      </c>
    </row>
    <row r="1025" spans="1:6" x14ac:dyDescent="0.25">
      <c r="A1025" t="s">
        <v>878</v>
      </c>
      <c r="B1025" t="s">
        <v>888</v>
      </c>
      <c r="C1025" s="52">
        <v>44689</v>
      </c>
      <c r="D1025" s="20">
        <v>0.35769675925925898</v>
      </c>
      <c r="E1025" t="s">
        <v>729</v>
      </c>
      <c r="F1025" t="s">
        <v>754</v>
      </c>
    </row>
    <row r="1026" spans="1:6" x14ac:dyDescent="0.25">
      <c r="A1026" t="s">
        <v>876</v>
      </c>
      <c r="B1026" t="s">
        <v>27</v>
      </c>
      <c r="C1026" s="52">
        <v>44689</v>
      </c>
      <c r="D1026" s="20" t="s">
        <v>2430</v>
      </c>
      <c r="E1026" t="s">
        <v>877</v>
      </c>
      <c r="F1026" t="s">
        <v>754</v>
      </c>
    </row>
    <row r="1027" spans="1:6" x14ac:dyDescent="0.25">
      <c r="A1027" t="s">
        <v>878</v>
      </c>
      <c r="B1027" t="s">
        <v>888</v>
      </c>
      <c r="C1027" s="52">
        <v>44689</v>
      </c>
      <c r="D1027" s="20">
        <v>0.36060185185185201</v>
      </c>
      <c r="E1027" t="s">
        <v>729</v>
      </c>
      <c r="F1027" t="s">
        <v>754</v>
      </c>
    </row>
    <row r="1028" spans="1:6" x14ac:dyDescent="0.25">
      <c r="A1028" t="s">
        <v>876</v>
      </c>
      <c r="B1028" t="s">
        <v>27</v>
      </c>
      <c r="C1028" s="52">
        <v>44689</v>
      </c>
      <c r="D1028" s="20" t="s">
        <v>2613</v>
      </c>
      <c r="E1028" t="s">
        <v>877</v>
      </c>
      <c r="F1028" t="s">
        <v>754</v>
      </c>
    </row>
    <row r="1029" spans="1:6" x14ac:dyDescent="0.25">
      <c r="A1029" t="s">
        <v>878</v>
      </c>
      <c r="B1029" t="s">
        <v>888</v>
      </c>
      <c r="C1029" s="52">
        <v>44689</v>
      </c>
      <c r="D1029" s="20">
        <v>0.39942129629629602</v>
      </c>
      <c r="E1029" t="s">
        <v>729</v>
      </c>
      <c r="F1029" t="s">
        <v>754</v>
      </c>
    </row>
    <row r="1030" spans="1:6" x14ac:dyDescent="0.25">
      <c r="A1030" t="s">
        <v>876</v>
      </c>
      <c r="B1030" t="s">
        <v>27</v>
      </c>
      <c r="C1030" s="52">
        <v>44689</v>
      </c>
      <c r="D1030" s="20" t="s">
        <v>2614</v>
      </c>
      <c r="E1030" t="s">
        <v>877</v>
      </c>
      <c r="F1030" t="s">
        <v>754</v>
      </c>
    </row>
    <row r="1031" spans="1:6" x14ac:dyDescent="0.25">
      <c r="A1031" t="s">
        <v>878</v>
      </c>
      <c r="B1031" t="s">
        <v>888</v>
      </c>
      <c r="C1031" s="52">
        <v>44689</v>
      </c>
      <c r="D1031" s="20">
        <v>0.40603009259259298</v>
      </c>
      <c r="E1031" t="s">
        <v>729</v>
      </c>
      <c r="F1031" t="s">
        <v>754</v>
      </c>
    </row>
    <row r="1032" spans="1:6" x14ac:dyDescent="0.25">
      <c r="A1032" t="s">
        <v>876</v>
      </c>
      <c r="B1032" t="s">
        <v>27</v>
      </c>
      <c r="C1032" s="52">
        <v>44689</v>
      </c>
      <c r="D1032" s="20" t="s">
        <v>2615</v>
      </c>
      <c r="E1032" t="s">
        <v>877</v>
      </c>
      <c r="F1032" t="s">
        <v>754</v>
      </c>
    </row>
    <row r="1033" spans="1:6" x14ac:dyDescent="0.25">
      <c r="A1033" t="s">
        <v>878</v>
      </c>
      <c r="B1033" t="s">
        <v>888</v>
      </c>
      <c r="C1033" s="52">
        <v>44689</v>
      </c>
      <c r="D1033" s="20">
        <v>0.41587962962962999</v>
      </c>
      <c r="E1033" t="s">
        <v>729</v>
      </c>
      <c r="F1033" t="s">
        <v>754</v>
      </c>
    </row>
    <row r="1034" spans="1:6" x14ac:dyDescent="0.25">
      <c r="A1034" t="s">
        <v>876</v>
      </c>
      <c r="B1034" t="s">
        <v>27</v>
      </c>
      <c r="C1034" s="52">
        <v>44689</v>
      </c>
      <c r="D1034" s="20" t="s">
        <v>2616</v>
      </c>
      <c r="E1034" t="s">
        <v>877</v>
      </c>
      <c r="F1034" t="s">
        <v>754</v>
      </c>
    </row>
    <row r="1035" spans="1:6" x14ac:dyDescent="0.25">
      <c r="A1035" t="s">
        <v>878</v>
      </c>
      <c r="B1035" t="s">
        <v>888</v>
      </c>
      <c r="C1035" s="52">
        <v>44689</v>
      </c>
      <c r="D1035" s="20">
        <v>0.420185185185185</v>
      </c>
      <c r="E1035" t="s">
        <v>729</v>
      </c>
      <c r="F1035" t="s">
        <v>754</v>
      </c>
    </row>
    <row r="1036" spans="1:6" x14ac:dyDescent="0.25">
      <c r="A1036" t="s">
        <v>876</v>
      </c>
      <c r="B1036" t="s">
        <v>27</v>
      </c>
      <c r="C1036" s="52">
        <v>44689</v>
      </c>
      <c r="D1036" s="20" t="s">
        <v>2617</v>
      </c>
      <c r="E1036" t="s">
        <v>877</v>
      </c>
      <c r="F1036" t="s">
        <v>754</v>
      </c>
    </row>
    <row r="1037" spans="1:6" x14ac:dyDescent="0.25">
      <c r="A1037" t="s">
        <v>878</v>
      </c>
      <c r="B1037" t="s">
        <v>888</v>
      </c>
      <c r="C1037" s="52">
        <v>44689</v>
      </c>
      <c r="D1037" s="20">
        <v>0.450543981481482</v>
      </c>
      <c r="E1037" t="s">
        <v>729</v>
      </c>
      <c r="F1037" t="s">
        <v>754</v>
      </c>
    </row>
    <row r="1038" spans="1:6" x14ac:dyDescent="0.25">
      <c r="A1038" t="s">
        <v>876</v>
      </c>
      <c r="B1038" t="s">
        <v>27</v>
      </c>
      <c r="C1038" s="52">
        <v>44689</v>
      </c>
      <c r="D1038" s="20" t="s">
        <v>2618</v>
      </c>
      <c r="E1038" t="s">
        <v>877</v>
      </c>
      <c r="F1038" t="s">
        <v>754</v>
      </c>
    </row>
    <row r="1039" spans="1:6" x14ac:dyDescent="0.25">
      <c r="A1039" t="s">
        <v>878</v>
      </c>
      <c r="B1039" t="s">
        <v>888</v>
      </c>
      <c r="C1039" s="52">
        <v>44689</v>
      </c>
      <c r="D1039" s="20">
        <v>0.45461805555555601</v>
      </c>
      <c r="E1039" t="s">
        <v>729</v>
      </c>
      <c r="F1039" t="s">
        <v>754</v>
      </c>
    </row>
    <row r="1040" spans="1:6" x14ac:dyDescent="0.25">
      <c r="A1040" t="s">
        <v>876</v>
      </c>
      <c r="B1040" t="s">
        <v>27</v>
      </c>
      <c r="C1040" s="52">
        <v>44689</v>
      </c>
      <c r="D1040" s="20" t="s">
        <v>2619</v>
      </c>
      <c r="E1040" t="s">
        <v>877</v>
      </c>
      <c r="F1040" t="s">
        <v>754</v>
      </c>
    </row>
    <row r="1041" spans="1:6" x14ac:dyDescent="0.25">
      <c r="A1041" t="s">
        <v>878</v>
      </c>
      <c r="B1041" t="s">
        <v>888</v>
      </c>
      <c r="C1041" s="52">
        <v>44689</v>
      </c>
      <c r="D1041" s="20">
        <v>0.46437499999999998</v>
      </c>
      <c r="E1041" t="s">
        <v>729</v>
      </c>
      <c r="F1041" t="s">
        <v>754</v>
      </c>
    </row>
    <row r="1042" spans="1:6" x14ac:dyDescent="0.25">
      <c r="A1042" t="s">
        <v>876</v>
      </c>
      <c r="B1042" t="s">
        <v>27</v>
      </c>
      <c r="C1042" s="52">
        <v>44689</v>
      </c>
      <c r="D1042" s="20" t="s">
        <v>2620</v>
      </c>
      <c r="E1042" t="s">
        <v>877</v>
      </c>
      <c r="F1042" t="s">
        <v>754</v>
      </c>
    </row>
    <row r="1043" spans="1:6" x14ac:dyDescent="0.25">
      <c r="A1043" t="s">
        <v>878</v>
      </c>
      <c r="B1043" t="s">
        <v>888</v>
      </c>
      <c r="C1043" s="52">
        <v>44689</v>
      </c>
      <c r="D1043" s="20">
        <v>0.48908564814814798</v>
      </c>
      <c r="E1043" t="s">
        <v>729</v>
      </c>
      <c r="F1043" t="s">
        <v>754</v>
      </c>
    </row>
    <row r="1044" spans="1:6" x14ac:dyDescent="0.25">
      <c r="A1044" t="s">
        <v>876</v>
      </c>
      <c r="B1044" t="s">
        <v>27</v>
      </c>
      <c r="C1044" s="52">
        <v>44689</v>
      </c>
      <c r="D1044" s="20" t="s">
        <v>2621</v>
      </c>
      <c r="E1044" t="s">
        <v>877</v>
      </c>
      <c r="F1044" t="s">
        <v>754</v>
      </c>
    </row>
    <row r="1045" spans="1:6" x14ac:dyDescent="0.25">
      <c r="A1045" t="s">
        <v>878</v>
      </c>
      <c r="B1045" t="s">
        <v>888</v>
      </c>
      <c r="C1045" s="52">
        <v>44689</v>
      </c>
      <c r="D1045" s="20">
        <v>0.54410879629629605</v>
      </c>
      <c r="E1045" t="s">
        <v>729</v>
      </c>
      <c r="F1045" t="s">
        <v>754</v>
      </c>
    </row>
    <row r="1046" spans="1:6" x14ac:dyDescent="0.25">
      <c r="A1046" t="s">
        <v>876</v>
      </c>
      <c r="B1046" t="s">
        <v>27</v>
      </c>
      <c r="C1046" s="52">
        <v>44689</v>
      </c>
      <c r="D1046" s="20" t="s">
        <v>1299</v>
      </c>
      <c r="E1046" t="s">
        <v>877</v>
      </c>
      <c r="F1046" t="s">
        <v>754</v>
      </c>
    </row>
    <row r="1047" spans="1:6" x14ac:dyDescent="0.25">
      <c r="A1047" t="s">
        <v>878</v>
      </c>
      <c r="B1047" t="s">
        <v>888</v>
      </c>
      <c r="C1047" s="52">
        <v>44689</v>
      </c>
      <c r="D1047" s="20">
        <v>0.58407407407407397</v>
      </c>
      <c r="E1047" t="s">
        <v>729</v>
      </c>
      <c r="F1047" t="s">
        <v>754</v>
      </c>
    </row>
    <row r="1048" spans="1:6" x14ac:dyDescent="0.25">
      <c r="A1048" t="s">
        <v>876</v>
      </c>
      <c r="B1048" t="s">
        <v>27</v>
      </c>
      <c r="C1048" s="52">
        <v>44689</v>
      </c>
      <c r="D1048" s="20" t="s">
        <v>2622</v>
      </c>
      <c r="E1048" t="s">
        <v>877</v>
      </c>
      <c r="F1048" t="s">
        <v>754</v>
      </c>
    </row>
    <row r="1049" spans="1:6" x14ac:dyDescent="0.25">
      <c r="A1049" t="s">
        <v>878</v>
      </c>
      <c r="B1049" t="s">
        <v>888</v>
      </c>
      <c r="C1049" s="52">
        <v>44689</v>
      </c>
      <c r="D1049" s="20">
        <v>0.77567129629629605</v>
      </c>
      <c r="E1049" t="s">
        <v>728</v>
      </c>
      <c r="F1049" t="s">
        <v>754</v>
      </c>
    </row>
    <row r="1050" spans="1:6" x14ac:dyDescent="0.25">
      <c r="A1050" t="s">
        <v>876</v>
      </c>
      <c r="B1050" t="s">
        <v>27</v>
      </c>
      <c r="C1050" s="52">
        <v>44689</v>
      </c>
      <c r="D1050" s="20" t="s">
        <v>2623</v>
      </c>
      <c r="E1050" t="s">
        <v>877</v>
      </c>
      <c r="F1050" t="s">
        <v>754</v>
      </c>
    </row>
    <row r="1051" spans="1:6" x14ac:dyDescent="0.25">
      <c r="A1051" t="s">
        <v>878</v>
      </c>
      <c r="B1051" t="s">
        <v>888</v>
      </c>
      <c r="C1051" s="52">
        <v>44689</v>
      </c>
      <c r="D1051" s="20">
        <v>0.77776620370370397</v>
      </c>
      <c r="E1051" t="s">
        <v>728</v>
      </c>
      <c r="F1051" t="s">
        <v>754</v>
      </c>
    </row>
    <row r="1052" spans="1:6" x14ac:dyDescent="0.25">
      <c r="A1052" t="s">
        <v>876</v>
      </c>
      <c r="B1052" t="s">
        <v>27</v>
      </c>
      <c r="C1052" s="52">
        <v>44689</v>
      </c>
      <c r="D1052" s="20" t="s">
        <v>2624</v>
      </c>
      <c r="E1052" t="s">
        <v>877</v>
      </c>
      <c r="F1052" t="s">
        <v>754</v>
      </c>
    </row>
    <row r="1053" spans="1:6" x14ac:dyDescent="0.25">
      <c r="A1053" t="s">
        <v>878</v>
      </c>
      <c r="B1053" t="s">
        <v>888</v>
      </c>
      <c r="C1053" s="52">
        <v>44689</v>
      </c>
      <c r="D1053" s="20">
        <v>0.78387731481481504</v>
      </c>
      <c r="E1053" t="s">
        <v>728</v>
      </c>
      <c r="F1053" t="s">
        <v>754</v>
      </c>
    </row>
    <row r="1054" spans="1:6" x14ac:dyDescent="0.25">
      <c r="A1054" t="s">
        <v>876</v>
      </c>
      <c r="B1054" t="s">
        <v>27</v>
      </c>
      <c r="C1054" s="52">
        <v>44720</v>
      </c>
      <c r="D1054" s="20" t="s">
        <v>2625</v>
      </c>
      <c r="E1054" t="s">
        <v>877</v>
      </c>
      <c r="F1054" t="s">
        <v>754</v>
      </c>
    </row>
    <row r="1055" spans="1:6" x14ac:dyDescent="0.25">
      <c r="A1055" t="s">
        <v>878</v>
      </c>
      <c r="B1055" t="s">
        <v>888</v>
      </c>
      <c r="C1055" s="52">
        <v>44720</v>
      </c>
      <c r="D1055" s="20">
        <v>0.52428240740740695</v>
      </c>
      <c r="E1055" t="s">
        <v>728</v>
      </c>
      <c r="F1055" t="s">
        <v>754</v>
      </c>
    </row>
    <row r="1056" spans="1:6" x14ac:dyDescent="0.25">
      <c r="A1056" t="s">
        <v>876</v>
      </c>
      <c r="B1056" t="s">
        <v>28</v>
      </c>
      <c r="C1056" s="52">
        <v>44569</v>
      </c>
      <c r="D1056" s="20" t="s">
        <v>1512</v>
      </c>
      <c r="E1056" t="s">
        <v>877</v>
      </c>
      <c r="F1056" t="s">
        <v>754</v>
      </c>
    </row>
    <row r="1057" spans="1:6" x14ac:dyDescent="0.25">
      <c r="A1057" t="s">
        <v>878</v>
      </c>
      <c r="B1057" t="s">
        <v>889</v>
      </c>
      <c r="C1057" s="52">
        <v>44569</v>
      </c>
      <c r="D1057" s="20">
        <v>0.62113425925925903</v>
      </c>
      <c r="E1057" t="s">
        <v>730</v>
      </c>
      <c r="F1057" t="s">
        <v>754</v>
      </c>
    </row>
    <row r="1058" spans="1:6" x14ac:dyDescent="0.25">
      <c r="A1058" t="s">
        <v>876</v>
      </c>
      <c r="B1058" t="s">
        <v>28</v>
      </c>
      <c r="C1058" s="52">
        <v>44569</v>
      </c>
      <c r="D1058" s="20" t="s">
        <v>1513</v>
      </c>
      <c r="E1058" t="s">
        <v>877</v>
      </c>
      <c r="F1058" t="s">
        <v>754</v>
      </c>
    </row>
    <row r="1059" spans="1:6" x14ac:dyDescent="0.25">
      <c r="A1059" t="s">
        <v>878</v>
      </c>
      <c r="B1059" t="s">
        <v>889</v>
      </c>
      <c r="C1059" s="52">
        <v>44569</v>
      </c>
      <c r="D1059" s="20">
        <v>0.67186342592592596</v>
      </c>
      <c r="E1059" t="s">
        <v>730</v>
      </c>
      <c r="F1059" t="s">
        <v>754</v>
      </c>
    </row>
    <row r="1060" spans="1:6" x14ac:dyDescent="0.25">
      <c r="A1060" t="s">
        <v>876</v>
      </c>
      <c r="B1060" t="s">
        <v>28</v>
      </c>
      <c r="C1060" s="52">
        <v>44569</v>
      </c>
      <c r="D1060" s="20" t="s">
        <v>1514</v>
      </c>
      <c r="E1060" t="s">
        <v>877</v>
      </c>
      <c r="F1060" t="s">
        <v>754</v>
      </c>
    </row>
    <row r="1061" spans="1:6" x14ac:dyDescent="0.25">
      <c r="A1061" t="s">
        <v>878</v>
      </c>
      <c r="B1061" t="s">
        <v>889</v>
      </c>
      <c r="C1061" s="52">
        <v>44569</v>
      </c>
      <c r="D1061" s="20">
        <v>0.88218750000000001</v>
      </c>
      <c r="E1061" t="s">
        <v>904</v>
      </c>
      <c r="F1061" t="s">
        <v>754</v>
      </c>
    </row>
    <row r="1062" spans="1:6" x14ac:dyDescent="0.25">
      <c r="A1062" t="s">
        <v>876</v>
      </c>
      <c r="B1062" t="s">
        <v>28</v>
      </c>
      <c r="C1062" s="52">
        <v>44600</v>
      </c>
      <c r="D1062" s="20" t="s">
        <v>869</v>
      </c>
      <c r="E1062" t="s">
        <v>877</v>
      </c>
      <c r="F1062" t="s">
        <v>754</v>
      </c>
    </row>
    <row r="1063" spans="1:6" x14ac:dyDescent="0.25">
      <c r="A1063" t="s">
        <v>878</v>
      </c>
      <c r="B1063" t="s">
        <v>889</v>
      </c>
      <c r="C1063" s="52">
        <v>44600</v>
      </c>
      <c r="D1063" s="20">
        <v>0.45319444444444401</v>
      </c>
      <c r="E1063" t="s">
        <v>730</v>
      </c>
      <c r="F1063" t="s">
        <v>754</v>
      </c>
    </row>
    <row r="1064" spans="1:6" x14ac:dyDescent="0.25">
      <c r="A1064" t="s">
        <v>876</v>
      </c>
      <c r="B1064" t="s">
        <v>28</v>
      </c>
      <c r="C1064" s="52">
        <v>44600</v>
      </c>
      <c r="D1064" s="20" t="s">
        <v>870</v>
      </c>
      <c r="E1064" t="s">
        <v>877</v>
      </c>
      <c r="F1064" t="s">
        <v>754</v>
      </c>
    </row>
    <row r="1065" spans="1:6" x14ac:dyDescent="0.25">
      <c r="A1065" t="s">
        <v>878</v>
      </c>
      <c r="B1065" t="s">
        <v>889</v>
      </c>
      <c r="C1065" s="52">
        <v>44600</v>
      </c>
      <c r="D1065" s="20">
        <v>0.45464120370370398</v>
      </c>
      <c r="E1065" t="s">
        <v>730</v>
      </c>
      <c r="F1065" t="s">
        <v>754</v>
      </c>
    </row>
    <row r="1066" spans="1:6" x14ac:dyDescent="0.25">
      <c r="A1066" t="s">
        <v>876</v>
      </c>
      <c r="B1066" t="s">
        <v>28</v>
      </c>
      <c r="C1066" s="52">
        <v>44628</v>
      </c>
      <c r="D1066" s="20" t="s">
        <v>1323</v>
      </c>
      <c r="E1066" t="s">
        <v>877</v>
      </c>
      <c r="F1066" t="s">
        <v>754</v>
      </c>
    </row>
    <row r="1067" spans="1:6" x14ac:dyDescent="0.25">
      <c r="A1067" t="s">
        <v>878</v>
      </c>
      <c r="B1067" t="s">
        <v>889</v>
      </c>
      <c r="C1067" s="52">
        <v>44628</v>
      </c>
      <c r="D1067" s="20">
        <v>0.62364583333333301</v>
      </c>
      <c r="E1067" t="s">
        <v>904</v>
      </c>
      <c r="F1067" t="s">
        <v>754</v>
      </c>
    </row>
    <row r="1068" spans="1:6" x14ac:dyDescent="0.25">
      <c r="A1068" t="s">
        <v>876</v>
      </c>
      <c r="B1068" t="s">
        <v>28</v>
      </c>
      <c r="C1068" s="52">
        <v>44628</v>
      </c>
      <c r="D1068" s="20" t="s">
        <v>1324</v>
      </c>
      <c r="E1068" t="s">
        <v>877</v>
      </c>
      <c r="F1068" t="s">
        <v>754</v>
      </c>
    </row>
    <row r="1069" spans="1:6" x14ac:dyDescent="0.25">
      <c r="A1069" t="s">
        <v>878</v>
      </c>
      <c r="B1069" t="s">
        <v>889</v>
      </c>
      <c r="C1069" s="52">
        <v>44628</v>
      </c>
      <c r="D1069" s="20">
        <v>0.81042824074074105</v>
      </c>
      <c r="E1069" t="s">
        <v>722</v>
      </c>
      <c r="F1069" t="s">
        <v>754</v>
      </c>
    </row>
    <row r="1070" spans="1:6" x14ac:dyDescent="0.25">
      <c r="A1070" t="s">
        <v>876</v>
      </c>
      <c r="B1070" t="s">
        <v>28</v>
      </c>
      <c r="C1070" s="52">
        <v>44628</v>
      </c>
      <c r="D1070" s="20" t="s">
        <v>1325</v>
      </c>
      <c r="E1070" t="s">
        <v>877</v>
      </c>
      <c r="F1070" t="s">
        <v>754</v>
      </c>
    </row>
    <row r="1071" spans="1:6" x14ac:dyDescent="0.25">
      <c r="A1071" t="s">
        <v>878</v>
      </c>
      <c r="B1071" t="s">
        <v>889</v>
      </c>
      <c r="C1071" s="52">
        <v>44628</v>
      </c>
      <c r="D1071" s="20">
        <v>0.88347222222222199</v>
      </c>
      <c r="E1071" t="s">
        <v>722</v>
      </c>
      <c r="F1071" t="s">
        <v>754</v>
      </c>
    </row>
    <row r="1072" spans="1:6" x14ac:dyDescent="0.25">
      <c r="A1072" t="s">
        <v>876</v>
      </c>
      <c r="B1072" t="s">
        <v>28</v>
      </c>
      <c r="C1072" s="52">
        <v>44659</v>
      </c>
      <c r="D1072" s="20" t="s">
        <v>1005</v>
      </c>
      <c r="E1072" t="s">
        <v>877</v>
      </c>
      <c r="F1072" t="s">
        <v>754</v>
      </c>
    </row>
    <row r="1073" spans="1:6" x14ac:dyDescent="0.25">
      <c r="A1073" t="s">
        <v>878</v>
      </c>
      <c r="B1073" t="s">
        <v>889</v>
      </c>
      <c r="C1073" s="52">
        <v>44659</v>
      </c>
      <c r="D1073" s="20">
        <v>0.79357638888888904</v>
      </c>
      <c r="E1073" t="s">
        <v>904</v>
      </c>
      <c r="F1073" t="s">
        <v>754</v>
      </c>
    </row>
    <row r="1074" spans="1:6" x14ac:dyDescent="0.25">
      <c r="A1074" t="s">
        <v>876</v>
      </c>
      <c r="B1074" t="s">
        <v>28</v>
      </c>
      <c r="C1074" s="52">
        <v>44689</v>
      </c>
      <c r="D1074" s="20" t="s">
        <v>2626</v>
      </c>
      <c r="E1074" t="s">
        <v>877</v>
      </c>
      <c r="F1074" t="s">
        <v>754</v>
      </c>
    </row>
    <row r="1075" spans="1:6" x14ac:dyDescent="0.25">
      <c r="A1075" t="s">
        <v>878</v>
      </c>
      <c r="B1075" t="s">
        <v>889</v>
      </c>
      <c r="C1075" s="52">
        <v>44689</v>
      </c>
      <c r="D1075" s="20">
        <v>0.29134259259259299</v>
      </c>
      <c r="E1075" t="s">
        <v>730</v>
      </c>
      <c r="F1075" t="s">
        <v>754</v>
      </c>
    </row>
    <row r="1076" spans="1:6" x14ac:dyDescent="0.25">
      <c r="A1076" t="s">
        <v>876</v>
      </c>
      <c r="B1076" t="s">
        <v>28</v>
      </c>
      <c r="C1076" s="52">
        <v>44689</v>
      </c>
      <c r="D1076" s="20" t="s">
        <v>2627</v>
      </c>
      <c r="E1076" t="s">
        <v>877</v>
      </c>
      <c r="F1076" t="s">
        <v>754</v>
      </c>
    </row>
    <row r="1077" spans="1:6" x14ac:dyDescent="0.25">
      <c r="A1077" t="s">
        <v>878</v>
      </c>
      <c r="B1077" t="s">
        <v>889</v>
      </c>
      <c r="C1077" s="52">
        <v>44689</v>
      </c>
      <c r="D1077" s="20">
        <v>0.32395833333333302</v>
      </c>
      <c r="E1077" t="s">
        <v>730</v>
      </c>
      <c r="F1077" t="s">
        <v>754</v>
      </c>
    </row>
    <row r="1078" spans="1:6" x14ac:dyDescent="0.25">
      <c r="A1078" t="s">
        <v>876</v>
      </c>
      <c r="B1078" t="s">
        <v>28</v>
      </c>
      <c r="C1078" s="52">
        <v>44689</v>
      </c>
      <c r="D1078" s="20" t="s">
        <v>2628</v>
      </c>
      <c r="E1078" t="s">
        <v>877</v>
      </c>
      <c r="F1078" t="s">
        <v>754</v>
      </c>
    </row>
    <row r="1079" spans="1:6" x14ac:dyDescent="0.25">
      <c r="A1079" t="s">
        <v>878</v>
      </c>
      <c r="B1079" t="s">
        <v>889</v>
      </c>
      <c r="C1079" s="52">
        <v>44689</v>
      </c>
      <c r="D1079" s="20">
        <v>0.34086805555555599</v>
      </c>
      <c r="E1079" t="s">
        <v>730</v>
      </c>
      <c r="F1079" t="s">
        <v>754</v>
      </c>
    </row>
    <row r="1080" spans="1:6" x14ac:dyDescent="0.25">
      <c r="A1080" t="s">
        <v>876</v>
      </c>
      <c r="B1080" t="s">
        <v>28</v>
      </c>
      <c r="C1080" s="52">
        <v>44689</v>
      </c>
      <c r="D1080" s="20" t="s">
        <v>2629</v>
      </c>
      <c r="E1080" t="s">
        <v>877</v>
      </c>
      <c r="F1080" t="s">
        <v>754</v>
      </c>
    </row>
    <row r="1081" spans="1:6" x14ac:dyDescent="0.25">
      <c r="A1081" t="s">
        <v>878</v>
      </c>
      <c r="B1081" t="s">
        <v>889</v>
      </c>
      <c r="C1081" s="52">
        <v>44689</v>
      </c>
      <c r="D1081" s="20">
        <v>0.34795138888888899</v>
      </c>
      <c r="E1081" t="s">
        <v>730</v>
      </c>
      <c r="F1081" t="s">
        <v>754</v>
      </c>
    </row>
    <row r="1082" spans="1:6" x14ac:dyDescent="0.25">
      <c r="A1082" t="s">
        <v>876</v>
      </c>
      <c r="B1082" t="s">
        <v>28</v>
      </c>
      <c r="C1082" s="52">
        <v>44689</v>
      </c>
      <c r="D1082" s="20" t="s">
        <v>2630</v>
      </c>
      <c r="E1082" t="s">
        <v>877</v>
      </c>
      <c r="F1082" t="s">
        <v>754</v>
      </c>
    </row>
    <row r="1083" spans="1:6" x14ac:dyDescent="0.25">
      <c r="A1083" t="s">
        <v>878</v>
      </c>
      <c r="B1083" t="s">
        <v>889</v>
      </c>
      <c r="C1083" s="52">
        <v>44689</v>
      </c>
      <c r="D1083" s="20">
        <v>0.36777777777777798</v>
      </c>
      <c r="E1083" t="s">
        <v>730</v>
      </c>
      <c r="F1083" t="s">
        <v>754</v>
      </c>
    </row>
    <row r="1084" spans="1:6" x14ac:dyDescent="0.25">
      <c r="A1084" t="s">
        <v>876</v>
      </c>
      <c r="B1084" t="s">
        <v>28</v>
      </c>
      <c r="C1084" s="52">
        <v>44689</v>
      </c>
      <c r="D1084" s="20" t="s">
        <v>2631</v>
      </c>
      <c r="E1084" t="s">
        <v>877</v>
      </c>
      <c r="F1084" t="s">
        <v>754</v>
      </c>
    </row>
    <row r="1085" spans="1:6" x14ac:dyDescent="0.25">
      <c r="A1085" t="s">
        <v>878</v>
      </c>
      <c r="B1085" t="s">
        <v>889</v>
      </c>
      <c r="C1085" s="52">
        <v>44689</v>
      </c>
      <c r="D1085" s="20">
        <v>0.38700231481481501</v>
      </c>
      <c r="E1085" t="s">
        <v>730</v>
      </c>
      <c r="F1085" t="s">
        <v>754</v>
      </c>
    </row>
    <row r="1086" spans="1:6" x14ac:dyDescent="0.25">
      <c r="A1086" t="s">
        <v>876</v>
      </c>
      <c r="B1086" t="s">
        <v>28</v>
      </c>
      <c r="C1086" s="52">
        <v>44689</v>
      </c>
      <c r="D1086" s="20" t="s">
        <v>2632</v>
      </c>
      <c r="E1086" t="s">
        <v>877</v>
      </c>
      <c r="F1086" t="s">
        <v>754</v>
      </c>
    </row>
    <row r="1087" spans="1:6" x14ac:dyDescent="0.25">
      <c r="A1087" t="s">
        <v>878</v>
      </c>
      <c r="B1087" t="s">
        <v>889</v>
      </c>
      <c r="C1087" s="52">
        <v>44689</v>
      </c>
      <c r="D1087" s="20">
        <v>0.391006944444444</v>
      </c>
      <c r="E1087" t="s">
        <v>730</v>
      </c>
      <c r="F1087" t="s">
        <v>754</v>
      </c>
    </row>
    <row r="1088" spans="1:6" x14ac:dyDescent="0.25">
      <c r="A1088" t="s">
        <v>876</v>
      </c>
      <c r="B1088" t="s">
        <v>28</v>
      </c>
      <c r="C1088" s="52">
        <v>44689</v>
      </c>
      <c r="D1088" s="20" t="s">
        <v>2633</v>
      </c>
      <c r="E1088" t="s">
        <v>877</v>
      </c>
      <c r="F1088" t="s">
        <v>754</v>
      </c>
    </row>
    <row r="1089" spans="1:6" x14ac:dyDescent="0.25">
      <c r="A1089" t="s">
        <v>878</v>
      </c>
      <c r="B1089" t="s">
        <v>889</v>
      </c>
      <c r="C1089" s="52">
        <v>44689</v>
      </c>
      <c r="D1089" s="20">
        <v>0.40149305555555598</v>
      </c>
      <c r="E1089" t="s">
        <v>730</v>
      </c>
      <c r="F1089" t="s">
        <v>754</v>
      </c>
    </row>
    <row r="1090" spans="1:6" x14ac:dyDescent="0.25">
      <c r="A1090" t="s">
        <v>876</v>
      </c>
      <c r="B1090" t="s">
        <v>28</v>
      </c>
      <c r="C1090" s="52">
        <v>44689</v>
      </c>
      <c r="D1090" s="20" t="s">
        <v>2634</v>
      </c>
      <c r="E1090" t="s">
        <v>877</v>
      </c>
      <c r="F1090" t="s">
        <v>754</v>
      </c>
    </row>
    <row r="1091" spans="1:6" x14ac:dyDescent="0.25">
      <c r="A1091" t="s">
        <v>878</v>
      </c>
      <c r="B1091" t="s">
        <v>889</v>
      </c>
      <c r="C1091" s="52">
        <v>44689</v>
      </c>
      <c r="D1091" s="20">
        <v>0.40711805555555602</v>
      </c>
      <c r="E1091" t="s">
        <v>730</v>
      </c>
      <c r="F1091" t="s">
        <v>754</v>
      </c>
    </row>
    <row r="1092" spans="1:6" x14ac:dyDescent="0.25">
      <c r="A1092" t="s">
        <v>876</v>
      </c>
      <c r="B1092" t="s">
        <v>28</v>
      </c>
      <c r="C1092" s="52">
        <v>44689</v>
      </c>
      <c r="D1092" s="20" t="s">
        <v>2635</v>
      </c>
      <c r="E1092" t="s">
        <v>877</v>
      </c>
      <c r="F1092" t="s">
        <v>754</v>
      </c>
    </row>
    <row r="1093" spans="1:6" x14ac:dyDescent="0.25">
      <c r="A1093" t="s">
        <v>878</v>
      </c>
      <c r="B1093" t="s">
        <v>889</v>
      </c>
      <c r="C1093" s="52">
        <v>44689</v>
      </c>
      <c r="D1093" s="20">
        <v>0.40905092592592601</v>
      </c>
      <c r="E1093" t="s">
        <v>730</v>
      </c>
      <c r="F1093" t="s">
        <v>754</v>
      </c>
    </row>
    <row r="1094" spans="1:6" x14ac:dyDescent="0.25">
      <c r="A1094" t="s">
        <v>876</v>
      </c>
      <c r="B1094" t="s">
        <v>28</v>
      </c>
      <c r="C1094" s="52">
        <v>44689</v>
      </c>
      <c r="D1094" s="20" t="s">
        <v>2636</v>
      </c>
      <c r="E1094" t="s">
        <v>877</v>
      </c>
      <c r="F1094" t="s">
        <v>754</v>
      </c>
    </row>
    <row r="1095" spans="1:6" x14ac:dyDescent="0.25">
      <c r="A1095" t="s">
        <v>878</v>
      </c>
      <c r="B1095" t="s">
        <v>889</v>
      </c>
      <c r="C1095" s="52">
        <v>44689</v>
      </c>
      <c r="D1095" s="20">
        <v>0.41062500000000002</v>
      </c>
      <c r="E1095" t="s">
        <v>730</v>
      </c>
      <c r="F1095" t="s">
        <v>754</v>
      </c>
    </row>
    <row r="1096" spans="1:6" x14ac:dyDescent="0.25">
      <c r="A1096" t="s">
        <v>876</v>
      </c>
      <c r="B1096" t="s">
        <v>28</v>
      </c>
      <c r="C1096" s="52">
        <v>44689</v>
      </c>
      <c r="D1096" s="20" t="s">
        <v>2637</v>
      </c>
      <c r="E1096" t="s">
        <v>877</v>
      </c>
      <c r="F1096" t="s">
        <v>754</v>
      </c>
    </row>
    <row r="1097" spans="1:6" x14ac:dyDescent="0.25">
      <c r="A1097" t="s">
        <v>878</v>
      </c>
      <c r="B1097" t="s">
        <v>889</v>
      </c>
      <c r="C1097" s="52">
        <v>44689</v>
      </c>
      <c r="D1097" s="20">
        <v>0.41268518518518499</v>
      </c>
      <c r="E1097" t="s">
        <v>730</v>
      </c>
      <c r="F1097" t="s">
        <v>754</v>
      </c>
    </row>
    <row r="1098" spans="1:6" x14ac:dyDescent="0.25">
      <c r="A1098" t="s">
        <v>876</v>
      </c>
      <c r="B1098" t="s">
        <v>28</v>
      </c>
      <c r="C1098" s="52">
        <v>44689</v>
      </c>
      <c r="D1098" s="20" t="s">
        <v>2638</v>
      </c>
      <c r="E1098" t="s">
        <v>877</v>
      </c>
      <c r="F1098" t="s">
        <v>754</v>
      </c>
    </row>
    <row r="1099" spans="1:6" x14ac:dyDescent="0.25">
      <c r="A1099" t="s">
        <v>878</v>
      </c>
      <c r="B1099" t="s">
        <v>889</v>
      </c>
      <c r="C1099" s="52">
        <v>44689</v>
      </c>
      <c r="D1099" s="20">
        <v>0.41549768518518498</v>
      </c>
      <c r="E1099" t="s">
        <v>730</v>
      </c>
      <c r="F1099" t="s">
        <v>754</v>
      </c>
    </row>
    <row r="1100" spans="1:6" x14ac:dyDescent="0.25">
      <c r="A1100" t="s">
        <v>876</v>
      </c>
      <c r="B1100" t="s">
        <v>28</v>
      </c>
      <c r="C1100" s="52">
        <v>44689</v>
      </c>
      <c r="D1100" s="20" t="s">
        <v>2639</v>
      </c>
      <c r="E1100" t="s">
        <v>877</v>
      </c>
      <c r="F1100" t="s">
        <v>754</v>
      </c>
    </row>
    <row r="1101" spans="1:6" x14ac:dyDescent="0.25">
      <c r="A1101" t="s">
        <v>878</v>
      </c>
      <c r="B1101" t="s">
        <v>889</v>
      </c>
      <c r="C1101" s="52">
        <v>44689</v>
      </c>
      <c r="D1101" s="20">
        <v>0.41719907407407397</v>
      </c>
      <c r="E1101" t="s">
        <v>730</v>
      </c>
      <c r="F1101" t="s">
        <v>754</v>
      </c>
    </row>
    <row r="1102" spans="1:6" x14ac:dyDescent="0.25">
      <c r="A1102" t="s">
        <v>876</v>
      </c>
      <c r="B1102" t="s">
        <v>28</v>
      </c>
      <c r="C1102" s="52">
        <v>44689</v>
      </c>
      <c r="D1102" s="20" t="s">
        <v>2640</v>
      </c>
      <c r="E1102" t="s">
        <v>877</v>
      </c>
      <c r="F1102" t="s">
        <v>754</v>
      </c>
    </row>
    <row r="1103" spans="1:6" x14ac:dyDescent="0.25">
      <c r="A1103" t="s">
        <v>878</v>
      </c>
      <c r="B1103" t="s">
        <v>889</v>
      </c>
      <c r="C1103" s="52">
        <v>44689</v>
      </c>
      <c r="D1103" s="20">
        <v>0.42247685185185202</v>
      </c>
      <c r="E1103" t="s">
        <v>730</v>
      </c>
      <c r="F1103" t="s">
        <v>754</v>
      </c>
    </row>
    <row r="1104" spans="1:6" x14ac:dyDescent="0.25">
      <c r="A1104" t="s">
        <v>876</v>
      </c>
      <c r="B1104" t="s">
        <v>28</v>
      </c>
      <c r="C1104" s="52">
        <v>44689</v>
      </c>
      <c r="D1104" s="20" t="s">
        <v>2641</v>
      </c>
      <c r="E1104" t="s">
        <v>877</v>
      </c>
      <c r="F1104" t="s">
        <v>754</v>
      </c>
    </row>
    <row r="1105" spans="1:6" x14ac:dyDescent="0.25">
      <c r="A1105" t="s">
        <v>878</v>
      </c>
      <c r="B1105" t="s">
        <v>889</v>
      </c>
      <c r="C1105" s="52">
        <v>44689</v>
      </c>
      <c r="D1105" s="20">
        <v>0.43335648148148098</v>
      </c>
      <c r="E1105" t="s">
        <v>730</v>
      </c>
      <c r="F1105" t="s">
        <v>754</v>
      </c>
    </row>
    <row r="1106" spans="1:6" x14ac:dyDescent="0.25">
      <c r="A1106" t="s">
        <v>876</v>
      </c>
      <c r="B1106" t="s">
        <v>28</v>
      </c>
      <c r="C1106" s="52">
        <v>44689</v>
      </c>
      <c r="D1106" s="20" t="s">
        <v>2642</v>
      </c>
      <c r="E1106" t="s">
        <v>877</v>
      </c>
      <c r="F1106" t="s">
        <v>754</v>
      </c>
    </row>
    <row r="1107" spans="1:6" x14ac:dyDescent="0.25">
      <c r="A1107" t="s">
        <v>878</v>
      </c>
      <c r="B1107" t="s">
        <v>889</v>
      </c>
      <c r="C1107" s="52">
        <v>44689</v>
      </c>
      <c r="D1107" s="20">
        <v>0.44479166666666697</v>
      </c>
      <c r="E1107" t="s">
        <v>730</v>
      </c>
      <c r="F1107" t="s">
        <v>754</v>
      </c>
    </row>
    <row r="1108" spans="1:6" x14ac:dyDescent="0.25">
      <c r="A1108" t="s">
        <v>876</v>
      </c>
      <c r="B1108" t="s">
        <v>28</v>
      </c>
      <c r="C1108" s="52">
        <v>44689</v>
      </c>
      <c r="D1108" s="20" t="s">
        <v>2643</v>
      </c>
      <c r="E1108" t="s">
        <v>877</v>
      </c>
      <c r="F1108" t="s">
        <v>754</v>
      </c>
    </row>
    <row r="1109" spans="1:6" x14ac:dyDescent="0.25">
      <c r="A1109" t="s">
        <v>878</v>
      </c>
      <c r="B1109" t="s">
        <v>889</v>
      </c>
      <c r="C1109" s="52">
        <v>44689</v>
      </c>
      <c r="D1109" s="20">
        <v>0.46182870370370399</v>
      </c>
      <c r="E1109" t="s">
        <v>730</v>
      </c>
      <c r="F1109" t="s">
        <v>754</v>
      </c>
    </row>
    <row r="1110" spans="1:6" x14ac:dyDescent="0.25">
      <c r="A1110" t="s">
        <v>876</v>
      </c>
      <c r="B1110" t="s">
        <v>28</v>
      </c>
      <c r="C1110" s="52">
        <v>44689</v>
      </c>
      <c r="D1110" s="20" t="s">
        <v>2644</v>
      </c>
      <c r="E1110" t="s">
        <v>877</v>
      </c>
      <c r="F1110" t="s">
        <v>754</v>
      </c>
    </row>
    <row r="1111" spans="1:6" x14ac:dyDescent="0.25">
      <c r="A1111" t="s">
        <v>878</v>
      </c>
      <c r="B1111" t="s">
        <v>889</v>
      </c>
      <c r="C1111" s="52">
        <v>44689</v>
      </c>
      <c r="D1111" s="20">
        <v>0.476944444444444</v>
      </c>
      <c r="E1111" t="s">
        <v>730</v>
      </c>
      <c r="F1111" t="s">
        <v>754</v>
      </c>
    </row>
    <row r="1112" spans="1:6" x14ac:dyDescent="0.25">
      <c r="A1112" t="s">
        <v>876</v>
      </c>
      <c r="B1112" t="s">
        <v>28</v>
      </c>
      <c r="C1112" s="52">
        <v>44689</v>
      </c>
      <c r="D1112" s="20" t="s">
        <v>2645</v>
      </c>
      <c r="E1112" t="s">
        <v>877</v>
      </c>
      <c r="F1112" t="s">
        <v>754</v>
      </c>
    </row>
    <row r="1113" spans="1:6" x14ac:dyDescent="0.25">
      <c r="A1113" t="s">
        <v>878</v>
      </c>
      <c r="B1113" t="s">
        <v>889</v>
      </c>
      <c r="C1113" s="52">
        <v>44689</v>
      </c>
      <c r="D1113" s="20">
        <v>0.50457175925925901</v>
      </c>
      <c r="E1113" t="s">
        <v>730</v>
      </c>
      <c r="F1113" t="s">
        <v>754</v>
      </c>
    </row>
    <row r="1114" spans="1:6" x14ac:dyDescent="0.25">
      <c r="A1114" t="s">
        <v>876</v>
      </c>
      <c r="B1114" t="s">
        <v>28</v>
      </c>
      <c r="C1114" s="52">
        <v>44689</v>
      </c>
      <c r="D1114" s="20" t="s">
        <v>2646</v>
      </c>
      <c r="E1114" t="s">
        <v>877</v>
      </c>
      <c r="F1114" t="s">
        <v>754</v>
      </c>
    </row>
    <row r="1115" spans="1:6" x14ac:dyDescent="0.25">
      <c r="A1115" t="s">
        <v>878</v>
      </c>
      <c r="B1115" t="s">
        <v>889</v>
      </c>
      <c r="C1115" s="52">
        <v>44689</v>
      </c>
      <c r="D1115" s="20">
        <v>0.51122685185185202</v>
      </c>
      <c r="E1115" t="s">
        <v>730</v>
      </c>
      <c r="F1115" t="s">
        <v>754</v>
      </c>
    </row>
    <row r="1116" spans="1:6" x14ac:dyDescent="0.25">
      <c r="A1116" t="s">
        <v>876</v>
      </c>
      <c r="B1116" t="s">
        <v>28</v>
      </c>
      <c r="C1116" s="52">
        <v>44689</v>
      </c>
      <c r="D1116" s="20" t="s">
        <v>2647</v>
      </c>
      <c r="E1116" t="s">
        <v>877</v>
      </c>
      <c r="F1116" t="s">
        <v>754</v>
      </c>
    </row>
    <row r="1117" spans="1:6" x14ac:dyDescent="0.25">
      <c r="A1117" t="s">
        <v>878</v>
      </c>
      <c r="B1117" t="s">
        <v>889</v>
      </c>
      <c r="C1117" s="52">
        <v>44689</v>
      </c>
      <c r="D1117" s="20">
        <v>0.51289351851851805</v>
      </c>
      <c r="E1117" t="s">
        <v>730</v>
      </c>
      <c r="F1117" t="s">
        <v>754</v>
      </c>
    </row>
    <row r="1118" spans="1:6" x14ac:dyDescent="0.25">
      <c r="A1118" t="s">
        <v>876</v>
      </c>
      <c r="B1118" t="s">
        <v>28</v>
      </c>
      <c r="C1118" s="52">
        <v>44689</v>
      </c>
      <c r="D1118" s="20" t="s">
        <v>2648</v>
      </c>
      <c r="E1118" t="s">
        <v>877</v>
      </c>
      <c r="F1118" t="s">
        <v>754</v>
      </c>
    </row>
    <row r="1119" spans="1:6" x14ac:dyDescent="0.25">
      <c r="A1119" t="s">
        <v>878</v>
      </c>
      <c r="B1119" t="s">
        <v>889</v>
      </c>
      <c r="C1119" s="52">
        <v>44689</v>
      </c>
      <c r="D1119" s="20">
        <v>0.51501157407407405</v>
      </c>
      <c r="E1119" t="s">
        <v>730</v>
      </c>
      <c r="F1119" t="s">
        <v>754</v>
      </c>
    </row>
    <row r="1120" spans="1:6" x14ac:dyDescent="0.25">
      <c r="A1120" t="s">
        <v>876</v>
      </c>
      <c r="B1120" t="s">
        <v>28</v>
      </c>
      <c r="C1120" s="52">
        <v>44689</v>
      </c>
      <c r="D1120" s="20" t="s">
        <v>2649</v>
      </c>
      <c r="E1120" t="s">
        <v>877</v>
      </c>
      <c r="F1120" t="s">
        <v>754</v>
      </c>
    </row>
    <row r="1121" spans="1:6" x14ac:dyDescent="0.25">
      <c r="A1121" t="s">
        <v>878</v>
      </c>
      <c r="B1121" t="s">
        <v>889</v>
      </c>
      <c r="C1121" s="52">
        <v>44689</v>
      </c>
      <c r="D1121" s="20">
        <v>0.54688657407407404</v>
      </c>
      <c r="E1121" t="s">
        <v>730</v>
      </c>
      <c r="F1121" t="s">
        <v>754</v>
      </c>
    </row>
    <row r="1122" spans="1:6" x14ac:dyDescent="0.25">
      <c r="A1122" t="s">
        <v>876</v>
      </c>
      <c r="B1122" t="s">
        <v>28</v>
      </c>
      <c r="C1122" s="52">
        <v>44689</v>
      </c>
      <c r="D1122" s="20" t="s">
        <v>2650</v>
      </c>
      <c r="E1122" t="s">
        <v>877</v>
      </c>
      <c r="F1122" t="s">
        <v>754</v>
      </c>
    </row>
    <row r="1123" spans="1:6" x14ac:dyDescent="0.25">
      <c r="A1123" t="s">
        <v>878</v>
      </c>
      <c r="B1123" t="s">
        <v>889</v>
      </c>
      <c r="C1123" s="52">
        <v>44689</v>
      </c>
      <c r="D1123" s="20">
        <v>0.81524305555555598</v>
      </c>
      <c r="E1123" t="s">
        <v>904</v>
      </c>
      <c r="F1123" t="s">
        <v>754</v>
      </c>
    </row>
    <row r="1124" spans="1:6" x14ac:dyDescent="0.25">
      <c r="A1124" t="s">
        <v>876</v>
      </c>
      <c r="B1124" t="s">
        <v>48</v>
      </c>
      <c r="C1124" s="52">
        <v>44659</v>
      </c>
      <c r="D1124" s="20" t="s">
        <v>1006</v>
      </c>
      <c r="E1124" t="s">
        <v>877</v>
      </c>
      <c r="F1124" t="s">
        <v>754</v>
      </c>
    </row>
    <row r="1125" spans="1:6" x14ac:dyDescent="0.25">
      <c r="A1125" t="s">
        <v>878</v>
      </c>
      <c r="B1125" t="s">
        <v>1027</v>
      </c>
      <c r="C1125" s="52">
        <v>44659</v>
      </c>
      <c r="D1125" s="20">
        <v>0.66753472222222199</v>
      </c>
      <c r="E1125" t="s">
        <v>905</v>
      </c>
      <c r="F1125" t="s">
        <v>754</v>
      </c>
    </row>
    <row r="1126" spans="1:6" x14ac:dyDescent="0.25">
      <c r="A1126" t="s">
        <v>876</v>
      </c>
      <c r="B1126" t="s">
        <v>48</v>
      </c>
      <c r="C1126" s="52">
        <v>44689</v>
      </c>
      <c r="D1126" s="20" t="s">
        <v>2651</v>
      </c>
      <c r="E1126" t="s">
        <v>877</v>
      </c>
      <c r="F1126" t="s">
        <v>754</v>
      </c>
    </row>
    <row r="1127" spans="1:6" x14ac:dyDescent="0.25">
      <c r="A1127" t="s">
        <v>878</v>
      </c>
      <c r="B1127" t="s">
        <v>1027</v>
      </c>
      <c r="C1127" s="52">
        <v>44689</v>
      </c>
      <c r="D1127" s="20">
        <v>0.415104166666667</v>
      </c>
      <c r="E1127" t="s">
        <v>1633</v>
      </c>
      <c r="F1127" t="s">
        <v>754</v>
      </c>
    </row>
    <row r="1128" spans="1:6" x14ac:dyDescent="0.25">
      <c r="A1128" t="s">
        <v>876</v>
      </c>
      <c r="B1128" t="s">
        <v>48</v>
      </c>
      <c r="C1128" s="52">
        <v>44689</v>
      </c>
      <c r="D1128" s="20" t="s">
        <v>2652</v>
      </c>
      <c r="E1128" t="s">
        <v>877</v>
      </c>
      <c r="F1128" t="s">
        <v>754</v>
      </c>
    </row>
    <row r="1129" spans="1:6" x14ac:dyDescent="0.25">
      <c r="A1129" t="s">
        <v>878</v>
      </c>
      <c r="B1129" t="s">
        <v>1027</v>
      </c>
      <c r="C1129" s="52">
        <v>44689</v>
      </c>
      <c r="D1129" s="20">
        <v>0.417106481481481</v>
      </c>
      <c r="E1129" t="s">
        <v>1633</v>
      </c>
      <c r="F1129" t="s">
        <v>754</v>
      </c>
    </row>
    <row r="1130" spans="1:6" x14ac:dyDescent="0.25">
      <c r="A1130" t="s">
        <v>876</v>
      </c>
      <c r="B1130" t="s">
        <v>48</v>
      </c>
      <c r="C1130" s="52">
        <v>44689</v>
      </c>
      <c r="D1130" s="20" t="s">
        <v>2653</v>
      </c>
      <c r="E1130" t="s">
        <v>877</v>
      </c>
      <c r="F1130" t="s">
        <v>754</v>
      </c>
    </row>
    <row r="1131" spans="1:6" x14ac:dyDescent="0.25">
      <c r="A1131" t="s">
        <v>878</v>
      </c>
      <c r="B1131" t="s">
        <v>1027</v>
      </c>
      <c r="C1131" s="52">
        <v>44689</v>
      </c>
      <c r="D1131" s="20">
        <v>0.49045138888888901</v>
      </c>
      <c r="E1131" t="s">
        <v>1633</v>
      </c>
      <c r="F1131" t="s">
        <v>754</v>
      </c>
    </row>
    <row r="1132" spans="1:6" x14ac:dyDescent="0.25">
      <c r="A1132" t="s">
        <v>876</v>
      </c>
      <c r="B1132" t="s">
        <v>48</v>
      </c>
      <c r="C1132" s="52">
        <v>44689</v>
      </c>
      <c r="D1132" s="20" t="s">
        <v>2654</v>
      </c>
      <c r="E1132" t="s">
        <v>877</v>
      </c>
      <c r="F1132" t="s">
        <v>754</v>
      </c>
    </row>
    <row r="1133" spans="1:6" x14ac:dyDescent="0.25">
      <c r="A1133" t="s">
        <v>878</v>
      </c>
      <c r="B1133" t="s">
        <v>1027</v>
      </c>
      <c r="C1133" s="52">
        <v>44689</v>
      </c>
      <c r="D1133" s="20">
        <v>0.52856481481481499</v>
      </c>
      <c r="E1133" t="s">
        <v>1634</v>
      </c>
      <c r="F1133" t="s">
        <v>754</v>
      </c>
    </row>
    <row r="1134" spans="1:6" x14ac:dyDescent="0.25">
      <c r="A1134" t="s">
        <v>876</v>
      </c>
      <c r="B1134" t="s">
        <v>48</v>
      </c>
      <c r="C1134" s="52">
        <v>44689</v>
      </c>
      <c r="D1134" s="20" t="s">
        <v>2655</v>
      </c>
      <c r="E1134" t="s">
        <v>877</v>
      </c>
      <c r="F1134" t="s">
        <v>754</v>
      </c>
    </row>
    <row r="1135" spans="1:6" x14ac:dyDescent="0.25">
      <c r="A1135" t="s">
        <v>878</v>
      </c>
      <c r="B1135" t="s">
        <v>1027</v>
      </c>
      <c r="C1135" s="52">
        <v>44689</v>
      </c>
      <c r="D1135" s="20">
        <v>0.58315972222222201</v>
      </c>
      <c r="E1135" t="s">
        <v>1634</v>
      </c>
      <c r="F1135" t="s">
        <v>754</v>
      </c>
    </row>
    <row r="1136" spans="1:6" x14ac:dyDescent="0.25">
      <c r="A1136" t="s">
        <v>876</v>
      </c>
      <c r="B1136" t="s">
        <v>48</v>
      </c>
      <c r="C1136" s="52">
        <v>44750</v>
      </c>
      <c r="D1136" s="20" t="s">
        <v>2656</v>
      </c>
      <c r="E1136" t="s">
        <v>877</v>
      </c>
      <c r="F1136" t="s">
        <v>754</v>
      </c>
    </row>
    <row r="1137" spans="1:6" x14ac:dyDescent="0.25">
      <c r="A1137" t="s">
        <v>878</v>
      </c>
      <c r="B1137" t="s">
        <v>1027</v>
      </c>
      <c r="C1137" s="52">
        <v>44750</v>
      </c>
      <c r="D1137" s="20">
        <v>0.54836805555555601</v>
      </c>
      <c r="E1137" t="s">
        <v>905</v>
      </c>
      <c r="F1137" t="s">
        <v>754</v>
      </c>
    </row>
    <row r="1138" spans="1:6" x14ac:dyDescent="0.25">
      <c r="A1138" t="s">
        <v>876</v>
      </c>
      <c r="B1138" t="s">
        <v>49</v>
      </c>
      <c r="C1138" s="52">
        <v>44689</v>
      </c>
      <c r="D1138" s="20" t="s">
        <v>2657</v>
      </c>
      <c r="E1138" t="s">
        <v>877</v>
      </c>
      <c r="F1138" t="s">
        <v>754</v>
      </c>
    </row>
    <row r="1139" spans="1:6" x14ac:dyDescent="0.25">
      <c r="A1139" t="s">
        <v>878</v>
      </c>
      <c r="B1139" t="s">
        <v>2719</v>
      </c>
      <c r="C1139" s="52">
        <v>44689</v>
      </c>
      <c r="D1139" s="20">
        <v>0.69159722222222197</v>
      </c>
      <c r="E1139" t="s">
        <v>1635</v>
      </c>
      <c r="F1139" t="s">
        <v>754</v>
      </c>
    </row>
    <row r="1140" spans="1:6" x14ac:dyDescent="0.25">
      <c r="A1140" t="s">
        <v>876</v>
      </c>
      <c r="B1140" t="s">
        <v>51</v>
      </c>
      <c r="C1140" s="52">
        <v>44569</v>
      </c>
      <c r="D1140" s="20" t="s">
        <v>1515</v>
      </c>
      <c r="E1140" t="s">
        <v>877</v>
      </c>
      <c r="F1140" t="s">
        <v>754</v>
      </c>
    </row>
    <row r="1141" spans="1:6" x14ac:dyDescent="0.25">
      <c r="A1141" t="s">
        <v>878</v>
      </c>
      <c r="B1141" t="s">
        <v>1028</v>
      </c>
      <c r="C1141" s="52">
        <v>44569</v>
      </c>
      <c r="D1141" s="20">
        <v>0.55084490740740699</v>
      </c>
      <c r="E1141" t="s">
        <v>732</v>
      </c>
      <c r="F1141" t="s">
        <v>754</v>
      </c>
    </row>
    <row r="1142" spans="1:6" x14ac:dyDescent="0.25">
      <c r="A1142" t="s">
        <v>876</v>
      </c>
      <c r="B1142" t="s">
        <v>51</v>
      </c>
      <c r="C1142" s="52">
        <v>44569</v>
      </c>
      <c r="D1142" s="20" t="s">
        <v>1516</v>
      </c>
      <c r="E1142" t="s">
        <v>877</v>
      </c>
      <c r="F1142" t="s">
        <v>754</v>
      </c>
    </row>
    <row r="1143" spans="1:6" x14ac:dyDescent="0.25">
      <c r="A1143" t="s">
        <v>878</v>
      </c>
      <c r="B1143" t="s">
        <v>1028</v>
      </c>
      <c r="C1143" s="52">
        <v>44569</v>
      </c>
      <c r="D1143" s="20">
        <v>0.78901620370370396</v>
      </c>
      <c r="E1143" t="s">
        <v>732</v>
      </c>
      <c r="F1143" t="s">
        <v>754</v>
      </c>
    </row>
    <row r="1144" spans="1:6" x14ac:dyDescent="0.25">
      <c r="A1144" t="s">
        <v>876</v>
      </c>
      <c r="B1144" t="s">
        <v>51</v>
      </c>
      <c r="C1144" s="52">
        <v>44628</v>
      </c>
      <c r="D1144" s="20" t="s">
        <v>1326</v>
      </c>
      <c r="E1144" t="s">
        <v>877</v>
      </c>
      <c r="F1144" t="s">
        <v>754</v>
      </c>
    </row>
    <row r="1145" spans="1:6" x14ac:dyDescent="0.25">
      <c r="A1145" t="s">
        <v>878</v>
      </c>
      <c r="B1145" t="s">
        <v>1028</v>
      </c>
      <c r="C1145" s="52">
        <v>44628</v>
      </c>
      <c r="D1145" s="20">
        <v>0.31071759259259302</v>
      </c>
      <c r="E1145" t="s">
        <v>733</v>
      </c>
      <c r="F1145" t="s">
        <v>754</v>
      </c>
    </row>
    <row r="1146" spans="1:6" x14ac:dyDescent="0.25">
      <c r="A1146" t="s">
        <v>876</v>
      </c>
      <c r="B1146" t="s">
        <v>51</v>
      </c>
      <c r="C1146" s="52">
        <v>44628</v>
      </c>
      <c r="D1146" s="20" t="s">
        <v>1327</v>
      </c>
      <c r="E1146" t="s">
        <v>877</v>
      </c>
      <c r="F1146" t="s">
        <v>754</v>
      </c>
    </row>
    <row r="1147" spans="1:6" x14ac:dyDescent="0.25">
      <c r="A1147" t="s">
        <v>878</v>
      </c>
      <c r="B1147" t="s">
        <v>1028</v>
      </c>
      <c r="C1147" s="52">
        <v>44628</v>
      </c>
      <c r="D1147" s="20">
        <v>0.42969907407407398</v>
      </c>
      <c r="E1147" t="s">
        <v>733</v>
      </c>
      <c r="F1147" t="s">
        <v>754</v>
      </c>
    </row>
    <row r="1148" spans="1:6" x14ac:dyDescent="0.25">
      <c r="A1148" t="s">
        <v>876</v>
      </c>
      <c r="B1148" t="s">
        <v>51</v>
      </c>
      <c r="C1148" s="52">
        <v>44659</v>
      </c>
      <c r="D1148" s="20" t="s">
        <v>1007</v>
      </c>
      <c r="E1148" t="s">
        <v>877</v>
      </c>
      <c r="F1148" t="s">
        <v>754</v>
      </c>
    </row>
    <row r="1149" spans="1:6" x14ac:dyDescent="0.25">
      <c r="A1149" t="s">
        <v>878</v>
      </c>
      <c r="B1149" t="s">
        <v>1028</v>
      </c>
      <c r="C1149" s="52">
        <v>44659</v>
      </c>
      <c r="D1149" s="20">
        <v>0.79341435185185205</v>
      </c>
      <c r="E1149" t="s">
        <v>733</v>
      </c>
      <c r="F1149" t="s">
        <v>754</v>
      </c>
    </row>
    <row r="1150" spans="1:6" x14ac:dyDescent="0.25">
      <c r="A1150" t="s">
        <v>876</v>
      </c>
      <c r="B1150" t="s">
        <v>51</v>
      </c>
      <c r="C1150" s="52">
        <v>44659</v>
      </c>
      <c r="D1150" s="20" t="s">
        <v>1008</v>
      </c>
      <c r="E1150" t="s">
        <v>877</v>
      </c>
      <c r="F1150" t="s">
        <v>754</v>
      </c>
    </row>
    <row r="1151" spans="1:6" x14ac:dyDescent="0.25">
      <c r="A1151" t="s">
        <v>878</v>
      </c>
      <c r="B1151" t="s">
        <v>1028</v>
      </c>
      <c r="C1151" s="52">
        <v>44659</v>
      </c>
      <c r="D1151" s="20">
        <v>0.86280092592592605</v>
      </c>
      <c r="E1151" t="s">
        <v>733</v>
      </c>
      <c r="F1151" t="s">
        <v>754</v>
      </c>
    </row>
    <row r="1152" spans="1:6" x14ac:dyDescent="0.25">
      <c r="A1152" t="s">
        <v>876</v>
      </c>
      <c r="B1152" t="s">
        <v>51</v>
      </c>
      <c r="C1152" s="52">
        <v>44689</v>
      </c>
      <c r="D1152" s="20" t="s">
        <v>2658</v>
      </c>
      <c r="E1152" t="s">
        <v>877</v>
      </c>
      <c r="F1152" t="s">
        <v>754</v>
      </c>
    </row>
    <row r="1153" spans="1:6" x14ac:dyDescent="0.25">
      <c r="A1153" t="s">
        <v>878</v>
      </c>
      <c r="B1153" t="s">
        <v>1028</v>
      </c>
      <c r="C1153" s="52">
        <v>44689</v>
      </c>
      <c r="D1153" s="20">
        <v>0.29872685185185199</v>
      </c>
      <c r="E1153" t="s">
        <v>732</v>
      </c>
      <c r="F1153" t="s">
        <v>754</v>
      </c>
    </row>
    <row r="1154" spans="1:6" x14ac:dyDescent="0.25">
      <c r="A1154" t="s">
        <v>876</v>
      </c>
      <c r="B1154" t="s">
        <v>51</v>
      </c>
      <c r="C1154" s="52">
        <v>44689</v>
      </c>
      <c r="D1154" s="20" t="s">
        <v>2659</v>
      </c>
      <c r="E1154" t="s">
        <v>877</v>
      </c>
      <c r="F1154" t="s">
        <v>754</v>
      </c>
    </row>
    <row r="1155" spans="1:6" x14ac:dyDescent="0.25">
      <c r="A1155" t="s">
        <v>878</v>
      </c>
      <c r="B1155" t="s">
        <v>1028</v>
      </c>
      <c r="C1155" s="52">
        <v>44689</v>
      </c>
      <c r="D1155" s="20">
        <v>0.38865740740740701</v>
      </c>
      <c r="E1155" t="s">
        <v>732</v>
      </c>
      <c r="F1155" t="s">
        <v>754</v>
      </c>
    </row>
    <row r="1156" spans="1:6" x14ac:dyDescent="0.25">
      <c r="A1156" t="s">
        <v>876</v>
      </c>
      <c r="B1156" t="s">
        <v>51</v>
      </c>
      <c r="C1156" s="52">
        <v>44689</v>
      </c>
      <c r="D1156" s="20" t="s">
        <v>2660</v>
      </c>
      <c r="E1156" t="s">
        <v>877</v>
      </c>
      <c r="F1156" t="s">
        <v>754</v>
      </c>
    </row>
    <row r="1157" spans="1:6" x14ac:dyDescent="0.25">
      <c r="A1157" t="s">
        <v>878</v>
      </c>
      <c r="B1157" t="s">
        <v>1028</v>
      </c>
      <c r="C1157" s="52">
        <v>44689</v>
      </c>
      <c r="D1157" s="20">
        <v>0.43509259259259297</v>
      </c>
      <c r="E1157" t="s">
        <v>732</v>
      </c>
      <c r="F1157" t="s">
        <v>754</v>
      </c>
    </row>
    <row r="1158" spans="1:6" x14ac:dyDescent="0.25">
      <c r="A1158" t="s">
        <v>876</v>
      </c>
      <c r="B1158" t="s">
        <v>51</v>
      </c>
      <c r="C1158" s="52">
        <v>44689</v>
      </c>
      <c r="D1158" s="20" t="s">
        <v>2661</v>
      </c>
      <c r="E1158" t="s">
        <v>877</v>
      </c>
      <c r="F1158" t="s">
        <v>754</v>
      </c>
    </row>
    <row r="1159" spans="1:6" x14ac:dyDescent="0.25">
      <c r="A1159" t="s">
        <v>878</v>
      </c>
      <c r="B1159" t="s">
        <v>1028</v>
      </c>
      <c r="C1159" s="52">
        <v>44689</v>
      </c>
      <c r="D1159" s="20">
        <v>0.44297453703703699</v>
      </c>
      <c r="E1159" t="s">
        <v>732</v>
      </c>
      <c r="F1159" t="s">
        <v>754</v>
      </c>
    </row>
    <row r="1160" spans="1:6" x14ac:dyDescent="0.25">
      <c r="A1160" t="s">
        <v>876</v>
      </c>
      <c r="B1160" t="s">
        <v>51</v>
      </c>
      <c r="C1160" s="52">
        <v>44689</v>
      </c>
      <c r="D1160" s="20" t="s">
        <v>2662</v>
      </c>
      <c r="E1160" t="s">
        <v>877</v>
      </c>
      <c r="F1160" t="s">
        <v>754</v>
      </c>
    </row>
    <row r="1161" spans="1:6" x14ac:dyDescent="0.25">
      <c r="A1161" t="s">
        <v>878</v>
      </c>
      <c r="B1161" t="s">
        <v>1028</v>
      </c>
      <c r="C1161" s="52">
        <v>44689</v>
      </c>
      <c r="D1161" s="20">
        <v>0.44535879629629599</v>
      </c>
      <c r="E1161" t="s">
        <v>732</v>
      </c>
      <c r="F1161" t="s">
        <v>754</v>
      </c>
    </row>
    <row r="1162" spans="1:6" x14ac:dyDescent="0.25">
      <c r="A1162" t="s">
        <v>876</v>
      </c>
      <c r="B1162" t="s">
        <v>51</v>
      </c>
      <c r="C1162" s="52">
        <v>44689</v>
      </c>
      <c r="D1162" s="20" t="s">
        <v>2663</v>
      </c>
      <c r="E1162" t="s">
        <v>877</v>
      </c>
      <c r="F1162" t="s">
        <v>754</v>
      </c>
    </row>
    <row r="1163" spans="1:6" x14ac:dyDescent="0.25">
      <c r="A1163" t="s">
        <v>878</v>
      </c>
      <c r="B1163" t="s">
        <v>1028</v>
      </c>
      <c r="C1163" s="52">
        <v>44689</v>
      </c>
      <c r="D1163" s="20">
        <v>0.52253472222222197</v>
      </c>
      <c r="E1163" t="s">
        <v>732</v>
      </c>
      <c r="F1163" t="s">
        <v>754</v>
      </c>
    </row>
    <row r="1164" spans="1:6" x14ac:dyDescent="0.25">
      <c r="A1164" t="s">
        <v>876</v>
      </c>
      <c r="B1164" t="s">
        <v>51</v>
      </c>
      <c r="C1164" s="52">
        <v>44689</v>
      </c>
      <c r="D1164" s="20" t="s">
        <v>2664</v>
      </c>
      <c r="E1164" t="s">
        <v>877</v>
      </c>
      <c r="F1164" t="s">
        <v>754</v>
      </c>
    </row>
    <row r="1165" spans="1:6" x14ac:dyDescent="0.25">
      <c r="A1165" t="s">
        <v>878</v>
      </c>
      <c r="B1165" t="s">
        <v>1028</v>
      </c>
      <c r="C1165" s="52">
        <v>44689</v>
      </c>
      <c r="D1165" s="20">
        <v>0.73671296296296296</v>
      </c>
      <c r="E1165" t="s">
        <v>733</v>
      </c>
      <c r="F1165" t="s">
        <v>754</v>
      </c>
    </row>
    <row r="1166" spans="1:6" x14ac:dyDescent="0.25">
      <c r="A1166" t="s">
        <v>876</v>
      </c>
      <c r="B1166" t="s">
        <v>51</v>
      </c>
      <c r="C1166" s="52">
        <v>44689</v>
      </c>
      <c r="D1166" s="20" t="s">
        <v>2665</v>
      </c>
      <c r="E1166" t="s">
        <v>877</v>
      </c>
      <c r="F1166" t="s">
        <v>754</v>
      </c>
    </row>
    <row r="1167" spans="1:6" x14ac:dyDescent="0.25">
      <c r="A1167" t="s">
        <v>878</v>
      </c>
      <c r="B1167" t="s">
        <v>1028</v>
      </c>
      <c r="C1167" s="52">
        <v>44689</v>
      </c>
      <c r="D1167" s="20">
        <v>0.76871527777777804</v>
      </c>
      <c r="E1167" t="s">
        <v>733</v>
      </c>
      <c r="F1167" t="s">
        <v>754</v>
      </c>
    </row>
    <row r="1168" spans="1:6" x14ac:dyDescent="0.25">
      <c r="A1168" t="s">
        <v>876</v>
      </c>
      <c r="B1168" t="s">
        <v>51</v>
      </c>
      <c r="C1168" s="52">
        <v>44689</v>
      </c>
      <c r="D1168" s="20" t="s">
        <v>2666</v>
      </c>
      <c r="E1168" t="s">
        <v>877</v>
      </c>
      <c r="F1168" t="s">
        <v>754</v>
      </c>
    </row>
    <row r="1169" spans="1:6" x14ac:dyDescent="0.25">
      <c r="A1169" t="s">
        <v>878</v>
      </c>
      <c r="B1169" t="s">
        <v>1028</v>
      </c>
      <c r="C1169" s="52">
        <v>44689</v>
      </c>
      <c r="D1169" s="20">
        <v>0.77483796296296303</v>
      </c>
      <c r="E1169" t="s">
        <v>733</v>
      </c>
      <c r="F1169" t="s">
        <v>754</v>
      </c>
    </row>
    <row r="1170" spans="1:6" x14ac:dyDescent="0.25">
      <c r="A1170" t="s">
        <v>876</v>
      </c>
      <c r="B1170" t="s">
        <v>51</v>
      </c>
      <c r="C1170" s="52">
        <v>44689</v>
      </c>
      <c r="D1170" s="20" t="s">
        <v>2667</v>
      </c>
      <c r="E1170" t="s">
        <v>877</v>
      </c>
      <c r="F1170" t="s">
        <v>754</v>
      </c>
    </row>
    <row r="1171" spans="1:6" x14ac:dyDescent="0.25">
      <c r="A1171" t="s">
        <v>878</v>
      </c>
      <c r="B1171" t="s">
        <v>1028</v>
      </c>
      <c r="C1171" s="52">
        <v>44689</v>
      </c>
      <c r="D1171" s="20">
        <v>0.80177083333333299</v>
      </c>
      <c r="E1171" t="s">
        <v>733</v>
      </c>
      <c r="F1171" t="s">
        <v>754</v>
      </c>
    </row>
    <row r="1172" spans="1:6" x14ac:dyDescent="0.25">
      <c r="A1172" t="s">
        <v>876</v>
      </c>
      <c r="B1172" t="s">
        <v>54</v>
      </c>
      <c r="C1172" s="52">
        <v>44600</v>
      </c>
      <c r="D1172" s="20" t="s">
        <v>871</v>
      </c>
      <c r="E1172" t="s">
        <v>877</v>
      </c>
      <c r="F1172" t="s">
        <v>754</v>
      </c>
    </row>
    <row r="1173" spans="1:6" x14ac:dyDescent="0.25">
      <c r="A1173" t="s">
        <v>878</v>
      </c>
      <c r="B1173" t="s">
        <v>890</v>
      </c>
      <c r="C1173" s="52">
        <v>44600</v>
      </c>
      <c r="D1173" s="20">
        <v>0.41403935185185198</v>
      </c>
      <c r="E1173" t="s">
        <v>734</v>
      </c>
      <c r="F1173" t="s">
        <v>754</v>
      </c>
    </row>
    <row r="1174" spans="1:6" x14ac:dyDescent="0.25">
      <c r="A1174" t="s">
        <v>876</v>
      </c>
      <c r="B1174" t="s">
        <v>54</v>
      </c>
      <c r="C1174" s="52">
        <v>44600</v>
      </c>
      <c r="D1174" s="20" t="s">
        <v>872</v>
      </c>
      <c r="E1174" t="s">
        <v>877</v>
      </c>
      <c r="F1174" t="s">
        <v>754</v>
      </c>
    </row>
    <row r="1175" spans="1:6" x14ac:dyDescent="0.25">
      <c r="A1175" t="s">
        <v>878</v>
      </c>
      <c r="B1175" t="s">
        <v>890</v>
      </c>
      <c r="C1175" s="52">
        <v>44600</v>
      </c>
      <c r="D1175" s="20">
        <v>0.50105324074074098</v>
      </c>
      <c r="E1175" t="s">
        <v>734</v>
      </c>
      <c r="F1175" t="s">
        <v>754</v>
      </c>
    </row>
    <row r="1176" spans="1:6" x14ac:dyDescent="0.25">
      <c r="A1176" t="s">
        <v>876</v>
      </c>
      <c r="B1176" t="s">
        <v>54</v>
      </c>
      <c r="C1176" s="52">
        <v>44659</v>
      </c>
      <c r="D1176" s="20" t="s">
        <v>1009</v>
      </c>
      <c r="E1176" t="s">
        <v>877</v>
      </c>
      <c r="F1176" t="s">
        <v>754</v>
      </c>
    </row>
    <row r="1177" spans="1:6" x14ac:dyDescent="0.25">
      <c r="A1177" t="s">
        <v>878</v>
      </c>
      <c r="B1177" t="s">
        <v>890</v>
      </c>
      <c r="C1177" s="52">
        <v>44659</v>
      </c>
      <c r="D1177" s="20">
        <v>0.71755787037037</v>
      </c>
      <c r="E1177" t="s">
        <v>734</v>
      </c>
      <c r="F1177" t="s">
        <v>754</v>
      </c>
    </row>
    <row r="1178" spans="1:6" x14ac:dyDescent="0.25">
      <c r="A1178" t="s">
        <v>876</v>
      </c>
      <c r="B1178" t="s">
        <v>54</v>
      </c>
      <c r="C1178" s="52">
        <v>44659</v>
      </c>
      <c r="D1178" s="20" t="s">
        <v>1010</v>
      </c>
      <c r="E1178" t="s">
        <v>877</v>
      </c>
      <c r="F1178" t="s">
        <v>754</v>
      </c>
    </row>
    <row r="1179" spans="1:6" x14ac:dyDescent="0.25">
      <c r="A1179" t="s">
        <v>878</v>
      </c>
      <c r="B1179" t="s">
        <v>890</v>
      </c>
      <c r="C1179" s="52">
        <v>44659</v>
      </c>
      <c r="D1179" s="20">
        <v>0.88936342592592599</v>
      </c>
      <c r="E1179" t="s">
        <v>734</v>
      </c>
      <c r="F1179" t="s">
        <v>754</v>
      </c>
    </row>
    <row r="1180" spans="1:6" x14ac:dyDescent="0.25">
      <c r="A1180" t="s">
        <v>876</v>
      </c>
      <c r="B1180" t="s">
        <v>54</v>
      </c>
      <c r="C1180" s="52">
        <v>44659</v>
      </c>
      <c r="D1180" s="20" t="s">
        <v>1011</v>
      </c>
      <c r="E1180" t="s">
        <v>877</v>
      </c>
      <c r="F1180" t="s">
        <v>754</v>
      </c>
    </row>
    <row r="1181" spans="1:6" x14ac:dyDescent="0.25">
      <c r="A1181" t="s">
        <v>878</v>
      </c>
      <c r="B1181" t="s">
        <v>890</v>
      </c>
      <c r="C1181" s="52">
        <v>44659</v>
      </c>
      <c r="D1181" s="20">
        <v>0.89337962962963002</v>
      </c>
      <c r="E1181" t="s">
        <v>734</v>
      </c>
      <c r="F1181" t="s">
        <v>754</v>
      </c>
    </row>
    <row r="1182" spans="1:6" x14ac:dyDescent="0.25">
      <c r="A1182" t="s">
        <v>876</v>
      </c>
      <c r="B1182" t="s">
        <v>54</v>
      </c>
      <c r="C1182" s="52">
        <v>44689</v>
      </c>
      <c r="D1182" s="20" t="s">
        <v>2668</v>
      </c>
      <c r="E1182" t="s">
        <v>877</v>
      </c>
      <c r="F1182" t="s">
        <v>754</v>
      </c>
    </row>
    <row r="1183" spans="1:6" x14ac:dyDescent="0.25">
      <c r="A1183" t="s">
        <v>878</v>
      </c>
      <c r="B1183" t="s">
        <v>890</v>
      </c>
      <c r="C1183" s="52">
        <v>44689</v>
      </c>
      <c r="D1183" s="20">
        <v>0.36113425925925902</v>
      </c>
      <c r="E1183" t="s">
        <v>734</v>
      </c>
      <c r="F1183" t="s">
        <v>754</v>
      </c>
    </row>
    <row r="1184" spans="1:6" x14ac:dyDescent="0.25">
      <c r="A1184" t="s">
        <v>876</v>
      </c>
      <c r="B1184" t="s">
        <v>54</v>
      </c>
      <c r="C1184" s="52">
        <v>44689</v>
      </c>
      <c r="D1184" s="20" t="s">
        <v>2669</v>
      </c>
      <c r="E1184" t="s">
        <v>877</v>
      </c>
      <c r="F1184" t="s">
        <v>754</v>
      </c>
    </row>
    <row r="1185" spans="1:6" x14ac:dyDescent="0.25">
      <c r="A1185" t="s">
        <v>878</v>
      </c>
      <c r="B1185" t="s">
        <v>890</v>
      </c>
      <c r="C1185" s="52">
        <v>44689</v>
      </c>
      <c r="D1185" s="20">
        <v>0.39613425925925899</v>
      </c>
      <c r="E1185" t="s">
        <v>734</v>
      </c>
      <c r="F1185" t="s">
        <v>754</v>
      </c>
    </row>
    <row r="1186" spans="1:6" x14ac:dyDescent="0.25">
      <c r="A1186" t="s">
        <v>876</v>
      </c>
      <c r="B1186" t="s">
        <v>54</v>
      </c>
      <c r="C1186" s="52">
        <v>44689</v>
      </c>
      <c r="D1186" s="20" t="s">
        <v>2670</v>
      </c>
      <c r="E1186" t="s">
        <v>877</v>
      </c>
      <c r="F1186" t="s">
        <v>754</v>
      </c>
    </row>
    <row r="1187" spans="1:6" x14ac:dyDescent="0.25">
      <c r="A1187" t="s">
        <v>878</v>
      </c>
      <c r="B1187" t="s">
        <v>890</v>
      </c>
      <c r="C1187" s="52">
        <v>44689</v>
      </c>
      <c r="D1187" s="20">
        <v>0.45413194444444399</v>
      </c>
      <c r="E1187" t="s">
        <v>734</v>
      </c>
      <c r="F1187" t="s">
        <v>754</v>
      </c>
    </row>
    <row r="1188" spans="1:6" x14ac:dyDescent="0.25">
      <c r="A1188" t="s">
        <v>876</v>
      </c>
      <c r="B1188" t="s">
        <v>54</v>
      </c>
      <c r="C1188" s="52">
        <v>44689</v>
      </c>
      <c r="D1188" s="20" t="s">
        <v>2671</v>
      </c>
      <c r="E1188" t="s">
        <v>877</v>
      </c>
      <c r="F1188" t="s">
        <v>754</v>
      </c>
    </row>
    <row r="1189" spans="1:6" x14ac:dyDescent="0.25">
      <c r="A1189" t="s">
        <v>878</v>
      </c>
      <c r="B1189" t="s">
        <v>890</v>
      </c>
      <c r="C1189" s="52">
        <v>44689</v>
      </c>
      <c r="D1189" s="20">
        <v>0.46569444444444402</v>
      </c>
      <c r="E1189" t="s">
        <v>734</v>
      </c>
      <c r="F1189" t="s">
        <v>754</v>
      </c>
    </row>
    <row r="1190" spans="1:6" x14ac:dyDescent="0.25">
      <c r="A1190" t="s">
        <v>876</v>
      </c>
      <c r="B1190" t="s">
        <v>54</v>
      </c>
      <c r="C1190" s="52">
        <v>44689</v>
      </c>
      <c r="D1190" s="20" t="s">
        <v>2672</v>
      </c>
      <c r="E1190" t="s">
        <v>877</v>
      </c>
      <c r="F1190" t="s">
        <v>754</v>
      </c>
    </row>
    <row r="1191" spans="1:6" x14ac:dyDescent="0.25">
      <c r="A1191" t="s">
        <v>878</v>
      </c>
      <c r="B1191" t="s">
        <v>890</v>
      </c>
      <c r="C1191" s="52">
        <v>44689</v>
      </c>
      <c r="D1191" s="20">
        <v>0.51549768518518502</v>
      </c>
      <c r="E1191" t="s">
        <v>734</v>
      </c>
      <c r="F1191" t="s">
        <v>754</v>
      </c>
    </row>
    <row r="1192" spans="1:6" x14ac:dyDescent="0.25">
      <c r="A1192" t="s">
        <v>876</v>
      </c>
      <c r="B1192" t="s">
        <v>54</v>
      </c>
      <c r="C1192" s="52">
        <v>44689</v>
      </c>
      <c r="D1192" s="20" t="s">
        <v>2673</v>
      </c>
      <c r="E1192" t="s">
        <v>877</v>
      </c>
      <c r="F1192" t="s">
        <v>754</v>
      </c>
    </row>
    <row r="1193" spans="1:6" x14ac:dyDescent="0.25">
      <c r="A1193" t="s">
        <v>878</v>
      </c>
      <c r="B1193" t="s">
        <v>890</v>
      </c>
      <c r="C1193" s="52">
        <v>44689</v>
      </c>
      <c r="D1193" s="20">
        <v>0.88297453703703699</v>
      </c>
      <c r="E1193" t="s">
        <v>735</v>
      </c>
      <c r="F1193" t="s">
        <v>754</v>
      </c>
    </row>
    <row r="1194" spans="1:6" x14ac:dyDescent="0.25">
      <c r="A1194" t="s">
        <v>876</v>
      </c>
      <c r="B1194" t="s">
        <v>54</v>
      </c>
      <c r="C1194" s="52">
        <v>44750</v>
      </c>
      <c r="D1194" s="20" t="s">
        <v>2674</v>
      </c>
      <c r="E1194" t="s">
        <v>877</v>
      </c>
      <c r="F1194" t="s">
        <v>754</v>
      </c>
    </row>
    <row r="1195" spans="1:6" x14ac:dyDescent="0.25">
      <c r="A1195" t="s">
        <v>878</v>
      </c>
      <c r="B1195" t="s">
        <v>890</v>
      </c>
      <c r="C1195" s="52">
        <v>44750</v>
      </c>
      <c r="D1195" s="20">
        <v>0.83274305555555606</v>
      </c>
      <c r="E1195" t="s">
        <v>734</v>
      </c>
      <c r="F1195" t="s">
        <v>754</v>
      </c>
    </row>
    <row r="1196" spans="1:6" x14ac:dyDescent="0.25">
      <c r="A1196" t="s">
        <v>876</v>
      </c>
      <c r="B1196" t="s">
        <v>55</v>
      </c>
      <c r="C1196" s="52">
        <v>44569</v>
      </c>
      <c r="D1196" s="20" t="s">
        <v>1517</v>
      </c>
      <c r="E1196" t="s">
        <v>877</v>
      </c>
      <c r="F1196" t="s">
        <v>754</v>
      </c>
    </row>
    <row r="1197" spans="1:6" x14ac:dyDescent="0.25">
      <c r="A1197" t="s">
        <v>878</v>
      </c>
      <c r="B1197" t="s">
        <v>891</v>
      </c>
      <c r="C1197" s="52">
        <v>44569</v>
      </c>
      <c r="D1197" s="20">
        <v>0.52182870370370404</v>
      </c>
      <c r="E1197" t="s">
        <v>1279</v>
      </c>
      <c r="F1197" t="s">
        <v>754</v>
      </c>
    </row>
    <row r="1198" spans="1:6" x14ac:dyDescent="0.25">
      <c r="A1198" t="s">
        <v>876</v>
      </c>
      <c r="B1198" t="s">
        <v>55</v>
      </c>
      <c r="C1198" s="52">
        <v>44569</v>
      </c>
      <c r="D1198" s="20" t="s">
        <v>1518</v>
      </c>
      <c r="E1198" t="s">
        <v>877</v>
      </c>
      <c r="F1198" t="s">
        <v>754</v>
      </c>
    </row>
    <row r="1199" spans="1:6" x14ac:dyDescent="0.25">
      <c r="A1199" t="s">
        <v>878</v>
      </c>
      <c r="B1199" t="s">
        <v>891</v>
      </c>
      <c r="C1199" s="52">
        <v>44569</v>
      </c>
      <c r="D1199" s="20">
        <v>0.52678240740740701</v>
      </c>
      <c r="E1199" t="s">
        <v>1279</v>
      </c>
      <c r="F1199" t="s">
        <v>754</v>
      </c>
    </row>
    <row r="1200" spans="1:6" x14ac:dyDescent="0.25">
      <c r="A1200" t="s">
        <v>876</v>
      </c>
      <c r="B1200" t="s">
        <v>55</v>
      </c>
      <c r="C1200" s="52">
        <v>44569</v>
      </c>
      <c r="D1200" s="20" t="s">
        <v>1519</v>
      </c>
      <c r="E1200" t="s">
        <v>877</v>
      </c>
      <c r="F1200" t="s">
        <v>754</v>
      </c>
    </row>
    <row r="1201" spans="1:6" x14ac:dyDescent="0.25">
      <c r="A1201" t="s">
        <v>878</v>
      </c>
      <c r="B1201" t="s">
        <v>891</v>
      </c>
      <c r="C1201" s="52">
        <v>44569</v>
      </c>
      <c r="D1201" s="20">
        <v>0.64638888888888901</v>
      </c>
      <c r="E1201" t="s">
        <v>722</v>
      </c>
      <c r="F1201" t="s">
        <v>754</v>
      </c>
    </row>
    <row r="1202" spans="1:6" x14ac:dyDescent="0.25">
      <c r="A1202" t="s">
        <v>876</v>
      </c>
      <c r="B1202" t="s">
        <v>55</v>
      </c>
      <c r="C1202" s="52">
        <v>44569</v>
      </c>
      <c r="D1202" s="20" t="s">
        <v>1520</v>
      </c>
      <c r="E1202" t="s">
        <v>877</v>
      </c>
      <c r="F1202" t="s">
        <v>754</v>
      </c>
    </row>
    <row r="1203" spans="1:6" x14ac:dyDescent="0.25">
      <c r="A1203" t="s">
        <v>878</v>
      </c>
      <c r="B1203" t="s">
        <v>891</v>
      </c>
      <c r="C1203" s="52">
        <v>44569</v>
      </c>
      <c r="D1203" s="20">
        <v>0.79791666666666705</v>
      </c>
      <c r="E1203" t="s">
        <v>1279</v>
      </c>
      <c r="F1203" t="s">
        <v>754</v>
      </c>
    </row>
    <row r="1204" spans="1:6" x14ac:dyDescent="0.25">
      <c r="A1204" t="s">
        <v>876</v>
      </c>
      <c r="B1204" t="s">
        <v>55</v>
      </c>
      <c r="C1204" s="52">
        <v>44569</v>
      </c>
      <c r="D1204" s="20" t="s">
        <v>1521</v>
      </c>
      <c r="E1204" t="s">
        <v>877</v>
      </c>
      <c r="F1204" t="s">
        <v>754</v>
      </c>
    </row>
    <row r="1205" spans="1:6" x14ac:dyDescent="0.25">
      <c r="A1205" t="s">
        <v>878</v>
      </c>
      <c r="B1205" t="s">
        <v>891</v>
      </c>
      <c r="C1205" s="52">
        <v>44569</v>
      </c>
      <c r="D1205" s="20">
        <v>0.84975694444444405</v>
      </c>
      <c r="E1205" t="s">
        <v>722</v>
      </c>
      <c r="F1205" t="s">
        <v>754</v>
      </c>
    </row>
    <row r="1206" spans="1:6" x14ac:dyDescent="0.25">
      <c r="A1206" t="s">
        <v>876</v>
      </c>
      <c r="B1206" t="s">
        <v>55</v>
      </c>
      <c r="C1206" s="52">
        <v>44600</v>
      </c>
      <c r="D1206" s="20" t="s">
        <v>873</v>
      </c>
      <c r="E1206" t="s">
        <v>877</v>
      </c>
      <c r="F1206" t="s">
        <v>754</v>
      </c>
    </row>
    <row r="1207" spans="1:6" x14ac:dyDescent="0.25">
      <c r="A1207" t="s">
        <v>878</v>
      </c>
      <c r="B1207" t="s">
        <v>891</v>
      </c>
      <c r="C1207" s="52">
        <v>44600</v>
      </c>
      <c r="D1207" s="20">
        <v>0.61840277777777797</v>
      </c>
      <c r="E1207" t="s">
        <v>736</v>
      </c>
      <c r="F1207" t="s">
        <v>754</v>
      </c>
    </row>
    <row r="1208" spans="1:6" x14ac:dyDescent="0.25">
      <c r="A1208" t="s">
        <v>876</v>
      </c>
      <c r="B1208" t="s">
        <v>55</v>
      </c>
      <c r="C1208" s="52">
        <v>44600</v>
      </c>
      <c r="D1208" s="20" t="s">
        <v>874</v>
      </c>
      <c r="E1208" t="s">
        <v>877</v>
      </c>
      <c r="F1208" t="s">
        <v>754</v>
      </c>
    </row>
    <row r="1209" spans="1:6" x14ac:dyDescent="0.25">
      <c r="A1209" t="s">
        <v>878</v>
      </c>
      <c r="B1209" t="s">
        <v>891</v>
      </c>
      <c r="C1209" s="52">
        <v>44600</v>
      </c>
      <c r="D1209" s="20">
        <v>0.64311342592592602</v>
      </c>
      <c r="E1209" t="s">
        <v>722</v>
      </c>
      <c r="F1209" t="s">
        <v>754</v>
      </c>
    </row>
    <row r="1210" spans="1:6" x14ac:dyDescent="0.25">
      <c r="A1210" t="s">
        <v>876</v>
      </c>
      <c r="B1210" t="s">
        <v>55</v>
      </c>
      <c r="C1210" s="52">
        <v>44600</v>
      </c>
      <c r="D1210" s="20" t="s">
        <v>875</v>
      </c>
      <c r="E1210" t="s">
        <v>877</v>
      </c>
      <c r="F1210" t="s">
        <v>754</v>
      </c>
    </row>
    <row r="1211" spans="1:6" x14ac:dyDescent="0.25">
      <c r="A1211" t="s">
        <v>878</v>
      </c>
      <c r="B1211" t="s">
        <v>891</v>
      </c>
      <c r="C1211" s="52">
        <v>44600</v>
      </c>
      <c r="D1211" s="20">
        <v>0.79185185185185203</v>
      </c>
      <c r="E1211" t="s">
        <v>722</v>
      </c>
      <c r="F1211" t="s">
        <v>754</v>
      </c>
    </row>
    <row r="1212" spans="1:6" x14ac:dyDescent="0.25">
      <c r="A1212" t="s">
        <v>876</v>
      </c>
      <c r="B1212" t="s">
        <v>55</v>
      </c>
      <c r="C1212" s="52">
        <v>44628</v>
      </c>
      <c r="D1212" s="20" t="s">
        <v>1328</v>
      </c>
      <c r="E1212" t="s">
        <v>877</v>
      </c>
      <c r="F1212" t="s">
        <v>754</v>
      </c>
    </row>
    <row r="1213" spans="1:6" x14ac:dyDescent="0.25">
      <c r="A1213" t="s">
        <v>878</v>
      </c>
      <c r="B1213" t="s">
        <v>891</v>
      </c>
      <c r="C1213" s="52">
        <v>44628</v>
      </c>
      <c r="D1213" s="20">
        <v>0.328356481481481</v>
      </c>
      <c r="E1213" t="s">
        <v>722</v>
      </c>
      <c r="F1213" t="s">
        <v>754</v>
      </c>
    </row>
    <row r="1214" spans="1:6" x14ac:dyDescent="0.25">
      <c r="A1214" t="s">
        <v>876</v>
      </c>
      <c r="B1214" t="s">
        <v>55</v>
      </c>
      <c r="C1214" s="52">
        <v>44628</v>
      </c>
      <c r="D1214" s="20" t="s">
        <v>1329</v>
      </c>
      <c r="E1214" t="s">
        <v>877</v>
      </c>
      <c r="F1214" t="s">
        <v>754</v>
      </c>
    </row>
    <row r="1215" spans="1:6" x14ac:dyDescent="0.25">
      <c r="A1215" t="s">
        <v>878</v>
      </c>
      <c r="B1215" t="s">
        <v>891</v>
      </c>
      <c r="C1215" s="52">
        <v>44628</v>
      </c>
      <c r="D1215" s="20">
        <v>0.33703703703703702</v>
      </c>
      <c r="E1215" t="s">
        <v>722</v>
      </c>
      <c r="F1215" t="s">
        <v>754</v>
      </c>
    </row>
    <row r="1216" spans="1:6" x14ac:dyDescent="0.25">
      <c r="A1216" t="s">
        <v>876</v>
      </c>
      <c r="B1216" t="s">
        <v>55</v>
      </c>
      <c r="C1216" s="52">
        <v>44628</v>
      </c>
      <c r="D1216" s="20" t="s">
        <v>1330</v>
      </c>
      <c r="E1216" t="s">
        <v>877</v>
      </c>
      <c r="F1216" t="s">
        <v>754</v>
      </c>
    </row>
    <row r="1217" spans="1:6" x14ac:dyDescent="0.25">
      <c r="A1217" t="s">
        <v>878</v>
      </c>
      <c r="B1217" t="s">
        <v>891</v>
      </c>
      <c r="C1217" s="52">
        <v>44628</v>
      </c>
      <c r="D1217" s="20">
        <v>0.44344907407407402</v>
      </c>
      <c r="E1217" t="s">
        <v>722</v>
      </c>
      <c r="F1217" t="s">
        <v>754</v>
      </c>
    </row>
    <row r="1218" spans="1:6" x14ac:dyDescent="0.25">
      <c r="A1218" t="s">
        <v>876</v>
      </c>
      <c r="B1218" t="s">
        <v>55</v>
      </c>
      <c r="C1218" s="52">
        <v>44628</v>
      </c>
      <c r="D1218" s="20" t="s">
        <v>1331</v>
      </c>
      <c r="E1218" t="s">
        <v>877</v>
      </c>
      <c r="F1218" t="s">
        <v>754</v>
      </c>
    </row>
    <row r="1219" spans="1:6" x14ac:dyDescent="0.25">
      <c r="A1219" t="s">
        <v>878</v>
      </c>
      <c r="B1219" t="s">
        <v>891</v>
      </c>
      <c r="C1219" s="52">
        <v>44628</v>
      </c>
      <c r="D1219" s="20">
        <v>0.48643518518518503</v>
      </c>
      <c r="E1219" t="s">
        <v>722</v>
      </c>
      <c r="F1219" t="s">
        <v>754</v>
      </c>
    </row>
    <row r="1220" spans="1:6" x14ac:dyDescent="0.25">
      <c r="A1220" t="s">
        <v>876</v>
      </c>
      <c r="B1220" t="s">
        <v>55</v>
      </c>
      <c r="C1220" s="52">
        <v>44628</v>
      </c>
      <c r="D1220" s="20" t="s">
        <v>1332</v>
      </c>
      <c r="E1220" t="s">
        <v>877</v>
      </c>
      <c r="F1220" t="s">
        <v>754</v>
      </c>
    </row>
    <row r="1221" spans="1:6" x14ac:dyDescent="0.25">
      <c r="A1221" t="s">
        <v>878</v>
      </c>
      <c r="B1221" t="s">
        <v>891</v>
      </c>
      <c r="C1221" s="52">
        <v>44628</v>
      </c>
      <c r="D1221" s="20">
        <v>0.49438657407407399</v>
      </c>
      <c r="E1221" t="s">
        <v>722</v>
      </c>
      <c r="F1221" t="s">
        <v>754</v>
      </c>
    </row>
    <row r="1222" spans="1:6" x14ac:dyDescent="0.25">
      <c r="A1222" t="s">
        <v>876</v>
      </c>
      <c r="B1222" t="s">
        <v>55</v>
      </c>
      <c r="C1222" s="52">
        <v>44628</v>
      </c>
      <c r="D1222" s="20" t="s">
        <v>1333</v>
      </c>
      <c r="E1222" t="s">
        <v>877</v>
      </c>
      <c r="F1222" t="s">
        <v>754</v>
      </c>
    </row>
    <row r="1223" spans="1:6" x14ac:dyDescent="0.25">
      <c r="A1223" t="s">
        <v>878</v>
      </c>
      <c r="B1223" t="s">
        <v>891</v>
      </c>
      <c r="C1223" s="52">
        <v>44628</v>
      </c>
      <c r="D1223" s="20">
        <v>0.61032407407407396</v>
      </c>
      <c r="E1223" t="s">
        <v>722</v>
      </c>
      <c r="F1223" t="s">
        <v>754</v>
      </c>
    </row>
    <row r="1224" spans="1:6" x14ac:dyDescent="0.25">
      <c r="A1224" t="s">
        <v>876</v>
      </c>
      <c r="B1224" t="s">
        <v>55</v>
      </c>
      <c r="C1224" s="52">
        <v>44628</v>
      </c>
      <c r="D1224" s="20" t="s">
        <v>1334</v>
      </c>
      <c r="E1224" t="s">
        <v>877</v>
      </c>
      <c r="F1224" t="s">
        <v>754</v>
      </c>
    </row>
    <row r="1225" spans="1:6" x14ac:dyDescent="0.25">
      <c r="A1225" t="s">
        <v>878</v>
      </c>
      <c r="B1225" t="s">
        <v>891</v>
      </c>
      <c r="C1225" s="52">
        <v>44628</v>
      </c>
      <c r="D1225" s="20">
        <v>0.627581018518519</v>
      </c>
      <c r="E1225" t="s">
        <v>722</v>
      </c>
      <c r="F1225" t="s">
        <v>754</v>
      </c>
    </row>
    <row r="1226" spans="1:6" x14ac:dyDescent="0.25">
      <c r="A1226" t="s">
        <v>876</v>
      </c>
      <c r="B1226" t="s">
        <v>55</v>
      </c>
      <c r="C1226" s="52">
        <v>44628</v>
      </c>
      <c r="D1226" s="20" t="s">
        <v>1335</v>
      </c>
      <c r="E1226" t="s">
        <v>877</v>
      </c>
      <c r="F1226" t="s">
        <v>754</v>
      </c>
    </row>
    <row r="1227" spans="1:6" x14ac:dyDescent="0.25">
      <c r="A1227" t="s">
        <v>878</v>
      </c>
      <c r="B1227" t="s">
        <v>891</v>
      </c>
      <c r="C1227" s="52">
        <v>44628</v>
      </c>
      <c r="D1227" s="20">
        <v>0.64068287037036997</v>
      </c>
      <c r="E1227" t="s">
        <v>722</v>
      </c>
      <c r="F1227" t="s">
        <v>754</v>
      </c>
    </row>
    <row r="1228" spans="1:6" x14ac:dyDescent="0.25">
      <c r="A1228" t="s">
        <v>876</v>
      </c>
      <c r="B1228" t="s">
        <v>55</v>
      </c>
      <c r="C1228" s="52">
        <v>44628</v>
      </c>
      <c r="D1228" s="20" t="s">
        <v>1336</v>
      </c>
      <c r="E1228" t="s">
        <v>877</v>
      </c>
      <c r="F1228" t="s">
        <v>754</v>
      </c>
    </row>
    <row r="1229" spans="1:6" x14ac:dyDescent="0.25">
      <c r="A1229" t="s">
        <v>878</v>
      </c>
      <c r="B1229" t="s">
        <v>891</v>
      </c>
      <c r="C1229" s="52">
        <v>44628</v>
      </c>
      <c r="D1229" s="20">
        <v>0.77055555555555599</v>
      </c>
      <c r="E1229" t="s">
        <v>722</v>
      </c>
      <c r="F1229" t="s">
        <v>754</v>
      </c>
    </row>
    <row r="1230" spans="1:6" x14ac:dyDescent="0.25">
      <c r="A1230" t="s">
        <v>876</v>
      </c>
      <c r="B1230" t="s">
        <v>55</v>
      </c>
      <c r="C1230" s="52">
        <v>44659</v>
      </c>
      <c r="D1230" s="20" t="s">
        <v>1012</v>
      </c>
      <c r="E1230" t="s">
        <v>877</v>
      </c>
      <c r="F1230" t="s">
        <v>754</v>
      </c>
    </row>
    <row r="1231" spans="1:6" x14ac:dyDescent="0.25">
      <c r="A1231" t="s">
        <v>878</v>
      </c>
      <c r="B1231" t="s">
        <v>891</v>
      </c>
      <c r="C1231" s="52">
        <v>44659</v>
      </c>
      <c r="D1231" s="20">
        <v>0.41545138888888899</v>
      </c>
      <c r="E1231" t="s">
        <v>736</v>
      </c>
      <c r="F1231" t="s">
        <v>754</v>
      </c>
    </row>
    <row r="1232" spans="1:6" x14ac:dyDescent="0.25">
      <c r="A1232" t="s">
        <v>876</v>
      </c>
      <c r="B1232" t="s">
        <v>55</v>
      </c>
      <c r="C1232" s="52">
        <v>44659</v>
      </c>
      <c r="D1232" s="20" t="s">
        <v>1013</v>
      </c>
      <c r="E1232" t="s">
        <v>877</v>
      </c>
      <c r="F1232" t="s">
        <v>754</v>
      </c>
    </row>
    <row r="1233" spans="1:6" x14ac:dyDescent="0.25">
      <c r="A1233" t="s">
        <v>878</v>
      </c>
      <c r="B1233" t="s">
        <v>891</v>
      </c>
      <c r="C1233" s="52">
        <v>44659</v>
      </c>
      <c r="D1233" s="20">
        <v>0.558460648148148</v>
      </c>
      <c r="E1233" t="s">
        <v>736</v>
      </c>
      <c r="F1233" t="s">
        <v>754</v>
      </c>
    </row>
    <row r="1234" spans="1:6" x14ac:dyDescent="0.25">
      <c r="A1234" t="s">
        <v>876</v>
      </c>
      <c r="B1234" t="s">
        <v>55</v>
      </c>
      <c r="C1234" s="52">
        <v>44659</v>
      </c>
      <c r="D1234" s="20" t="s">
        <v>1014</v>
      </c>
      <c r="E1234" t="s">
        <v>877</v>
      </c>
      <c r="F1234" t="s">
        <v>754</v>
      </c>
    </row>
    <row r="1235" spans="1:6" x14ac:dyDescent="0.25">
      <c r="A1235" t="s">
        <v>878</v>
      </c>
      <c r="B1235" t="s">
        <v>891</v>
      </c>
      <c r="C1235" s="52">
        <v>44659</v>
      </c>
      <c r="D1235" s="20">
        <v>0.75175925925925902</v>
      </c>
      <c r="E1235" t="s">
        <v>722</v>
      </c>
      <c r="F1235" t="s">
        <v>754</v>
      </c>
    </row>
    <row r="1236" spans="1:6" x14ac:dyDescent="0.25">
      <c r="A1236" t="s">
        <v>876</v>
      </c>
      <c r="B1236" t="s">
        <v>55</v>
      </c>
      <c r="C1236" s="52">
        <v>44659</v>
      </c>
      <c r="D1236" s="20" t="s">
        <v>1015</v>
      </c>
      <c r="E1236" t="s">
        <v>877</v>
      </c>
      <c r="F1236" t="s">
        <v>754</v>
      </c>
    </row>
    <row r="1237" spans="1:6" x14ac:dyDescent="0.25">
      <c r="A1237" t="s">
        <v>878</v>
      </c>
      <c r="B1237" t="s">
        <v>891</v>
      </c>
      <c r="C1237" s="52">
        <v>44659</v>
      </c>
      <c r="D1237" s="20">
        <v>0.81518518518518501</v>
      </c>
      <c r="E1237" t="s">
        <v>722</v>
      </c>
      <c r="F1237" t="s">
        <v>754</v>
      </c>
    </row>
    <row r="1238" spans="1:6" x14ac:dyDescent="0.25">
      <c r="A1238" t="s">
        <v>876</v>
      </c>
      <c r="B1238" t="s">
        <v>55</v>
      </c>
      <c r="C1238" s="52">
        <v>44659</v>
      </c>
      <c r="D1238" s="20" t="s">
        <v>1016</v>
      </c>
      <c r="E1238" t="s">
        <v>877</v>
      </c>
      <c r="F1238" t="s">
        <v>754</v>
      </c>
    </row>
    <row r="1239" spans="1:6" x14ac:dyDescent="0.25">
      <c r="A1239" t="s">
        <v>878</v>
      </c>
      <c r="B1239" t="s">
        <v>891</v>
      </c>
      <c r="C1239" s="52">
        <v>44659</v>
      </c>
      <c r="D1239" s="20">
        <v>0.87304398148148099</v>
      </c>
      <c r="E1239" t="s">
        <v>722</v>
      </c>
      <c r="F1239" t="s">
        <v>754</v>
      </c>
    </row>
    <row r="1240" spans="1:6" x14ac:dyDescent="0.25">
      <c r="A1240" t="s">
        <v>876</v>
      </c>
      <c r="B1240" t="s">
        <v>55</v>
      </c>
      <c r="C1240" s="52">
        <v>44689</v>
      </c>
      <c r="D1240" s="20" t="s">
        <v>2675</v>
      </c>
      <c r="E1240" t="s">
        <v>877</v>
      </c>
      <c r="F1240" t="s">
        <v>754</v>
      </c>
    </row>
    <row r="1241" spans="1:6" x14ac:dyDescent="0.25">
      <c r="A1241" t="s">
        <v>878</v>
      </c>
      <c r="B1241" t="s">
        <v>891</v>
      </c>
      <c r="C1241" s="52">
        <v>44689</v>
      </c>
      <c r="D1241" s="20">
        <v>0.35174768518518501</v>
      </c>
      <c r="E1241" t="s">
        <v>736</v>
      </c>
      <c r="F1241" t="s">
        <v>754</v>
      </c>
    </row>
    <row r="1242" spans="1:6" x14ac:dyDescent="0.25">
      <c r="A1242" t="s">
        <v>876</v>
      </c>
      <c r="B1242" t="s">
        <v>55</v>
      </c>
      <c r="C1242" s="52">
        <v>44689</v>
      </c>
      <c r="D1242" s="20" t="s">
        <v>2676</v>
      </c>
      <c r="E1242" t="s">
        <v>877</v>
      </c>
      <c r="F1242" t="s">
        <v>754</v>
      </c>
    </row>
    <row r="1243" spans="1:6" x14ac:dyDescent="0.25">
      <c r="A1243" t="s">
        <v>878</v>
      </c>
      <c r="B1243" t="s">
        <v>891</v>
      </c>
      <c r="C1243" s="52">
        <v>44689</v>
      </c>
      <c r="D1243" s="20">
        <v>0.35754629629629597</v>
      </c>
      <c r="E1243" t="s">
        <v>736</v>
      </c>
      <c r="F1243" t="s">
        <v>754</v>
      </c>
    </row>
    <row r="1244" spans="1:6" x14ac:dyDescent="0.25">
      <c r="A1244" t="s">
        <v>876</v>
      </c>
      <c r="B1244" t="s">
        <v>55</v>
      </c>
      <c r="C1244" s="52">
        <v>44689</v>
      </c>
      <c r="D1244" s="20" t="s">
        <v>2677</v>
      </c>
      <c r="E1244" t="s">
        <v>877</v>
      </c>
      <c r="F1244" t="s">
        <v>754</v>
      </c>
    </row>
    <row r="1245" spans="1:6" x14ac:dyDescent="0.25">
      <c r="A1245" t="s">
        <v>878</v>
      </c>
      <c r="B1245" t="s">
        <v>891</v>
      </c>
      <c r="C1245" s="52">
        <v>44689</v>
      </c>
      <c r="D1245" s="20">
        <v>0.36377314814814798</v>
      </c>
      <c r="E1245" t="s">
        <v>736</v>
      </c>
      <c r="F1245" t="s">
        <v>754</v>
      </c>
    </row>
    <row r="1246" spans="1:6" x14ac:dyDescent="0.25">
      <c r="A1246" t="s">
        <v>876</v>
      </c>
      <c r="B1246" t="s">
        <v>55</v>
      </c>
      <c r="C1246" s="52">
        <v>44689</v>
      </c>
      <c r="D1246" s="20" t="s">
        <v>2678</v>
      </c>
      <c r="E1246" t="s">
        <v>877</v>
      </c>
      <c r="F1246" t="s">
        <v>754</v>
      </c>
    </row>
    <row r="1247" spans="1:6" x14ac:dyDescent="0.25">
      <c r="A1247" t="s">
        <v>878</v>
      </c>
      <c r="B1247" t="s">
        <v>891</v>
      </c>
      <c r="C1247" s="52">
        <v>44689</v>
      </c>
      <c r="D1247" s="20">
        <v>0.38971064814814799</v>
      </c>
      <c r="E1247" t="s">
        <v>736</v>
      </c>
      <c r="F1247" t="s">
        <v>754</v>
      </c>
    </row>
    <row r="1248" spans="1:6" x14ac:dyDescent="0.25">
      <c r="A1248" t="s">
        <v>876</v>
      </c>
      <c r="B1248" t="s">
        <v>55</v>
      </c>
      <c r="C1248" s="52">
        <v>44689</v>
      </c>
      <c r="D1248" s="20" t="s">
        <v>2679</v>
      </c>
      <c r="E1248" t="s">
        <v>877</v>
      </c>
      <c r="F1248" t="s">
        <v>754</v>
      </c>
    </row>
    <row r="1249" spans="1:6" x14ac:dyDescent="0.25">
      <c r="A1249" t="s">
        <v>878</v>
      </c>
      <c r="B1249" t="s">
        <v>891</v>
      </c>
      <c r="C1249" s="52">
        <v>44689</v>
      </c>
      <c r="D1249" s="20">
        <v>0.39650462962963001</v>
      </c>
      <c r="E1249" t="s">
        <v>736</v>
      </c>
      <c r="F1249" t="s">
        <v>754</v>
      </c>
    </row>
    <row r="1250" spans="1:6" x14ac:dyDescent="0.25">
      <c r="A1250" t="s">
        <v>876</v>
      </c>
      <c r="B1250" t="s">
        <v>55</v>
      </c>
      <c r="C1250" s="52">
        <v>44689</v>
      </c>
      <c r="D1250" s="20" t="s">
        <v>2680</v>
      </c>
      <c r="E1250" t="s">
        <v>877</v>
      </c>
      <c r="F1250" t="s">
        <v>754</v>
      </c>
    </row>
    <row r="1251" spans="1:6" x14ac:dyDescent="0.25">
      <c r="A1251" t="s">
        <v>878</v>
      </c>
      <c r="B1251" t="s">
        <v>891</v>
      </c>
      <c r="C1251" s="52">
        <v>44689</v>
      </c>
      <c r="D1251" s="20">
        <v>0.40833333333333299</v>
      </c>
      <c r="E1251" t="s">
        <v>736</v>
      </c>
      <c r="F1251" t="s">
        <v>754</v>
      </c>
    </row>
    <row r="1252" spans="1:6" x14ac:dyDescent="0.25">
      <c r="A1252" t="s">
        <v>876</v>
      </c>
      <c r="B1252" t="s">
        <v>55</v>
      </c>
      <c r="C1252" s="52">
        <v>44689</v>
      </c>
      <c r="D1252" s="20" t="s">
        <v>2681</v>
      </c>
      <c r="E1252" t="s">
        <v>877</v>
      </c>
      <c r="F1252" t="s">
        <v>754</v>
      </c>
    </row>
    <row r="1253" spans="1:6" x14ac:dyDescent="0.25">
      <c r="A1253" t="s">
        <v>878</v>
      </c>
      <c r="B1253" t="s">
        <v>891</v>
      </c>
      <c r="C1253" s="52">
        <v>44689</v>
      </c>
      <c r="D1253" s="20">
        <v>0.52379629629629598</v>
      </c>
      <c r="E1253" t="s">
        <v>736</v>
      </c>
      <c r="F1253" t="s">
        <v>754</v>
      </c>
    </row>
    <row r="1254" spans="1:6" x14ac:dyDescent="0.25">
      <c r="A1254" t="s">
        <v>876</v>
      </c>
      <c r="B1254" t="s">
        <v>55</v>
      </c>
      <c r="C1254" s="52">
        <v>44689</v>
      </c>
      <c r="D1254" s="20" t="s">
        <v>2682</v>
      </c>
      <c r="E1254" t="s">
        <v>877</v>
      </c>
      <c r="F1254" t="s">
        <v>754</v>
      </c>
    </row>
    <row r="1255" spans="1:6" x14ac:dyDescent="0.25">
      <c r="A1255" t="s">
        <v>878</v>
      </c>
      <c r="B1255" t="s">
        <v>891</v>
      </c>
      <c r="C1255" s="52">
        <v>44689</v>
      </c>
      <c r="D1255" s="20">
        <v>0.56354166666666705</v>
      </c>
      <c r="E1255" t="s">
        <v>736</v>
      </c>
      <c r="F1255" t="s">
        <v>754</v>
      </c>
    </row>
    <row r="1256" spans="1:6" x14ac:dyDescent="0.25">
      <c r="A1256" t="s">
        <v>876</v>
      </c>
      <c r="B1256" t="s">
        <v>55</v>
      </c>
      <c r="C1256" s="52">
        <v>44689</v>
      </c>
      <c r="D1256" s="20" t="s">
        <v>2683</v>
      </c>
      <c r="E1256" t="s">
        <v>877</v>
      </c>
      <c r="F1256" t="s">
        <v>754</v>
      </c>
    </row>
    <row r="1257" spans="1:6" x14ac:dyDescent="0.25">
      <c r="A1257" t="s">
        <v>878</v>
      </c>
      <c r="B1257" t="s">
        <v>891</v>
      </c>
      <c r="C1257" s="52">
        <v>44689</v>
      </c>
      <c r="D1257" s="20">
        <v>0.59652777777777799</v>
      </c>
      <c r="E1257" t="s">
        <v>736</v>
      </c>
      <c r="F1257" t="s">
        <v>754</v>
      </c>
    </row>
    <row r="1258" spans="1:6" x14ac:dyDescent="0.25">
      <c r="A1258" t="s">
        <v>876</v>
      </c>
      <c r="B1258" t="s">
        <v>55</v>
      </c>
      <c r="C1258" s="52">
        <v>44689</v>
      </c>
      <c r="D1258" s="20" t="s">
        <v>2684</v>
      </c>
      <c r="E1258" t="s">
        <v>877</v>
      </c>
      <c r="F1258" t="s">
        <v>754</v>
      </c>
    </row>
    <row r="1259" spans="1:6" x14ac:dyDescent="0.25">
      <c r="A1259" t="s">
        <v>878</v>
      </c>
      <c r="B1259" t="s">
        <v>891</v>
      </c>
      <c r="C1259" s="52">
        <v>44689</v>
      </c>
      <c r="D1259" s="20">
        <v>0.66527777777777797</v>
      </c>
      <c r="E1259" t="s">
        <v>715</v>
      </c>
      <c r="F1259" t="s">
        <v>754</v>
      </c>
    </row>
    <row r="1260" spans="1:6" x14ac:dyDescent="0.25">
      <c r="A1260" t="s">
        <v>876</v>
      </c>
      <c r="B1260" t="s">
        <v>55</v>
      </c>
      <c r="C1260" s="52">
        <v>44689</v>
      </c>
      <c r="D1260" s="20" t="s">
        <v>2685</v>
      </c>
      <c r="E1260" t="s">
        <v>877</v>
      </c>
      <c r="F1260" t="s">
        <v>754</v>
      </c>
    </row>
    <row r="1261" spans="1:6" x14ac:dyDescent="0.25">
      <c r="A1261" t="s">
        <v>878</v>
      </c>
      <c r="B1261" t="s">
        <v>891</v>
      </c>
      <c r="C1261" s="52">
        <v>44689</v>
      </c>
      <c r="D1261" s="20">
        <v>0.67914351851851895</v>
      </c>
      <c r="E1261" t="s">
        <v>715</v>
      </c>
      <c r="F1261" t="s">
        <v>754</v>
      </c>
    </row>
    <row r="1262" spans="1:6" x14ac:dyDescent="0.25">
      <c r="A1262" t="s">
        <v>876</v>
      </c>
      <c r="B1262" t="s">
        <v>55</v>
      </c>
      <c r="C1262" s="52">
        <v>44689</v>
      </c>
      <c r="D1262" s="20" t="s">
        <v>2686</v>
      </c>
      <c r="E1262" t="s">
        <v>877</v>
      </c>
      <c r="F1262" t="s">
        <v>754</v>
      </c>
    </row>
    <row r="1263" spans="1:6" x14ac:dyDescent="0.25">
      <c r="A1263" t="s">
        <v>878</v>
      </c>
      <c r="B1263" t="s">
        <v>891</v>
      </c>
      <c r="C1263" s="52">
        <v>44689</v>
      </c>
      <c r="D1263" s="20">
        <v>0.78915509259259298</v>
      </c>
      <c r="E1263" t="s">
        <v>722</v>
      </c>
      <c r="F1263" t="s">
        <v>754</v>
      </c>
    </row>
    <row r="1264" spans="1:6" x14ac:dyDescent="0.25">
      <c r="A1264" t="s">
        <v>876</v>
      </c>
      <c r="B1264" t="s">
        <v>60</v>
      </c>
      <c r="C1264" s="52">
        <v>44569</v>
      </c>
      <c r="D1264" s="20" t="s">
        <v>1522</v>
      </c>
      <c r="E1264" t="s">
        <v>877</v>
      </c>
      <c r="F1264" t="s">
        <v>754</v>
      </c>
    </row>
    <row r="1265" spans="1:6" x14ac:dyDescent="0.25">
      <c r="A1265" t="s">
        <v>878</v>
      </c>
      <c r="B1265" t="s">
        <v>1342</v>
      </c>
      <c r="C1265" s="52">
        <v>44569</v>
      </c>
      <c r="D1265" s="20">
        <v>0.340520833333333</v>
      </c>
      <c r="E1265" t="s">
        <v>738</v>
      </c>
      <c r="F1265" t="s">
        <v>754</v>
      </c>
    </row>
    <row r="1266" spans="1:6" x14ac:dyDescent="0.25">
      <c r="A1266" t="s">
        <v>876</v>
      </c>
      <c r="B1266" t="s">
        <v>60</v>
      </c>
      <c r="C1266" s="52">
        <v>44569</v>
      </c>
      <c r="D1266" s="20" t="s">
        <v>1523</v>
      </c>
      <c r="E1266" t="s">
        <v>877</v>
      </c>
      <c r="F1266" t="s">
        <v>754</v>
      </c>
    </row>
    <row r="1267" spans="1:6" x14ac:dyDescent="0.25">
      <c r="A1267" t="s">
        <v>878</v>
      </c>
      <c r="B1267" t="s">
        <v>1342</v>
      </c>
      <c r="C1267" s="52">
        <v>44569</v>
      </c>
      <c r="D1267" s="20">
        <v>0.75291666666666701</v>
      </c>
      <c r="E1267" t="s">
        <v>738</v>
      </c>
      <c r="F1267" t="s">
        <v>754</v>
      </c>
    </row>
    <row r="1268" spans="1:6" x14ac:dyDescent="0.25">
      <c r="A1268" t="s">
        <v>876</v>
      </c>
      <c r="B1268" t="s">
        <v>60</v>
      </c>
      <c r="C1268" s="52">
        <v>44628</v>
      </c>
      <c r="D1268" s="20" t="s">
        <v>1337</v>
      </c>
      <c r="E1268" t="s">
        <v>877</v>
      </c>
      <c r="F1268" t="s">
        <v>754</v>
      </c>
    </row>
    <row r="1269" spans="1:6" x14ac:dyDescent="0.25">
      <c r="A1269" t="s">
        <v>878</v>
      </c>
      <c r="B1269" t="s">
        <v>1342</v>
      </c>
      <c r="C1269" s="52">
        <v>44628</v>
      </c>
      <c r="D1269" s="20">
        <v>0.54818287037036995</v>
      </c>
      <c r="E1269" t="s">
        <v>738</v>
      </c>
      <c r="F1269" t="s">
        <v>754</v>
      </c>
    </row>
    <row r="1270" spans="1:6" x14ac:dyDescent="0.25">
      <c r="A1270" t="s">
        <v>876</v>
      </c>
      <c r="B1270" t="s">
        <v>60</v>
      </c>
      <c r="C1270" s="52">
        <v>44628</v>
      </c>
      <c r="D1270" s="20" t="s">
        <v>1338</v>
      </c>
      <c r="E1270" t="s">
        <v>877</v>
      </c>
      <c r="F1270" t="s">
        <v>754</v>
      </c>
    </row>
    <row r="1271" spans="1:6" x14ac:dyDescent="0.25">
      <c r="A1271" t="s">
        <v>878</v>
      </c>
      <c r="B1271" t="s">
        <v>1342</v>
      </c>
      <c r="C1271" s="52">
        <v>44628</v>
      </c>
      <c r="D1271" s="20">
        <v>0.61619212962962999</v>
      </c>
      <c r="E1271" t="s">
        <v>738</v>
      </c>
      <c r="F1271" t="s">
        <v>754</v>
      </c>
    </row>
    <row r="1272" spans="1:6" x14ac:dyDescent="0.25">
      <c r="A1272" t="s">
        <v>876</v>
      </c>
      <c r="B1272" t="s">
        <v>60</v>
      </c>
      <c r="C1272" s="52">
        <v>44628</v>
      </c>
      <c r="D1272" s="20" t="s">
        <v>1339</v>
      </c>
      <c r="E1272" t="s">
        <v>877</v>
      </c>
      <c r="F1272" t="s">
        <v>754</v>
      </c>
    </row>
    <row r="1273" spans="1:6" x14ac:dyDescent="0.25">
      <c r="A1273" t="s">
        <v>878</v>
      </c>
      <c r="B1273" t="s">
        <v>1342</v>
      </c>
      <c r="C1273" s="52">
        <v>44628</v>
      </c>
      <c r="D1273" s="20">
        <v>0.79886574074074101</v>
      </c>
      <c r="E1273" t="s">
        <v>739</v>
      </c>
      <c r="F1273" t="s">
        <v>754</v>
      </c>
    </row>
    <row r="1274" spans="1:6" x14ac:dyDescent="0.25">
      <c r="A1274" t="s">
        <v>876</v>
      </c>
      <c r="B1274" t="s">
        <v>60</v>
      </c>
      <c r="C1274" s="52">
        <v>44628</v>
      </c>
      <c r="D1274" s="20" t="s">
        <v>1340</v>
      </c>
      <c r="E1274" t="s">
        <v>877</v>
      </c>
      <c r="F1274" t="s">
        <v>754</v>
      </c>
    </row>
    <row r="1275" spans="1:6" x14ac:dyDescent="0.25">
      <c r="A1275" t="s">
        <v>878</v>
      </c>
      <c r="B1275" t="s">
        <v>1342</v>
      </c>
      <c r="C1275" s="52">
        <v>44628</v>
      </c>
      <c r="D1275" s="20">
        <v>0.80004629629629598</v>
      </c>
      <c r="E1275" t="s">
        <v>739</v>
      </c>
      <c r="F1275" t="s">
        <v>754</v>
      </c>
    </row>
    <row r="1276" spans="1:6" x14ac:dyDescent="0.25">
      <c r="A1276" t="s">
        <v>876</v>
      </c>
      <c r="B1276" t="s">
        <v>60</v>
      </c>
      <c r="C1276" s="52">
        <v>44689</v>
      </c>
      <c r="D1276" s="20" t="s">
        <v>2687</v>
      </c>
      <c r="E1276" t="s">
        <v>877</v>
      </c>
      <c r="F1276" t="s">
        <v>754</v>
      </c>
    </row>
    <row r="1277" spans="1:6" x14ac:dyDescent="0.25">
      <c r="A1277" t="s">
        <v>878</v>
      </c>
      <c r="B1277" t="s">
        <v>1342</v>
      </c>
      <c r="C1277" s="52">
        <v>44689</v>
      </c>
      <c r="D1277" s="20">
        <v>0.32212962962962999</v>
      </c>
      <c r="E1277" t="s">
        <v>738</v>
      </c>
      <c r="F1277" t="s">
        <v>754</v>
      </c>
    </row>
    <row r="1278" spans="1:6" x14ac:dyDescent="0.25">
      <c r="A1278" t="s">
        <v>876</v>
      </c>
      <c r="B1278" t="s">
        <v>60</v>
      </c>
      <c r="C1278" s="52">
        <v>44689</v>
      </c>
      <c r="D1278" s="20" t="s">
        <v>2688</v>
      </c>
      <c r="E1278" t="s">
        <v>877</v>
      </c>
      <c r="F1278" t="s">
        <v>754</v>
      </c>
    </row>
    <row r="1279" spans="1:6" x14ac:dyDescent="0.25">
      <c r="A1279" t="s">
        <v>878</v>
      </c>
      <c r="B1279" t="s">
        <v>1342</v>
      </c>
      <c r="C1279" s="52">
        <v>44689</v>
      </c>
      <c r="D1279" s="20">
        <v>0.37878472222222198</v>
      </c>
      <c r="E1279" t="s">
        <v>738</v>
      </c>
      <c r="F1279" t="s">
        <v>754</v>
      </c>
    </row>
    <row r="1280" spans="1:6" x14ac:dyDescent="0.25">
      <c r="A1280" t="s">
        <v>876</v>
      </c>
      <c r="B1280" t="s">
        <v>60</v>
      </c>
      <c r="C1280" s="52">
        <v>44689</v>
      </c>
      <c r="D1280" s="20" t="s">
        <v>2689</v>
      </c>
      <c r="E1280" t="s">
        <v>877</v>
      </c>
      <c r="F1280" t="s">
        <v>754</v>
      </c>
    </row>
    <row r="1281" spans="1:6" x14ac:dyDescent="0.25">
      <c r="A1281" t="s">
        <v>878</v>
      </c>
      <c r="B1281" t="s">
        <v>1342</v>
      </c>
      <c r="C1281" s="52">
        <v>44689</v>
      </c>
      <c r="D1281" s="20">
        <v>0.38313657407407398</v>
      </c>
      <c r="E1281" t="s">
        <v>738</v>
      </c>
      <c r="F1281" t="s">
        <v>754</v>
      </c>
    </row>
    <row r="1282" spans="1:6" x14ac:dyDescent="0.25">
      <c r="A1282" t="s">
        <v>876</v>
      </c>
      <c r="B1282" t="s">
        <v>60</v>
      </c>
      <c r="C1282" s="52">
        <v>44689</v>
      </c>
      <c r="D1282" s="20" t="s">
        <v>2690</v>
      </c>
      <c r="E1282" t="s">
        <v>877</v>
      </c>
      <c r="F1282" t="s">
        <v>754</v>
      </c>
    </row>
    <row r="1283" spans="1:6" x14ac:dyDescent="0.25">
      <c r="A1283" t="s">
        <v>878</v>
      </c>
      <c r="B1283" t="s">
        <v>1342</v>
      </c>
      <c r="C1283" s="52">
        <v>44689</v>
      </c>
      <c r="D1283" s="20">
        <v>0.47335648148148102</v>
      </c>
      <c r="E1283" t="s">
        <v>738</v>
      </c>
      <c r="F1283" t="s">
        <v>754</v>
      </c>
    </row>
    <row r="1284" spans="1:6" x14ac:dyDescent="0.25">
      <c r="A1284" t="s">
        <v>876</v>
      </c>
      <c r="B1284" t="s">
        <v>60</v>
      </c>
      <c r="C1284" s="52">
        <v>44689</v>
      </c>
      <c r="D1284" s="20" t="s">
        <v>2691</v>
      </c>
      <c r="E1284" t="s">
        <v>877</v>
      </c>
      <c r="F1284" t="s">
        <v>754</v>
      </c>
    </row>
    <row r="1285" spans="1:6" x14ac:dyDescent="0.25">
      <c r="A1285" t="s">
        <v>878</v>
      </c>
      <c r="B1285" t="s">
        <v>1342</v>
      </c>
      <c r="C1285" s="52">
        <v>44689</v>
      </c>
      <c r="D1285" s="20">
        <v>0.48589120370370398</v>
      </c>
      <c r="E1285" t="s">
        <v>738</v>
      </c>
      <c r="F1285" t="s">
        <v>754</v>
      </c>
    </row>
    <row r="1286" spans="1:6" x14ac:dyDescent="0.25">
      <c r="A1286" t="s">
        <v>876</v>
      </c>
      <c r="B1286" t="s">
        <v>60</v>
      </c>
      <c r="C1286" s="52">
        <v>44689</v>
      </c>
      <c r="D1286" s="20" t="s">
        <v>2692</v>
      </c>
      <c r="E1286" t="s">
        <v>877</v>
      </c>
      <c r="F1286" t="s">
        <v>754</v>
      </c>
    </row>
    <row r="1287" spans="1:6" x14ac:dyDescent="0.25">
      <c r="A1287" t="s">
        <v>878</v>
      </c>
      <c r="B1287" t="s">
        <v>1342</v>
      </c>
      <c r="C1287" s="52">
        <v>44689</v>
      </c>
      <c r="D1287" s="20">
        <v>0.728449074074074</v>
      </c>
      <c r="E1287" t="s">
        <v>738</v>
      </c>
      <c r="F1287" t="s">
        <v>754</v>
      </c>
    </row>
    <row r="1288" spans="1:6" x14ac:dyDescent="0.25">
      <c r="A1288" t="s">
        <v>876</v>
      </c>
      <c r="B1288" t="s">
        <v>63</v>
      </c>
      <c r="C1288" s="52">
        <v>44689</v>
      </c>
      <c r="D1288" s="20" t="s">
        <v>2693</v>
      </c>
      <c r="E1288" t="s">
        <v>877</v>
      </c>
      <c r="F1288" t="s">
        <v>754</v>
      </c>
    </row>
    <row r="1289" spans="1:6" x14ac:dyDescent="0.25">
      <c r="A1289" t="s">
        <v>878</v>
      </c>
      <c r="B1289" t="s">
        <v>1629</v>
      </c>
      <c r="C1289" s="52">
        <v>44689</v>
      </c>
      <c r="D1289" s="20">
        <v>0.33537037037036999</v>
      </c>
      <c r="E1289" t="s">
        <v>1636</v>
      </c>
      <c r="F1289" t="s">
        <v>754</v>
      </c>
    </row>
    <row r="1290" spans="1:6" x14ac:dyDescent="0.25">
      <c r="A1290" t="s">
        <v>876</v>
      </c>
      <c r="B1290" t="s">
        <v>63</v>
      </c>
      <c r="C1290" s="52">
        <v>44689</v>
      </c>
      <c r="D1290" s="20" t="s">
        <v>2694</v>
      </c>
      <c r="E1290" t="s">
        <v>877</v>
      </c>
      <c r="F1290" t="s">
        <v>754</v>
      </c>
    </row>
    <row r="1291" spans="1:6" x14ac:dyDescent="0.25">
      <c r="A1291" t="s">
        <v>878</v>
      </c>
      <c r="B1291" t="s">
        <v>1629</v>
      </c>
      <c r="C1291" s="52">
        <v>44689</v>
      </c>
      <c r="D1291" s="20">
        <v>0.33667824074074099</v>
      </c>
      <c r="E1291" t="s">
        <v>1636</v>
      </c>
      <c r="F1291" t="s">
        <v>754</v>
      </c>
    </row>
    <row r="1292" spans="1:6" x14ac:dyDescent="0.25">
      <c r="A1292" t="s">
        <v>876</v>
      </c>
      <c r="B1292" t="s">
        <v>41</v>
      </c>
      <c r="C1292" s="52">
        <v>44628</v>
      </c>
      <c r="D1292" s="20" t="s">
        <v>1341</v>
      </c>
      <c r="E1292" t="s">
        <v>877</v>
      </c>
      <c r="F1292" t="s">
        <v>754</v>
      </c>
    </row>
    <row r="1293" spans="1:6" x14ac:dyDescent="0.25">
      <c r="A1293" t="s">
        <v>878</v>
      </c>
      <c r="B1293" t="s">
        <v>1029</v>
      </c>
      <c r="C1293" s="52">
        <v>44628</v>
      </c>
      <c r="D1293" s="20">
        <v>0.826967592592593</v>
      </c>
      <c r="E1293" t="s">
        <v>722</v>
      </c>
      <c r="F1293" t="s">
        <v>754</v>
      </c>
    </row>
    <row r="1294" spans="1:6" x14ac:dyDescent="0.25">
      <c r="A1294" t="s">
        <v>876</v>
      </c>
      <c r="B1294" t="s">
        <v>41</v>
      </c>
      <c r="C1294" s="52">
        <v>44659</v>
      </c>
      <c r="D1294" s="20" t="s">
        <v>1017</v>
      </c>
      <c r="E1294" t="s">
        <v>877</v>
      </c>
      <c r="F1294" t="s">
        <v>754</v>
      </c>
    </row>
    <row r="1295" spans="1:6" x14ac:dyDescent="0.25">
      <c r="A1295" t="s">
        <v>878</v>
      </c>
      <c r="B1295" t="s">
        <v>1029</v>
      </c>
      <c r="C1295" s="52">
        <v>44659</v>
      </c>
      <c r="D1295" s="20">
        <v>0.52847222222222201</v>
      </c>
      <c r="E1295" t="s">
        <v>741</v>
      </c>
      <c r="F1295" t="s">
        <v>754</v>
      </c>
    </row>
    <row r="1296" spans="1:6" x14ac:dyDescent="0.25">
      <c r="A1296" t="s">
        <v>876</v>
      </c>
      <c r="B1296" t="s">
        <v>41</v>
      </c>
      <c r="C1296" s="52">
        <v>44659</v>
      </c>
      <c r="D1296" s="20" t="s">
        <v>1018</v>
      </c>
      <c r="E1296" t="s">
        <v>877</v>
      </c>
      <c r="F1296" t="s">
        <v>754</v>
      </c>
    </row>
    <row r="1297" spans="1:6" x14ac:dyDescent="0.25">
      <c r="A1297" t="s">
        <v>878</v>
      </c>
      <c r="B1297" t="s">
        <v>1029</v>
      </c>
      <c r="C1297" s="52">
        <v>44659</v>
      </c>
      <c r="D1297" s="20">
        <v>0.92265046296296305</v>
      </c>
      <c r="E1297" t="s">
        <v>722</v>
      </c>
      <c r="F1297" t="s">
        <v>754</v>
      </c>
    </row>
    <row r="1298" spans="1:6" x14ac:dyDescent="0.25">
      <c r="A1298" t="s">
        <v>876</v>
      </c>
      <c r="B1298" t="s">
        <v>41</v>
      </c>
      <c r="C1298" s="52">
        <v>44689</v>
      </c>
      <c r="D1298" s="20" t="s">
        <v>2695</v>
      </c>
      <c r="E1298" t="s">
        <v>877</v>
      </c>
      <c r="F1298" t="s">
        <v>754</v>
      </c>
    </row>
    <row r="1299" spans="1:6" x14ac:dyDescent="0.25">
      <c r="A1299" t="s">
        <v>878</v>
      </c>
      <c r="B1299" t="s">
        <v>1029</v>
      </c>
      <c r="C1299" s="52">
        <v>44689</v>
      </c>
      <c r="D1299" s="20">
        <v>4.7280092592592603E-2</v>
      </c>
      <c r="E1299" t="s">
        <v>722</v>
      </c>
      <c r="F1299" t="s">
        <v>754</v>
      </c>
    </row>
    <row r="1300" spans="1:6" x14ac:dyDescent="0.25">
      <c r="A1300" t="s">
        <v>876</v>
      </c>
      <c r="B1300" t="s">
        <v>41</v>
      </c>
      <c r="C1300" s="52">
        <v>44689</v>
      </c>
      <c r="D1300" s="20" t="s">
        <v>2696</v>
      </c>
      <c r="E1300" t="s">
        <v>877</v>
      </c>
      <c r="F1300" t="s">
        <v>754</v>
      </c>
    </row>
    <row r="1301" spans="1:6" x14ac:dyDescent="0.25">
      <c r="A1301" t="s">
        <v>878</v>
      </c>
      <c r="B1301" t="s">
        <v>1029</v>
      </c>
      <c r="C1301" s="52">
        <v>44689</v>
      </c>
      <c r="D1301" s="20">
        <v>0.26097222222222199</v>
      </c>
      <c r="E1301" t="s">
        <v>722</v>
      </c>
      <c r="F1301" t="s">
        <v>754</v>
      </c>
    </row>
    <row r="1302" spans="1:6" x14ac:dyDescent="0.25">
      <c r="A1302" t="s">
        <v>876</v>
      </c>
      <c r="B1302" t="s">
        <v>41</v>
      </c>
      <c r="C1302" s="52">
        <v>44689</v>
      </c>
      <c r="D1302" s="20" t="s">
        <v>2697</v>
      </c>
      <c r="E1302" t="s">
        <v>877</v>
      </c>
      <c r="F1302" t="s">
        <v>754</v>
      </c>
    </row>
    <row r="1303" spans="1:6" x14ac:dyDescent="0.25">
      <c r="A1303" t="s">
        <v>878</v>
      </c>
      <c r="B1303" t="s">
        <v>1029</v>
      </c>
      <c r="C1303" s="52">
        <v>44689</v>
      </c>
      <c r="D1303" s="20">
        <v>0.34628472222222201</v>
      </c>
      <c r="E1303" t="s">
        <v>741</v>
      </c>
      <c r="F1303" t="s">
        <v>754</v>
      </c>
    </row>
    <row r="1304" spans="1:6" x14ac:dyDescent="0.25">
      <c r="A1304" t="s">
        <v>876</v>
      </c>
      <c r="B1304" t="s">
        <v>41</v>
      </c>
      <c r="C1304" s="52">
        <v>44689</v>
      </c>
      <c r="D1304" s="20" t="s">
        <v>2698</v>
      </c>
      <c r="E1304" t="s">
        <v>877</v>
      </c>
      <c r="F1304" t="s">
        <v>754</v>
      </c>
    </row>
    <row r="1305" spans="1:6" x14ac:dyDescent="0.25">
      <c r="A1305" t="s">
        <v>878</v>
      </c>
      <c r="B1305" t="s">
        <v>1029</v>
      </c>
      <c r="C1305" s="52">
        <v>44689</v>
      </c>
      <c r="D1305" s="20">
        <v>0.3696875</v>
      </c>
      <c r="E1305" t="s">
        <v>741</v>
      </c>
      <c r="F1305" t="s">
        <v>754</v>
      </c>
    </row>
    <row r="1306" spans="1:6" x14ac:dyDescent="0.25">
      <c r="A1306" t="s">
        <v>876</v>
      </c>
      <c r="B1306" t="s">
        <v>41</v>
      </c>
      <c r="C1306" s="52">
        <v>44689</v>
      </c>
      <c r="D1306" s="20" t="s">
        <v>2699</v>
      </c>
      <c r="E1306" t="s">
        <v>877</v>
      </c>
      <c r="F1306" t="s">
        <v>754</v>
      </c>
    </row>
    <row r="1307" spans="1:6" x14ac:dyDescent="0.25">
      <c r="A1307" t="s">
        <v>878</v>
      </c>
      <c r="B1307" t="s">
        <v>1029</v>
      </c>
      <c r="C1307" s="52">
        <v>44689</v>
      </c>
      <c r="D1307" s="20">
        <v>0.37391203703703701</v>
      </c>
      <c r="E1307" t="s">
        <v>741</v>
      </c>
      <c r="F1307" t="s">
        <v>754</v>
      </c>
    </row>
    <row r="1308" spans="1:6" x14ac:dyDescent="0.25">
      <c r="A1308" t="s">
        <v>876</v>
      </c>
      <c r="B1308" t="s">
        <v>41</v>
      </c>
      <c r="C1308" s="52">
        <v>44689</v>
      </c>
      <c r="D1308" s="20" t="s">
        <v>2700</v>
      </c>
      <c r="E1308" t="s">
        <v>877</v>
      </c>
      <c r="F1308" t="s">
        <v>754</v>
      </c>
    </row>
    <row r="1309" spans="1:6" x14ac:dyDescent="0.25">
      <c r="A1309" t="s">
        <v>878</v>
      </c>
      <c r="B1309" t="s">
        <v>1029</v>
      </c>
      <c r="C1309" s="52">
        <v>44689</v>
      </c>
      <c r="D1309" s="20">
        <v>0.38855324074074099</v>
      </c>
      <c r="E1309" t="s">
        <v>741</v>
      </c>
      <c r="F1309" t="s">
        <v>754</v>
      </c>
    </row>
    <row r="1310" spans="1:6" x14ac:dyDescent="0.25">
      <c r="A1310" t="s">
        <v>876</v>
      </c>
      <c r="B1310" t="s">
        <v>41</v>
      </c>
      <c r="C1310" s="52">
        <v>44689</v>
      </c>
      <c r="D1310" s="20" t="s">
        <v>2701</v>
      </c>
      <c r="E1310" t="s">
        <v>877</v>
      </c>
      <c r="F1310" t="s">
        <v>754</v>
      </c>
    </row>
    <row r="1311" spans="1:6" x14ac:dyDescent="0.25">
      <c r="A1311" t="s">
        <v>878</v>
      </c>
      <c r="B1311" t="s">
        <v>1029</v>
      </c>
      <c r="C1311" s="52">
        <v>44689</v>
      </c>
      <c r="D1311" s="20">
        <v>0.41696759259259297</v>
      </c>
      <c r="E1311" t="s">
        <v>741</v>
      </c>
      <c r="F1311" t="s">
        <v>754</v>
      </c>
    </row>
    <row r="1312" spans="1:6" x14ac:dyDescent="0.25">
      <c r="A1312" t="s">
        <v>876</v>
      </c>
      <c r="B1312" t="s">
        <v>41</v>
      </c>
      <c r="C1312" s="52">
        <v>44689</v>
      </c>
      <c r="D1312" s="20" t="s">
        <v>2702</v>
      </c>
      <c r="E1312" t="s">
        <v>877</v>
      </c>
      <c r="F1312" t="s">
        <v>754</v>
      </c>
    </row>
    <row r="1313" spans="1:6" x14ac:dyDescent="0.25">
      <c r="A1313" t="s">
        <v>878</v>
      </c>
      <c r="B1313" t="s">
        <v>1029</v>
      </c>
      <c r="C1313" s="52">
        <v>44689</v>
      </c>
      <c r="D1313" s="20">
        <v>0.50197916666666698</v>
      </c>
      <c r="E1313" t="s">
        <v>741</v>
      </c>
      <c r="F1313" t="s">
        <v>754</v>
      </c>
    </row>
    <row r="1314" spans="1:6" x14ac:dyDescent="0.25">
      <c r="A1314" t="s">
        <v>876</v>
      </c>
      <c r="B1314" t="s">
        <v>41</v>
      </c>
      <c r="C1314" s="52">
        <v>44689</v>
      </c>
      <c r="D1314" s="20" t="s">
        <v>2703</v>
      </c>
      <c r="E1314" t="s">
        <v>877</v>
      </c>
      <c r="F1314" t="s">
        <v>754</v>
      </c>
    </row>
    <row r="1315" spans="1:6" x14ac:dyDescent="0.25">
      <c r="A1315" t="s">
        <v>878</v>
      </c>
      <c r="B1315" t="s">
        <v>1029</v>
      </c>
      <c r="C1315" s="52">
        <v>44689</v>
      </c>
      <c r="D1315" s="20">
        <v>0.50418981481481495</v>
      </c>
      <c r="E1315" t="s">
        <v>741</v>
      </c>
      <c r="F1315" t="s">
        <v>754</v>
      </c>
    </row>
    <row r="1316" spans="1:6" x14ac:dyDescent="0.25">
      <c r="A1316" t="s">
        <v>876</v>
      </c>
      <c r="B1316" t="s">
        <v>41</v>
      </c>
      <c r="C1316" s="52">
        <v>44689</v>
      </c>
      <c r="D1316" s="20" t="s">
        <v>2704</v>
      </c>
      <c r="E1316" t="s">
        <v>877</v>
      </c>
      <c r="F1316" t="s">
        <v>754</v>
      </c>
    </row>
    <row r="1317" spans="1:6" x14ac:dyDescent="0.25">
      <c r="A1317" t="s">
        <v>878</v>
      </c>
      <c r="B1317" t="s">
        <v>1029</v>
      </c>
      <c r="C1317" s="52">
        <v>44689</v>
      </c>
      <c r="D1317" s="20">
        <v>0.80354166666666704</v>
      </c>
      <c r="E1317" t="s">
        <v>741</v>
      </c>
      <c r="F1317" t="s">
        <v>754</v>
      </c>
    </row>
    <row r="1318" spans="1:6" x14ac:dyDescent="0.25">
      <c r="A1318" t="s">
        <v>876</v>
      </c>
      <c r="B1318" t="s">
        <v>66</v>
      </c>
      <c r="C1318" s="52">
        <v>44659</v>
      </c>
      <c r="D1318" s="20" t="s">
        <v>1019</v>
      </c>
      <c r="E1318" t="s">
        <v>877</v>
      </c>
      <c r="F1318" t="s">
        <v>754</v>
      </c>
    </row>
    <row r="1319" spans="1:6" x14ac:dyDescent="0.25">
      <c r="A1319" t="s">
        <v>878</v>
      </c>
      <c r="B1319" t="s">
        <v>1030</v>
      </c>
      <c r="C1319" s="52">
        <v>44659</v>
      </c>
      <c r="D1319" s="20">
        <v>0.82988425925925902</v>
      </c>
      <c r="E1319" t="s">
        <v>722</v>
      </c>
      <c r="F1319" t="s">
        <v>754</v>
      </c>
    </row>
    <row r="1320" spans="1:6" x14ac:dyDescent="0.25">
      <c r="A1320" t="s">
        <v>876</v>
      </c>
      <c r="B1320" t="s">
        <v>66</v>
      </c>
      <c r="C1320" s="52">
        <v>44659</v>
      </c>
      <c r="D1320" s="20" t="s">
        <v>1020</v>
      </c>
      <c r="E1320" t="s">
        <v>877</v>
      </c>
      <c r="F1320" t="s">
        <v>754</v>
      </c>
    </row>
    <row r="1321" spans="1:6" x14ac:dyDescent="0.25">
      <c r="A1321" t="s">
        <v>878</v>
      </c>
      <c r="B1321" t="s">
        <v>1030</v>
      </c>
      <c r="C1321" s="52">
        <v>44659</v>
      </c>
      <c r="D1321" s="20">
        <v>0.82988425925925902</v>
      </c>
      <c r="E1321" t="s">
        <v>722</v>
      </c>
      <c r="F1321" t="s">
        <v>754</v>
      </c>
    </row>
    <row r="1322" spans="1:6" x14ac:dyDescent="0.25">
      <c r="A1322" t="s">
        <v>876</v>
      </c>
      <c r="B1322" t="s">
        <v>66</v>
      </c>
      <c r="C1322" s="52">
        <v>44689</v>
      </c>
      <c r="D1322" s="20" t="s">
        <v>2705</v>
      </c>
      <c r="E1322" t="s">
        <v>877</v>
      </c>
      <c r="F1322" t="s">
        <v>754</v>
      </c>
    </row>
    <row r="1323" spans="1:6" x14ac:dyDescent="0.25">
      <c r="A1323" t="s">
        <v>878</v>
      </c>
      <c r="B1323" t="s">
        <v>1030</v>
      </c>
      <c r="C1323" s="52">
        <v>44689</v>
      </c>
      <c r="D1323" s="20">
        <v>0.26592592592592601</v>
      </c>
      <c r="E1323" t="s">
        <v>1637</v>
      </c>
      <c r="F1323" t="s">
        <v>754</v>
      </c>
    </row>
    <row r="1324" spans="1:6" x14ac:dyDescent="0.25">
      <c r="A1324" t="s">
        <v>876</v>
      </c>
      <c r="B1324" t="s">
        <v>66</v>
      </c>
      <c r="C1324" s="52">
        <v>44689</v>
      </c>
      <c r="D1324" s="20" t="s">
        <v>2706</v>
      </c>
      <c r="E1324" t="s">
        <v>877</v>
      </c>
      <c r="F1324" t="s">
        <v>754</v>
      </c>
    </row>
    <row r="1325" spans="1:6" x14ac:dyDescent="0.25">
      <c r="A1325" t="s">
        <v>878</v>
      </c>
      <c r="B1325" t="s">
        <v>1030</v>
      </c>
      <c r="C1325" s="52">
        <v>44689</v>
      </c>
      <c r="D1325" s="20">
        <v>0.310462962962963</v>
      </c>
      <c r="E1325" t="s">
        <v>1637</v>
      </c>
      <c r="F1325" t="s">
        <v>754</v>
      </c>
    </row>
    <row r="1326" spans="1:6" x14ac:dyDescent="0.25">
      <c r="A1326" t="s">
        <v>876</v>
      </c>
      <c r="B1326" t="s">
        <v>66</v>
      </c>
      <c r="C1326" s="52">
        <v>44689</v>
      </c>
      <c r="D1326" s="20" t="s">
        <v>2707</v>
      </c>
      <c r="E1326" t="s">
        <v>877</v>
      </c>
      <c r="F1326" t="s">
        <v>754</v>
      </c>
    </row>
    <row r="1327" spans="1:6" x14ac:dyDescent="0.25">
      <c r="A1327" t="s">
        <v>878</v>
      </c>
      <c r="B1327" t="s">
        <v>1030</v>
      </c>
      <c r="C1327" s="52">
        <v>44689</v>
      </c>
      <c r="D1327" s="20">
        <v>0.35212962962963001</v>
      </c>
      <c r="E1327" t="s">
        <v>1637</v>
      </c>
      <c r="F1327" t="s">
        <v>754</v>
      </c>
    </row>
    <row r="1328" spans="1:6" x14ac:dyDescent="0.25">
      <c r="A1328" t="s">
        <v>876</v>
      </c>
      <c r="B1328" t="s">
        <v>66</v>
      </c>
      <c r="C1328" s="52">
        <v>44689</v>
      </c>
      <c r="D1328" s="20" t="s">
        <v>2708</v>
      </c>
      <c r="E1328" t="s">
        <v>877</v>
      </c>
      <c r="F1328" t="s">
        <v>754</v>
      </c>
    </row>
    <row r="1329" spans="1:6" x14ac:dyDescent="0.25">
      <c r="A1329" t="s">
        <v>878</v>
      </c>
      <c r="B1329" t="s">
        <v>1030</v>
      </c>
      <c r="C1329" s="52">
        <v>44689</v>
      </c>
      <c r="D1329" s="20">
        <v>0.36005787037037001</v>
      </c>
      <c r="E1329" t="s">
        <v>1637</v>
      </c>
      <c r="F1329" t="s">
        <v>754</v>
      </c>
    </row>
    <row r="1330" spans="1:6" x14ac:dyDescent="0.25">
      <c r="A1330" t="s">
        <v>876</v>
      </c>
      <c r="B1330" t="s">
        <v>43</v>
      </c>
      <c r="C1330" s="52">
        <v>44659</v>
      </c>
      <c r="D1330" s="20" t="s">
        <v>1021</v>
      </c>
      <c r="E1330" t="s">
        <v>877</v>
      </c>
      <c r="F1330" t="s">
        <v>754</v>
      </c>
    </row>
    <row r="1331" spans="1:6" x14ac:dyDescent="0.25">
      <c r="A1331" t="s">
        <v>878</v>
      </c>
      <c r="B1331" t="s">
        <v>1031</v>
      </c>
      <c r="C1331" s="52">
        <v>44659</v>
      </c>
      <c r="D1331" s="20">
        <v>0.395243055555556</v>
      </c>
      <c r="E1331" t="s">
        <v>742</v>
      </c>
      <c r="F1331" t="s">
        <v>754</v>
      </c>
    </row>
    <row r="1332" spans="1:6" x14ac:dyDescent="0.25">
      <c r="A1332" t="s">
        <v>876</v>
      </c>
      <c r="B1332" t="s">
        <v>43</v>
      </c>
      <c r="C1332" s="52">
        <v>44659</v>
      </c>
      <c r="D1332" s="20" t="s">
        <v>1022</v>
      </c>
      <c r="E1332" t="s">
        <v>877</v>
      </c>
      <c r="F1332" t="s">
        <v>754</v>
      </c>
    </row>
    <row r="1333" spans="1:6" x14ac:dyDescent="0.25">
      <c r="A1333" t="s">
        <v>878</v>
      </c>
      <c r="B1333" t="s">
        <v>1031</v>
      </c>
      <c r="C1333" s="52">
        <v>44659</v>
      </c>
      <c r="D1333" s="20">
        <v>0.83163194444444499</v>
      </c>
      <c r="E1333" t="s">
        <v>901</v>
      </c>
      <c r="F1333" t="s">
        <v>754</v>
      </c>
    </row>
    <row r="1334" spans="1:6" x14ac:dyDescent="0.25">
      <c r="A1334" t="s">
        <v>876</v>
      </c>
      <c r="B1334" t="s">
        <v>43</v>
      </c>
      <c r="C1334" s="52">
        <v>44659</v>
      </c>
      <c r="D1334" s="20" t="s">
        <v>1023</v>
      </c>
      <c r="E1334" t="s">
        <v>877</v>
      </c>
      <c r="F1334" t="s">
        <v>754</v>
      </c>
    </row>
    <row r="1335" spans="1:6" x14ac:dyDescent="0.25">
      <c r="A1335" t="s">
        <v>878</v>
      </c>
      <c r="B1335" t="s">
        <v>1031</v>
      </c>
      <c r="C1335" s="52">
        <v>44659</v>
      </c>
      <c r="D1335" s="20">
        <v>0.90768518518518504</v>
      </c>
      <c r="E1335" t="s">
        <v>722</v>
      </c>
      <c r="F1335" t="s">
        <v>754</v>
      </c>
    </row>
    <row r="1336" spans="1:6" x14ac:dyDescent="0.25">
      <c r="A1336" t="s">
        <v>876</v>
      </c>
      <c r="B1336" t="s">
        <v>43</v>
      </c>
      <c r="C1336" s="52">
        <v>44659</v>
      </c>
      <c r="D1336" s="20" t="s">
        <v>1024</v>
      </c>
      <c r="E1336" t="s">
        <v>877</v>
      </c>
      <c r="F1336" t="s">
        <v>754</v>
      </c>
    </row>
    <row r="1337" spans="1:6" x14ac:dyDescent="0.25">
      <c r="A1337" t="s">
        <v>878</v>
      </c>
      <c r="B1337" t="s">
        <v>1031</v>
      </c>
      <c r="C1337" s="52">
        <v>44659</v>
      </c>
      <c r="D1337" s="20">
        <v>0.94592592592592595</v>
      </c>
      <c r="E1337" t="s">
        <v>722</v>
      </c>
      <c r="F1337" t="s">
        <v>754</v>
      </c>
    </row>
    <row r="1338" spans="1:6" x14ac:dyDescent="0.25">
      <c r="A1338" t="s">
        <v>876</v>
      </c>
      <c r="B1338" t="s">
        <v>43</v>
      </c>
      <c r="C1338" s="52">
        <v>44659</v>
      </c>
      <c r="D1338" s="20" t="s">
        <v>1025</v>
      </c>
      <c r="E1338" t="s">
        <v>877</v>
      </c>
      <c r="F1338" t="s">
        <v>754</v>
      </c>
    </row>
    <row r="1339" spans="1:6" x14ac:dyDescent="0.25">
      <c r="A1339" t="s">
        <v>878</v>
      </c>
      <c r="B1339" t="s">
        <v>1031</v>
      </c>
      <c r="C1339" s="52">
        <v>44659</v>
      </c>
      <c r="D1339" s="20">
        <v>0.94906250000000003</v>
      </c>
      <c r="E1339" t="s">
        <v>722</v>
      </c>
      <c r="F1339" t="s">
        <v>754</v>
      </c>
    </row>
    <row r="1340" spans="1:6" x14ac:dyDescent="0.25">
      <c r="A1340" t="s">
        <v>876</v>
      </c>
      <c r="B1340" t="s">
        <v>43</v>
      </c>
      <c r="C1340" s="52">
        <v>44689</v>
      </c>
      <c r="D1340" s="20" t="s">
        <v>2709</v>
      </c>
      <c r="E1340" t="s">
        <v>877</v>
      </c>
      <c r="F1340" t="s">
        <v>754</v>
      </c>
    </row>
    <row r="1341" spans="1:6" x14ac:dyDescent="0.25">
      <c r="A1341" t="s">
        <v>878</v>
      </c>
      <c r="B1341" t="s">
        <v>1031</v>
      </c>
      <c r="C1341" s="52">
        <v>44689</v>
      </c>
      <c r="D1341" s="20">
        <v>8.0787037037037008E-3</v>
      </c>
      <c r="E1341" t="s">
        <v>722</v>
      </c>
      <c r="F1341" t="s">
        <v>754</v>
      </c>
    </row>
    <row r="1342" spans="1:6" x14ac:dyDescent="0.25">
      <c r="A1342" t="s">
        <v>876</v>
      </c>
      <c r="B1342" t="s">
        <v>43</v>
      </c>
      <c r="C1342" s="52">
        <v>44689</v>
      </c>
      <c r="D1342" s="20" t="s">
        <v>2710</v>
      </c>
      <c r="E1342" t="s">
        <v>877</v>
      </c>
      <c r="F1342" t="s">
        <v>754</v>
      </c>
    </row>
    <row r="1343" spans="1:6" x14ac:dyDescent="0.25">
      <c r="A1343" t="s">
        <v>878</v>
      </c>
      <c r="B1343" t="s">
        <v>1031</v>
      </c>
      <c r="C1343" s="52">
        <v>44689</v>
      </c>
      <c r="D1343" s="20">
        <v>1.00347222222222E-2</v>
      </c>
      <c r="E1343" t="s">
        <v>722</v>
      </c>
      <c r="F1343" t="s">
        <v>754</v>
      </c>
    </row>
    <row r="1344" spans="1:6" x14ac:dyDescent="0.25">
      <c r="A1344" t="s">
        <v>876</v>
      </c>
      <c r="B1344" t="s">
        <v>43</v>
      </c>
      <c r="C1344" s="52">
        <v>44689</v>
      </c>
      <c r="D1344" s="20" t="s">
        <v>2711</v>
      </c>
      <c r="E1344" t="s">
        <v>877</v>
      </c>
      <c r="F1344" t="s">
        <v>754</v>
      </c>
    </row>
    <row r="1345" spans="1:6" x14ac:dyDescent="0.25">
      <c r="A1345" t="s">
        <v>878</v>
      </c>
      <c r="B1345" t="s">
        <v>1031</v>
      </c>
      <c r="C1345" s="52">
        <v>44689</v>
      </c>
      <c r="D1345" s="20">
        <v>6.0162037037037E-2</v>
      </c>
      <c r="E1345" t="s">
        <v>722</v>
      </c>
      <c r="F1345" t="s">
        <v>754</v>
      </c>
    </row>
    <row r="1346" spans="1:6" x14ac:dyDescent="0.25">
      <c r="A1346" t="s">
        <v>876</v>
      </c>
      <c r="B1346" t="s">
        <v>43</v>
      </c>
      <c r="C1346" s="52">
        <v>44689</v>
      </c>
      <c r="D1346" s="20" t="s">
        <v>2712</v>
      </c>
      <c r="E1346" t="s">
        <v>877</v>
      </c>
      <c r="F1346" t="s">
        <v>754</v>
      </c>
    </row>
    <row r="1347" spans="1:6" x14ac:dyDescent="0.25">
      <c r="A1347" t="s">
        <v>878</v>
      </c>
      <c r="B1347" t="s">
        <v>1031</v>
      </c>
      <c r="C1347" s="52">
        <v>44689</v>
      </c>
      <c r="D1347" s="20">
        <v>0.32296296296296301</v>
      </c>
      <c r="E1347" t="s">
        <v>742</v>
      </c>
      <c r="F1347" t="s">
        <v>754</v>
      </c>
    </row>
    <row r="1348" spans="1:6" x14ac:dyDescent="0.25">
      <c r="A1348" t="s">
        <v>876</v>
      </c>
      <c r="B1348" t="s">
        <v>43</v>
      </c>
      <c r="C1348" s="52">
        <v>44689</v>
      </c>
      <c r="D1348" s="20" t="s">
        <v>2713</v>
      </c>
      <c r="E1348" t="s">
        <v>877</v>
      </c>
      <c r="F1348" t="s">
        <v>754</v>
      </c>
    </row>
    <row r="1349" spans="1:6" x14ac:dyDescent="0.25">
      <c r="A1349" t="s">
        <v>878</v>
      </c>
      <c r="B1349" t="s">
        <v>1031</v>
      </c>
      <c r="C1349" s="52">
        <v>44689</v>
      </c>
      <c r="D1349" s="20">
        <v>0.35728009259259302</v>
      </c>
      <c r="E1349" t="s">
        <v>742</v>
      </c>
      <c r="F1349" t="s">
        <v>754</v>
      </c>
    </row>
    <row r="1350" spans="1:6" x14ac:dyDescent="0.25">
      <c r="A1350" t="s">
        <v>876</v>
      </c>
      <c r="B1350" t="s">
        <v>43</v>
      </c>
      <c r="C1350" s="52">
        <v>44689</v>
      </c>
      <c r="D1350" s="20" t="s">
        <v>2714</v>
      </c>
      <c r="E1350" t="s">
        <v>877</v>
      </c>
      <c r="F1350" t="s">
        <v>754</v>
      </c>
    </row>
    <row r="1351" spans="1:6" x14ac:dyDescent="0.25">
      <c r="A1351" t="s">
        <v>878</v>
      </c>
      <c r="B1351" t="s">
        <v>1031</v>
      </c>
      <c r="C1351" s="52">
        <v>44689</v>
      </c>
      <c r="D1351" s="20">
        <v>0.36937500000000001</v>
      </c>
      <c r="E1351" t="s">
        <v>742</v>
      </c>
      <c r="F1351" t="s">
        <v>754</v>
      </c>
    </row>
    <row r="1352" spans="1:6" x14ac:dyDescent="0.25">
      <c r="A1352" t="s">
        <v>876</v>
      </c>
      <c r="B1352" t="s">
        <v>43</v>
      </c>
      <c r="C1352" s="52">
        <v>44689</v>
      </c>
      <c r="D1352" s="20" t="s">
        <v>2715</v>
      </c>
      <c r="E1352" t="s">
        <v>877</v>
      </c>
      <c r="F1352" t="s">
        <v>754</v>
      </c>
    </row>
    <row r="1353" spans="1:6" x14ac:dyDescent="0.25">
      <c r="A1353" t="s">
        <v>878</v>
      </c>
      <c r="B1353" t="s">
        <v>1031</v>
      </c>
      <c r="C1353" s="52">
        <v>44689</v>
      </c>
      <c r="D1353" s="20">
        <v>0.46252314814814799</v>
      </c>
      <c r="E1353" t="s">
        <v>742</v>
      </c>
      <c r="F1353" t="s">
        <v>754</v>
      </c>
    </row>
    <row r="1354" spans="1:6" x14ac:dyDescent="0.25">
      <c r="A1354" t="s">
        <v>876</v>
      </c>
      <c r="B1354" t="s">
        <v>43</v>
      </c>
      <c r="C1354" s="52">
        <v>44689</v>
      </c>
      <c r="D1354" s="20" t="s">
        <v>2716</v>
      </c>
      <c r="E1354" t="s">
        <v>877</v>
      </c>
      <c r="F1354" t="s">
        <v>754</v>
      </c>
    </row>
    <row r="1355" spans="1:6" x14ac:dyDescent="0.25">
      <c r="A1355" t="s">
        <v>878</v>
      </c>
      <c r="B1355" t="s">
        <v>1031</v>
      </c>
      <c r="C1355" s="52">
        <v>44689</v>
      </c>
      <c r="D1355" s="20">
        <v>0.469363425925926</v>
      </c>
      <c r="E1355" t="s">
        <v>742</v>
      </c>
      <c r="F1355" t="s">
        <v>754</v>
      </c>
    </row>
    <row r="1356" spans="1:6" x14ac:dyDescent="0.25">
      <c r="A1356" t="s">
        <v>876</v>
      </c>
      <c r="B1356" t="s">
        <v>43</v>
      </c>
      <c r="C1356" s="52">
        <v>44689</v>
      </c>
      <c r="D1356" s="20" t="s">
        <v>2717</v>
      </c>
      <c r="E1356" t="s">
        <v>877</v>
      </c>
      <c r="F1356" t="s">
        <v>754</v>
      </c>
    </row>
    <row r="1357" spans="1:6" x14ac:dyDescent="0.25">
      <c r="A1357" t="s">
        <v>878</v>
      </c>
      <c r="B1357" t="s">
        <v>1031</v>
      </c>
      <c r="C1357" s="52">
        <v>44689</v>
      </c>
      <c r="D1357" s="20">
        <v>0.73990740740740701</v>
      </c>
      <c r="E1357" t="s">
        <v>901</v>
      </c>
      <c r="F1357" t="s">
        <v>754</v>
      </c>
    </row>
    <row r="1358" spans="1:6" x14ac:dyDescent="0.25">
      <c r="A1358" t="s">
        <v>876</v>
      </c>
      <c r="B1358" t="s">
        <v>43</v>
      </c>
      <c r="C1358" s="52">
        <v>44689</v>
      </c>
      <c r="D1358" s="20" t="s">
        <v>2718</v>
      </c>
      <c r="E1358" t="s">
        <v>877</v>
      </c>
      <c r="F1358" t="s">
        <v>754</v>
      </c>
    </row>
    <row r="1359" spans="1:6" x14ac:dyDescent="0.25">
      <c r="A1359" t="s">
        <v>878</v>
      </c>
      <c r="B1359" t="s">
        <v>1031</v>
      </c>
      <c r="C1359" s="52">
        <v>44689</v>
      </c>
      <c r="D1359" s="20">
        <v>0.80437499999999995</v>
      </c>
      <c r="E1359" t="s">
        <v>743</v>
      </c>
      <c r="F1359" t="s">
        <v>754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5A3F-CA59-4332-9566-7DEC1FA31A0C}">
  <dimension ref="A3:W692"/>
  <sheetViews>
    <sheetView tabSelected="1" topLeftCell="H698" workbookViewId="0">
      <selection activeCell="S717" sqref="S717"/>
    </sheetView>
    <sheetView topLeftCell="H1" workbookViewId="1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3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3" outlineLevel="2" x14ac:dyDescent="0.25">
      <c r="A4" s="8" t="s">
        <v>82</v>
      </c>
      <c r="B4" s="8" t="s">
        <v>83</v>
      </c>
      <c r="C4" s="8">
        <v>30</v>
      </c>
      <c r="D4" s="8" t="s">
        <v>84</v>
      </c>
      <c r="E4" s="8">
        <v>184</v>
      </c>
      <c r="F4" s="8" t="s">
        <v>85</v>
      </c>
      <c r="G4" s="8">
        <v>8651</v>
      </c>
      <c r="H4" s="8" t="s">
        <v>38</v>
      </c>
      <c r="I4" s="8">
        <v>1000008651</v>
      </c>
      <c r="J4" s="8">
        <v>29426650</v>
      </c>
      <c r="K4" s="8" t="s">
        <v>1638</v>
      </c>
      <c r="L4" s="8" t="s">
        <v>752</v>
      </c>
      <c r="M4" s="8" t="s">
        <v>88</v>
      </c>
      <c r="N4" s="8">
        <v>44.5</v>
      </c>
      <c r="O4" s="8">
        <v>14.22</v>
      </c>
      <c r="P4" s="8">
        <v>2.2799999999999998</v>
      </c>
      <c r="Q4" s="8">
        <v>4.2561999999999998</v>
      </c>
      <c r="R4" s="8">
        <v>0.68100000000000005</v>
      </c>
      <c r="S4" s="8" t="s">
        <v>475</v>
      </c>
      <c r="T4" s="8">
        <v>6</v>
      </c>
      <c r="U4" s="8" t="s">
        <v>89</v>
      </c>
      <c r="V4" s="8"/>
      <c r="W4" t="s">
        <v>754</v>
      </c>
    </row>
    <row r="5" spans="1:23" outlineLevel="2" x14ac:dyDescent="0.25">
      <c r="A5" t="s">
        <v>82</v>
      </c>
      <c r="B5" t="s">
        <v>83</v>
      </c>
      <c r="C5">
        <v>30</v>
      </c>
      <c r="D5" t="s">
        <v>84</v>
      </c>
      <c r="E5">
        <v>184</v>
      </c>
      <c r="F5" t="s">
        <v>85</v>
      </c>
      <c r="G5">
        <v>8651</v>
      </c>
      <c r="H5" t="s">
        <v>38</v>
      </c>
      <c r="I5">
        <v>1000008651</v>
      </c>
      <c r="J5">
        <v>29429071</v>
      </c>
      <c r="K5" t="s">
        <v>1662</v>
      </c>
      <c r="L5" t="s">
        <v>752</v>
      </c>
      <c r="M5" t="s">
        <v>88</v>
      </c>
      <c r="N5">
        <v>54.5</v>
      </c>
      <c r="O5">
        <v>14.22</v>
      </c>
      <c r="P5">
        <v>2.2799999999999998</v>
      </c>
      <c r="Q5">
        <v>4.2561999999999998</v>
      </c>
      <c r="R5">
        <v>0.68100000000000005</v>
      </c>
      <c r="S5" t="s">
        <v>1526</v>
      </c>
      <c r="T5">
        <v>6</v>
      </c>
      <c r="U5" t="s">
        <v>89</v>
      </c>
      <c r="W5" t="s">
        <v>754</v>
      </c>
    </row>
    <row r="6" spans="1:23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8651</v>
      </c>
      <c r="H6" t="s">
        <v>38</v>
      </c>
      <c r="I6">
        <v>1000008651</v>
      </c>
      <c r="J6">
        <v>29429097</v>
      </c>
      <c r="K6" t="s">
        <v>1663</v>
      </c>
      <c r="L6" t="s">
        <v>752</v>
      </c>
      <c r="M6" t="s">
        <v>88</v>
      </c>
      <c r="N6">
        <v>138.5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1528</v>
      </c>
      <c r="T6">
        <v>6</v>
      </c>
      <c r="U6" t="s">
        <v>89</v>
      </c>
      <c r="W6" t="s">
        <v>754</v>
      </c>
    </row>
    <row r="7" spans="1:23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8651</v>
      </c>
      <c r="H7" t="s">
        <v>38</v>
      </c>
      <c r="I7">
        <v>1000008651</v>
      </c>
      <c r="J7">
        <v>29429117</v>
      </c>
      <c r="K7" t="s">
        <v>1664</v>
      </c>
      <c r="L7" t="s">
        <v>752</v>
      </c>
      <c r="M7" t="s">
        <v>88</v>
      </c>
      <c r="N7">
        <v>698.5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591</v>
      </c>
      <c r="T7">
        <v>6</v>
      </c>
      <c r="U7" t="s">
        <v>89</v>
      </c>
      <c r="W7" t="s">
        <v>754</v>
      </c>
    </row>
    <row r="8" spans="1:23" outlineLevel="2" x14ac:dyDescent="0.25">
      <c r="A8" t="s">
        <v>82</v>
      </c>
      <c r="B8" t="s">
        <v>83</v>
      </c>
      <c r="C8">
        <v>30</v>
      </c>
      <c r="D8" t="s">
        <v>84</v>
      </c>
      <c r="E8">
        <v>184</v>
      </c>
      <c r="F8" t="s">
        <v>85</v>
      </c>
      <c r="G8">
        <v>8651</v>
      </c>
      <c r="H8" t="s">
        <v>38</v>
      </c>
      <c r="I8">
        <v>1000008651</v>
      </c>
      <c r="J8">
        <v>29443739</v>
      </c>
      <c r="K8" t="s">
        <v>1759</v>
      </c>
      <c r="L8" t="s">
        <v>752</v>
      </c>
      <c r="M8" t="s">
        <v>88</v>
      </c>
      <c r="N8">
        <v>178.5</v>
      </c>
      <c r="O8">
        <v>14.22</v>
      </c>
      <c r="P8">
        <v>2.2799999999999998</v>
      </c>
      <c r="Q8">
        <v>4.2561999999999998</v>
      </c>
      <c r="R8">
        <v>0.68100000000000005</v>
      </c>
      <c r="S8" t="s">
        <v>1345</v>
      </c>
      <c r="T8">
        <v>6</v>
      </c>
      <c r="U8" t="s">
        <v>89</v>
      </c>
      <c r="W8" t="s">
        <v>754</v>
      </c>
    </row>
    <row r="9" spans="1:23" outlineLevel="2" x14ac:dyDescent="0.25">
      <c r="A9" t="s">
        <v>82</v>
      </c>
      <c r="B9" t="s">
        <v>83</v>
      </c>
      <c r="C9">
        <v>30</v>
      </c>
      <c r="D9" t="s">
        <v>84</v>
      </c>
      <c r="E9">
        <v>184</v>
      </c>
      <c r="F9" t="s">
        <v>85</v>
      </c>
      <c r="G9">
        <v>8651</v>
      </c>
      <c r="H9" t="s">
        <v>38</v>
      </c>
      <c r="I9">
        <v>1000008651</v>
      </c>
      <c r="J9">
        <v>29445159</v>
      </c>
      <c r="K9" t="s">
        <v>1778</v>
      </c>
      <c r="L9" t="s">
        <v>752</v>
      </c>
      <c r="M9" t="s">
        <v>88</v>
      </c>
      <c r="N9">
        <v>392.5</v>
      </c>
      <c r="O9">
        <v>14.22</v>
      </c>
      <c r="P9">
        <v>2.2799999999999998</v>
      </c>
      <c r="Q9">
        <v>4.2561999999999998</v>
      </c>
      <c r="R9">
        <v>0.68100000000000005</v>
      </c>
      <c r="S9" t="s">
        <v>1347</v>
      </c>
      <c r="T9">
        <v>6</v>
      </c>
      <c r="U9" t="s">
        <v>89</v>
      </c>
      <c r="W9" t="s">
        <v>754</v>
      </c>
    </row>
    <row r="10" spans="1:23" outlineLevel="2" x14ac:dyDescent="0.25">
      <c r="A10" t="s">
        <v>82</v>
      </c>
      <c r="B10" t="s">
        <v>83</v>
      </c>
      <c r="C10">
        <v>30</v>
      </c>
      <c r="D10" t="s">
        <v>84</v>
      </c>
      <c r="E10">
        <v>184</v>
      </c>
      <c r="F10" t="s">
        <v>85</v>
      </c>
      <c r="G10">
        <v>8651</v>
      </c>
      <c r="H10" t="s">
        <v>38</v>
      </c>
      <c r="I10">
        <v>1000008651</v>
      </c>
      <c r="J10">
        <v>29450537</v>
      </c>
      <c r="K10" t="s">
        <v>1811</v>
      </c>
      <c r="L10" t="s">
        <v>752</v>
      </c>
      <c r="M10" t="s">
        <v>88</v>
      </c>
      <c r="N10">
        <v>106.5</v>
      </c>
      <c r="O10">
        <v>14.22</v>
      </c>
      <c r="P10">
        <v>2.2799999999999998</v>
      </c>
      <c r="Q10">
        <v>4.2561999999999998</v>
      </c>
      <c r="R10">
        <v>0.68100000000000005</v>
      </c>
      <c r="S10" t="s">
        <v>1033</v>
      </c>
      <c r="T10">
        <v>6</v>
      </c>
      <c r="U10" t="s">
        <v>89</v>
      </c>
      <c r="W10" t="s">
        <v>754</v>
      </c>
    </row>
    <row r="11" spans="1:23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8651</v>
      </c>
      <c r="H11" t="s">
        <v>38</v>
      </c>
      <c r="I11">
        <v>1000008651</v>
      </c>
      <c r="J11">
        <v>29459734</v>
      </c>
      <c r="K11" t="s">
        <v>1853</v>
      </c>
      <c r="L11" t="s">
        <v>752</v>
      </c>
      <c r="M11" t="s">
        <v>88</v>
      </c>
      <c r="N11">
        <v>153.5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1035</v>
      </c>
      <c r="T11">
        <v>6</v>
      </c>
      <c r="U11" t="s">
        <v>89</v>
      </c>
      <c r="W11" t="s">
        <v>754</v>
      </c>
    </row>
    <row r="12" spans="1:23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8651</v>
      </c>
      <c r="H12" t="s">
        <v>38</v>
      </c>
      <c r="I12">
        <v>1000008651</v>
      </c>
      <c r="J12">
        <v>29459889</v>
      </c>
      <c r="K12" t="s">
        <v>1854</v>
      </c>
      <c r="L12" t="s">
        <v>752</v>
      </c>
      <c r="M12" t="s">
        <v>88</v>
      </c>
      <c r="N12">
        <v>799.5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1037</v>
      </c>
      <c r="T12">
        <v>6</v>
      </c>
      <c r="U12" t="s">
        <v>89</v>
      </c>
      <c r="W12" t="s">
        <v>754</v>
      </c>
    </row>
    <row r="13" spans="1:23" outlineLevel="2" x14ac:dyDescent="0.25">
      <c r="A13" t="s">
        <v>82</v>
      </c>
      <c r="B13" t="s">
        <v>83</v>
      </c>
      <c r="C13">
        <v>30</v>
      </c>
      <c r="D13" t="s">
        <v>84</v>
      </c>
      <c r="E13">
        <v>184</v>
      </c>
      <c r="F13" t="s">
        <v>85</v>
      </c>
      <c r="G13">
        <v>8651</v>
      </c>
      <c r="H13" t="s">
        <v>38</v>
      </c>
      <c r="I13">
        <v>1000008651</v>
      </c>
      <c r="J13">
        <v>29468794</v>
      </c>
      <c r="K13" t="s">
        <v>1911</v>
      </c>
      <c r="L13" t="s">
        <v>752</v>
      </c>
      <c r="M13" t="s">
        <v>88</v>
      </c>
      <c r="N13">
        <v>110.5</v>
      </c>
      <c r="O13">
        <v>14.22</v>
      </c>
      <c r="P13">
        <v>2.2799999999999998</v>
      </c>
      <c r="Q13">
        <v>4.2561999999999998</v>
      </c>
      <c r="R13">
        <v>0.68100000000000005</v>
      </c>
      <c r="S13" t="s">
        <v>1039</v>
      </c>
      <c r="T13">
        <v>6</v>
      </c>
      <c r="U13" t="s">
        <v>89</v>
      </c>
      <c r="W13" t="s">
        <v>754</v>
      </c>
    </row>
    <row r="14" spans="1:23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8651</v>
      </c>
      <c r="H14" t="s">
        <v>38</v>
      </c>
      <c r="I14">
        <v>1000008651</v>
      </c>
      <c r="J14">
        <v>29470227</v>
      </c>
      <c r="K14" t="s">
        <v>1937</v>
      </c>
      <c r="L14" t="s">
        <v>752</v>
      </c>
      <c r="M14" t="s">
        <v>88</v>
      </c>
      <c r="N14">
        <v>177.5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2721</v>
      </c>
      <c r="T14">
        <v>6</v>
      </c>
      <c r="U14" t="s">
        <v>89</v>
      </c>
      <c r="W14" t="s">
        <v>754</v>
      </c>
    </row>
    <row r="15" spans="1:23" outlineLevel="2" x14ac:dyDescent="0.25">
      <c r="A15" t="s">
        <v>82</v>
      </c>
      <c r="B15" t="s">
        <v>83</v>
      </c>
      <c r="C15">
        <v>30</v>
      </c>
      <c r="D15" t="s">
        <v>84</v>
      </c>
      <c r="E15">
        <v>184</v>
      </c>
      <c r="F15" t="s">
        <v>85</v>
      </c>
      <c r="G15">
        <v>8651</v>
      </c>
      <c r="H15" t="s">
        <v>38</v>
      </c>
      <c r="I15">
        <v>1000008651</v>
      </c>
      <c r="J15">
        <v>29474154</v>
      </c>
      <c r="K15" t="s">
        <v>2014</v>
      </c>
      <c r="L15" t="s">
        <v>753</v>
      </c>
      <c r="M15" t="s">
        <v>88</v>
      </c>
      <c r="N15">
        <v>180.5</v>
      </c>
      <c r="O15">
        <v>14.22</v>
      </c>
      <c r="P15">
        <v>2.2799999999999998</v>
      </c>
      <c r="Q15">
        <v>4.2561999999999998</v>
      </c>
      <c r="R15">
        <v>0.68100000000000005</v>
      </c>
      <c r="S15" t="s">
        <v>2723</v>
      </c>
      <c r="T15">
        <v>6</v>
      </c>
      <c r="U15" t="s">
        <v>89</v>
      </c>
      <c r="W15" t="s">
        <v>754</v>
      </c>
    </row>
    <row r="16" spans="1:23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8651</v>
      </c>
      <c r="H16" t="s">
        <v>38</v>
      </c>
      <c r="I16">
        <v>1000008651</v>
      </c>
      <c r="J16">
        <v>29474420</v>
      </c>
      <c r="K16" t="s">
        <v>2016</v>
      </c>
      <c r="L16" t="s">
        <v>752</v>
      </c>
      <c r="M16" t="s">
        <v>88</v>
      </c>
      <c r="N16">
        <v>85.5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2725</v>
      </c>
      <c r="T16">
        <v>6</v>
      </c>
      <c r="U16" t="s">
        <v>89</v>
      </c>
      <c r="W16" t="s">
        <v>754</v>
      </c>
    </row>
    <row r="17" spans="1:23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8651</v>
      </c>
      <c r="H17" t="s">
        <v>38</v>
      </c>
      <c r="I17">
        <v>1000008651</v>
      </c>
      <c r="J17">
        <v>29475243</v>
      </c>
      <c r="K17" t="s">
        <v>2027</v>
      </c>
      <c r="L17" t="s">
        <v>752</v>
      </c>
      <c r="M17" t="s">
        <v>88</v>
      </c>
      <c r="N17">
        <v>103.5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2727</v>
      </c>
      <c r="T17">
        <v>6</v>
      </c>
      <c r="U17" t="s">
        <v>89</v>
      </c>
      <c r="W17" t="s">
        <v>754</v>
      </c>
    </row>
    <row r="18" spans="1:23" outlineLevel="2" x14ac:dyDescent="0.25">
      <c r="A18" t="s">
        <v>82</v>
      </c>
      <c r="B18" t="s">
        <v>83</v>
      </c>
      <c r="C18">
        <v>30</v>
      </c>
      <c r="D18" t="s">
        <v>84</v>
      </c>
      <c r="E18">
        <v>184</v>
      </c>
      <c r="F18" t="s">
        <v>85</v>
      </c>
      <c r="G18">
        <v>8651</v>
      </c>
      <c r="H18" t="s">
        <v>38</v>
      </c>
      <c r="I18">
        <v>1000008651</v>
      </c>
      <c r="J18">
        <v>29484223</v>
      </c>
      <c r="K18" t="s">
        <v>2137</v>
      </c>
      <c r="L18" t="s">
        <v>752</v>
      </c>
      <c r="M18" t="s">
        <v>88</v>
      </c>
      <c r="N18">
        <v>189.5</v>
      </c>
      <c r="O18">
        <v>14.22</v>
      </c>
      <c r="P18">
        <v>2.2799999999999998</v>
      </c>
      <c r="Q18">
        <v>4.2561999999999998</v>
      </c>
      <c r="R18">
        <v>0.68100000000000005</v>
      </c>
      <c r="S18" t="s">
        <v>2729</v>
      </c>
      <c r="T18">
        <v>6</v>
      </c>
      <c r="U18" t="s">
        <v>89</v>
      </c>
      <c r="W18" t="s">
        <v>754</v>
      </c>
    </row>
    <row r="19" spans="1:23" outlineLevel="2" x14ac:dyDescent="0.25">
      <c r="A19" t="s">
        <v>82</v>
      </c>
      <c r="B19" t="s">
        <v>83</v>
      </c>
      <c r="C19">
        <v>30</v>
      </c>
      <c r="D19" t="s">
        <v>84</v>
      </c>
      <c r="E19">
        <v>184</v>
      </c>
      <c r="F19" t="s">
        <v>85</v>
      </c>
      <c r="G19">
        <v>8651</v>
      </c>
      <c r="H19" t="s">
        <v>38</v>
      </c>
      <c r="I19">
        <v>1000008651</v>
      </c>
      <c r="J19">
        <v>29494486</v>
      </c>
      <c r="K19" t="s">
        <v>2211</v>
      </c>
      <c r="L19" t="s">
        <v>753</v>
      </c>
      <c r="M19" t="s">
        <v>88</v>
      </c>
      <c r="N19">
        <v>102.5</v>
      </c>
      <c r="O19">
        <v>14.22</v>
      </c>
      <c r="P19">
        <v>2.2799999999999998</v>
      </c>
      <c r="Q19">
        <v>4.2561999999999998</v>
      </c>
      <c r="R19">
        <v>0.68100000000000005</v>
      </c>
      <c r="S19" t="s">
        <v>2731</v>
      </c>
      <c r="T19">
        <v>6</v>
      </c>
      <c r="U19" t="s">
        <v>89</v>
      </c>
      <c r="W19" t="s">
        <v>754</v>
      </c>
    </row>
    <row r="20" spans="1:23" outlineLevel="2" x14ac:dyDescent="0.25">
      <c r="A20" t="s">
        <v>82</v>
      </c>
      <c r="B20" t="s">
        <v>83</v>
      </c>
      <c r="C20">
        <v>30</v>
      </c>
      <c r="D20" t="s">
        <v>84</v>
      </c>
      <c r="E20">
        <v>184</v>
      </c>
      <c r="F20" t="s">
        <v>85</v>
      </c>
      <c r="G20">
        <v>8651</v>
      </c>
      <c r="H20" t="s">
        <v>38</v>
      </c>
      <c r="I20">
        <v>1000008651</v>
      </c>
      <c r="J20">
        <v>29495255</v>
      </c>
      <c r="K20" t="s">
        <v>2220</v>
      </c>
      <c r="L20" t="s">
        <v>752</v>
      </c>
      <c r="M20" t="s">
        <v>88</v>
      </c>
      <c r="N20">
        <v>44.5</v>
      </c>
      <c r="O20">
        <v>14.22</v>
      </c>
      <c r="P20">
        <v>2.2799999999999998</v>
      </c>
      <c r="Q20">
        <v>4.2561999999999998</v>
      </c>
      <c r="R20">
        <v>0.68100000000000005</v>
      </c>
      <c r="S20" t="s">
        <v>650</v>
      </c>
      <c r="T20">
        <v>6</v>
      </c>
      <c r="U20" t="s">
        <v>89</v>
      </c>
      <c r="W20" t="s">
        <v>754</v>
      </c>
    </row>
    <row r="21" spans="1:23" outlineLevel="2" x14ac:dyDescent="0.25">
      <c r="A21" s="8" t="s">
        <v>82</v>
      </c>
      <c r="B21" s="8" t="s">
        <v>83</v>
      </c>
      <c r="C21" s="8">
        <v>30</v>
      </c>
      <c r="D21" s="8" t="s">
        <v>84</v>
      </c>
      <c r="E21" s="8">
        <v>184</v>
      </c>
      <c r="F21" s="8" t="s">
        <v>85</v>
      </c>
      <c r="G21" s="8">
        <v>8651</v>
      </c>
      <c r="H21" s="8" t="s">
        <v>38</v>
      </c>
      <c r="I21" s="8">
        <v>1000008651</v>
      </c>
      <c r="J21" s="8">
        <v>29503954</v>
      </c>
      <c r="K21" s="8" t="s">
        <v>2279</v>
      </c>
      <c r="L21" s="8" t="s">
        <v>752</v>
      </c>
      <c r="M21" s="8" t="s">
        <v>88</v>
      </c>
      <c r="N21" s="8">
        <v>101.5</v>
      </c>
      <c r="O21" s="8">
        <v>14.22</v>
      </c>
      <c r="P21" s="8">
        <v>2.2799999999999998</v>
      </c>
      <c r="Q21" s="8">
        <v>4.2561999999999998</v>
      </c>
      <c r="R21" s="8">
        <v>0.68100000000000005</v>
      </c>
      <c r="S21" s="8" t="s">
        <v>3497</v>
      </c>
      <c r="T21" s="8">
        <v>6</v>
      </c>
      <c r="U21" s="8" t="s">
        <v>89</v>
      </c>
      <c r="V21" s="8"/>
      <c r="W21" t="s">
        <v>754</v>
      </c>
    </row>
    <row r="22" spans="1:23" outlineLevel="2" x14ac:dyDescent="0.25">
      <c r="A22" t="s">
        <v>82</v>
      </c>
      <c r="B22" t="s">
        <v>83</v>
      </c>
      <c r="C22">
        <v>30</v>
      </c>
      <c r="D22" t="s">
        <v>84</v>
      </c>
      <c r="E22">
        <v>184</v>
      </c>
      <c r="F22" t="s">
        <v>85</v>
      </c>
      <c r="G22">
        <v>8651</v>
      </c>
      <c r="H22" t="s">
        <v>38</v>
      </c>
      <c r="I22">
        <v>1000008651</v>
      </c>
      <c r="J22">
        <v>29504325</v>
      </c>
      <c r="K22" t="s">
        <v>2281</v>
      </c>
      <c r="L22" t="s">
        <v>752</v>
      </c>
      <c r="M22" t="s">
        <v>88</v>
      </c>
      <c r="N22">
        <v>70.5</v>
      </c>
      <c r="O22">
        <v>14.22</v>
      </c>
      <c r="P22">
        <v>2.2799999999999998</v>
      </c>
      <c r="Q22">
        <v>4.2561999999999998</v>
      </c>
      <c r="R22">
        <v>0.68100000000000005</v>
      </c>
      <c r="S22" t="s">
        <v>2734</v>
      </c>
      <c r="T22">
        <v>6</v>
      </c>
      <c r="U22" t="s">
        <v>89</v>
      </c>
      <c r="W22" t="s">
        <v>754</v>
      </c>
    </row>
    <row r="23" spans="1:23" outlineLevel="2" x14ac:dyDescent="0.25">
      <c r="A23" t="s">
        <v>82</v>
      </c>
      <c r="B23" t="s">
        <v>83</v>
      </c>
      <c r="C23">
        <v>30</v>
      </c>
      <c r="D23" t="s">
        <v>84</v>
      </c>
      <c r="E23">
        <v>184</v>
      </c>
      <c r="F23" t="s">
        <v>85</v>
      </c>
      <c r="G23">
        <v>8652</v>
      </c>
      <c r="H23" t="s">
        <v>40</v>
      </c>
      <c r="I23">
        <v>1000008652</v>
      </c>
      <c r="J23">
        <v>29428650</v>
      </c>
      <c r="K23" t="s">
        <v>1656</v>
      </c>
      <c r="L23" t="s">
        <v>752</v>
      </c>
      <c r="M23" t="s">
        <v>88</v>
      </c>
      <c r="N23">
        <v>178.5</v>
      </c>
      <c r="O23">
        <v>14.22</v>
      </c>
      <c r="P23">
        <v>2.2799999999999998</v>
      </c>
      <c r="Q23">
        <v>4.2561999999999998</v>
      </c>
      <c r="R23">
        <v>0.68100000000000005</v>
      </c>
      <c r="S23" t="s">
        <v>341</v>
      </c>
      <c r="T23">
        <v>6</v>
      </c>
      <c r="U23" t="s">
        <v>89</v>
      </c>
      <c r="W23" t="s">
        <v>754</v>
      </c>
    </row>
    <row r="24" spans="1:23" outlineLevel="2" x14ac:dyDescent="0.25">
      <c r="A24" t="s">
        <v>82</v>
      </c>
      <c r="B24" t="s">
        <v>83</v>
      </c>
      <c r="C24">
        <v>30</v>
      </c>
      <c r="D24" t="s">
        <v>84</v>
      </c>
      <c r="E24">
        <v>184</v>
      </c>
      <c r="F24" t="s">
        <v>85</v>
      </c>
      <c r="G24">
        <v>8652</v>
      </c>
      <c r="H24" t="s">
        <v>40</v>
      </c>
      <c r="I24">
        <v>1000008652</v>
      </c>
      <c r="J24">
        <v>29429669</v>
      </c>
      <c r="K24" t="s">
        <v>1667</v>
      </c>
      <c r="L24" t="s">
        <v>752</v>
      </c>
      <c r="M24" t="s">
        <v>88</v>
      </c>
      <c r="N24">
        <v>383.5</v>
      </c>
      <c r="O24">
        <v>14.22</v>
      </c>
      <c r="P24">
        <v>2.2799999999999998</v>
      </c>
      <c r="Q24">
        <v>4.2561999999999998</v>
      </c>
      <c r="R24">
        <v>0.68100000000000005</v>
      </c>
      <c r="S24" t="s">
        <v>1532</v>
      </c>
      <c r="T24">
        <v>6</v>
      </c>
      <c r="U24" t="s">
        <v>89</v>
      </c>
      <c r="W24" t="s">
        <v>754</v>
      </c>
    </row>
    <row r="25" spans="1:23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8652</v>
      </c>
      <c r="H25" t="s">
        <v>40</v>
      </c>
      <c r="I25">
        <v>1000008652</v>
      </c>
      <c r="J25">
        <v>29433691</v>
      </c>
      <c r="K25" t="s">
        <v>1695</v>
      </c>
      <c r="L25" t="s">
        <v>753</v>
      </c>
      <c r="M25" t="s">
        <v>88</v>
      </c>
      <c r="N25">
        <v>300.5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582</v>
      </c>
      <c r="T25">
        <v>6</v>
      </c>
      <c r="U25" t="s">
        <v>89</v>
      </c>
      <c r="W25" t="s">
        <v>754</v>
      </c>
    </row>
    <row r="26" spans="1:23" outlineLevel="2" x14ac:dyDescent="0.25">
      <c r="A26" t="s">
        <v>82</v>
      </c>
      <c r="B26" t="s">
        <v>83</v>
      </c>
      <c r="C26">
        <v>30</v>
      </c>
      <c r="D26" t="s">
        <v>84</v>
      </c>
      <c r="E26">
        <v>184</v>
      </c>
      <c r="F26" t="s">
        <v>85</v>
      </c>
      <c r="G26">
        <v>8652</v>
      </c>
      <c r="H26" t="s">
        <v>40</v>
      </c>
      <c r="I26">
        <v>1000008652</v>
      </c>
      <c r="J26">
        <v>29447610</v>
      </c>
      <c r="K26" t="s">
        <v>1787</v>
      </c>
      <c r="L26" t="s">
        <v>752</v>
      </c>
      <c r="M26" t="s">
        <v>88</v>
      </c>
      <c r="N26">
        <v>99.5</v>
      </c>
      <c r="O26">
        <v>14.22</v>
      </c>
      <c r="P26">
        <v>2.2799999999999998</v>
      </c>
      <c r="Q26">
        <v>4.2561999999999998</v>
      </c>
      <c r="R26">
        <v>0.68100000000000005</v>
      </c>
      <c r="S26" t="s">
        <v>1349</v>
      </c>
      <c r="T26">
        <v>6</v>
      </c>
      <c r="U26" t="s">
        <v>89</v>
      </c>
      <c r="W26" t="s">
        <v>754</v>
      </c>
    </row>
    <row r="27" spans="1:23" outlineLevel="2" x14ac:dyDescent="0.25">
      <c r="A27" t="s">
        <v>82</v>
      </c>
      <c r="B27" t="s">
        <v>83</v>
      </c>
      <c r="C27">
        <v>30</v>
      </c>
      <c r="D27" t="s">
        <v>84</v>
      </c>
      <c r="E27">
        <v>184</v>
      </c>
      <c r="F27" t="s">
        <v>85</v>
      </c>
      <c r="G27">
        <v>8652</v>
      </c>
      <c r="H27" t="s">
        <v>40</v>
      </c>
      <c r="I27">
        <v>1000008652</v>
      </c>
      <c r="J27">
        <v>29449210</v>
      </c>
      <c r="K27" t="s">
        <v>1795</v>
      </c>
      <c r="L27" t="s">
        <v>752</v>
      </c>
      <c r="M27" t="s">
        <v>88</v>
      </c>
      <c r="N27">
        <v>53.5</v>
      </c>
      <c r="O27">
        <v>14.22</v>
      </c>
      <c r="P27">
        <v>2.2799999999999998</v>
      </c>
      <c r="Q27">
        <v>4.2561999999999998</v>
      </c>
      <c r="R27">
        <v>0.68100000000000005</v>
      </c>
      <c r="S27" t="s">
        <v>1351</v>
      </c>
      <c r="T27">
        <v>6</v>
      </c>
      <c r="U27" t="s">
        <v>89</v>
      </c>
      <c r="W27" t="s">
        <v>754</v>
      </c>
    </row>
    <row r="28" spans="1:23" outlineLevel="2" x14ac:dyDescent="0.25">
      <c r="A28" t="s">
        <v>82</v>
      </c>
      <c r="B28" t="s">
        <v>83</v>
      </c>
      <c r="C28">
        <v>30</v>
      </c>
      <c r="D28" t="s">
        <v>84</v>
      </c>
      <c r="E28">
        <v>184</v>
      </c>
      <c r="F28" t="s">
        <v>85</v>
      </c>
      <c r="G28">
        <v>8652</v>
      </c>
      <c r="H28" t="s">
        <v>40</v>
      </c>
      <c r="I28">
        <v>1000008652</v>
      </c>
      <c r="J28">
        <v>29469954</v>
      </c>
      <c r="K28" t="s">
        <v>1935</v>
      </c>
      <c r="L28" t="s">
        <v>752</v>
      </c>
      <c r="M28" t="s">
        <v>88</v>
      </c>
      <c r="N28">
        <v>105.5</v>
      </c>
      <c r="O28">
        <v>14.22</v>
      </c>
      <c r="P28">
        <v>2.2799999999999998</v>
      </c>
      <c r="Q28">
        <v>4.2561999999999998</v>
      </c>
      <c r="R28">
        <v>0.68100000000000005</v>
      </c>
      <c r="S28" t="s">
        <v>2736</v>
      </c>
      <c r="T28">
        <v>6</v>
      </c>
      <c r="U28" t="s">
        <v>89</v>
      </c>
      <c r="W28" t="s">
        <v>754</v>
      </c>
    </row>
    <row r="29" spans="1:23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8652</v>
      </c>
      <c r="H29" t="s">
        <v>40</v>
      </c>
      <c r="I29">
        <v>1000008652</v>
      </c>
      <c r="J29">
        <v>29472247</v>
      </c>
      <c r="K29" t="s">
        <v>1972</v>
      </c>
      <c r="L29" t="s">
        <v>752</v>
      </c>
      <c r="M29" t="s">
        <v>88</v>
      </c>
      <c r="N29">
        <v>255.5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2738</v>
      </c>
      <c r="T29">
        <v>6</v>
      </c>
      <c r="U29" t="s">
        <v>89</v>
      </c>
      <c r="W29" t="s">
        <v>754</v>
      </c>
    </row>
    <row r="30" spans="1:23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8652</v>
      </c>
      <c r="H30" t="s">
        <v>40</v>
      </c>
      <c r="I30">
        <v>1000008652</v>
      </c>
      <c r="J30">
        <v>29478416</v>
      </c>
      <c r="K30" t="s">
        <v>2073</v>
      </c>
      <c r="L30" t="s">
        <v>752</v>
      </c>
      <c r="M30" t="s">
        <v>88</v>
      </c>
      <c r="N30">
        <v>63.5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2740</v>
      </c>
      <c r="T30">
        <v>6</v>
      </c>
      <c r="U30" t="s">
        <v>89</v>
      </c>
      <c r="W30" t="s">
        <v>754</v>
      </c>
    </row>
    <row r="31" spans="1:23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8652</v>
      </c>
      <c r="H31" t="s">
        <v>40</v>
      </c>
      <c r="I31">
        <v>1000008652</v>
      </c>
      <c r="J31">
        <v>29479810</v>
      </c>
      <c r="K31" t="s">
        <v>2087</v>
      </c>
      <c r="L31" t="s">
        <v>752</v>
      </c>
      <c r="M31" t="s">
        <v>88</v>
      </c>
      <c r="N31">
        <v>500.5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2742</v>
      </c>
      <c r="T31">
        <v>6</v>
      </c>
      <c r="U31" t="s">
        <v>89</v>
      </c>
      <c r="W31" t="s">
        <v>754</v>
      </c>
    </row>
    <row r="32" spans="1:23" outlineLevel="2" x14ac:dyDescent="0.25">
      <c r="A32" t="s">
        <v>82</v>
      </c>
      <c r="B32" t="s">
        <v>83</v>
      </c>
      <c r="C32">
        <v>30</v>
      </c>
      <c r="D32" t="s">
        <v>84</v>
      </c>
      <c r="E32">
        <v>184</v>
      </c>
      <c r="F32" t="s">
        <v>85</v>
      </c>
      <c r="G32">
        <v>8652</v>
      </c>
      <c r="H32" t="s">
        <v>40</v>
      </c>
      <c r="I32">
        <v>1000008652</v>
      </c>
      <c r="J32">
        <v>29495291</v>
      </c>
      <c r="K32" t="s">
        <v>2221</v>
      </c>
      <c r="L32" t="s">
        <v>752</v>
      </c>
      <c r="M32" t="s">
        <v>88</v>
      </c>
      <c r="N32">
        <v>19.5</v>
      </c>
      <c r="O32">
        <v>14.22</v>
      </c>
      <c r="P32">
        <v>2.2799999999999998</v>
      </c>
      <c r="Q32">
        <v>4.2561999999999998</v>
      </c>
      <c r="R32">
        <v>0.68100000000000005</v>
      </c>
      <c r="S32" t="s">
        <v>2744</v>
      </c>
      <c r="T32">
        <v>6</v>
      </c>
      <c r="U32" t="s">
        <v>89</v>
      </c>
      <c r="W32" t="s">
        <v>754</v>
      </c>
    </row>
    <row r="33" spans="1:23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8652</v>
      </c>
      <c r="H33" t="s">
        <v>40</v>
      </c>
      <c r="I33">
        <v>1000008652</v>
      </c>
      <c r="J33">
        <v>29495906</v>
      </c>
      <c r="K33" t="s">
        <v>2228</v>
      </c>
      <c r="L33" t="s">
        <v>752</v>
      </c>
      <c r="M33" t="s">
        <v>88</v>
      </c>
      <c r="N33">
        <v>175.5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2746</v>
      </c>
      <c r="T33">
        <v>6</v>
      </c>
      <c r="U33" t="s">
        <v>89</v>
      </c>
      <c r="W33" t="s">
        <v>754</v>
      </c>
    </row>
    <row r="34" spans="1:23" outlineLevel="2" x14ac:dyDescent="0.25">
      <c r="A34" t="s">
        <v>82</v>
      </c>
      <c r="B34" t="s">
        <v>83</v>
      </c>
      <c r="C34">
        <v>30</v>
      </c>
      <c r="D34" t="s">
        <v>84</v>
      </c>
      <c r="E34">
        <v>184</v>
      </c>
      <c r="F34" t="s">
        <v>85</v>
      </c>
      <c r="G34">
        <v>8652</v>
      </c>
      <c r="H34" t="s">
        <v>40</v>
      </c>
      <c r="I34">
        <v>1000008652</v>
      </c>
      <c r="J34">
        <v>29500504</v>
      </c>
      <c r="K34" t="s">
        <v>2258</v>
      </c>
      <c r="L34" t="s">
        <v>752</v>
      </c>
      <c r="M34" t="s">
        <v>88</v>
      </c>
      <c r="N34">
        <v>45.5</v>
      </c>
      <c r="O34">
        <v>14.22</v>
      </c>
      <c r="P34">
        <v>2.2799999999999998</v>
      </c>
      <c r="Q34">
        <v>4.2561999999999998</v>
      </c>
      <c r="R34">
        <v>0.68100000000000005</v>
      </c>
      <c r="S34" t="s">
        <v>2748</v>
      </c>
      <c r="T34">
        <v>6</v>
      </c>
      <c r="U34" t="s">
        <v>89</v>
      </c>
      <c r="W34" t="s">
        <v>754</v>
      </c>
    </row>
    <row r="35" spans="1:23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8652</v>
      </c>
      <c r="H35" t="s">
        <v>40</v>
      </c>
      <c r="I35">
        <v>1000008652</v>
      </c>
      <c r="J35">
        <v>29504328</v>
      </c>
      <c r="K35" t="s">
        <v>2282</v>
      </c>
      <c r="L35" t="s">
        <v>752</v>
      </c>
      <c r="M35" t="s">
        <v>88</v>
      </c>
      <c r="N35">
        <v>131.5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2750</v>
      </c>
      <c r="T35">
        <v>6</v>
      </c>
      <c r="U35" t="s">
        <v>89</v>
      </c>
      <c r="W35" t="s">
        <v>754</v>
      </c>
    </row>
    <row r="36" spans="1:23" outlineLevel="2" x14ac:dyDescent="0.25">
      <c r="A36" t="s">
        <v>82</v>
      </c>
      <c r="B36" t="s">
        <v>83</v>
      </c>
      <c r="C36">
        <v>30</v>
      </c>
      <c r="D36" t="s">
        <v>84</v>
      </c>
      <c r="E36">
        <v>184</v>
      </c>
      <c r="F36" t="s">
        <v>85</v>
      </c>
      <c r="G36">
        <v>8652</v>
      </c>
      <c r="H36" t="s">
        <v>40</v>
      </c>
      <c r="I36">
        <v>1000008652</v>
      </c>
      <c r="J36">
        <v>29506748</v>
      </c>
      <c r="K36" t="s">
        <v>2298</v>
      </c>
      <c r="L36" t="s">
        <v>752</v>
      </c>
      <c r="M36" t="s">
        <v>88</v>
      </c>
      <c r="N36">
        <v>388.5</v>
      </c>
      <c r="O36">
        <v>14.22</v>
      </c>
      <c r="P36">
        <v>2.2799999999999998</v>
      </c>
      <c r="Q36">
        <v>4.2561999999999998</v>
      </c>
      <c r="R36">
        <v>0.68100000000000005</v>
      </c>
      <c r="S36" t="s">
        <v>2752</v>
      </c>
      <c r="T36">
        <v>6</v>
      </c>
      <c r="U36" t="s">
        <v>89</v>
      </c>
      <c r="W36" t="s">
        <v>754</v>
      </c>
    </row>
    <row r="37" spans="1:23" outlineLevel="2" x14ac:dyDescent="0.25">
      <c r="A37" t="s">
        <v>82</v>
      </c>
      <c r="B37" t="s">
        <v>83</v>
      </c>
      <c r="C37">
        <v>30</v>
      </c>
      <c r="D37" t="s">
        <v>84</v>
      </c>
      <c r="E37">
        <v>184</v>
      </c>
      <c r="F37" t="s">
        <v>85</v>
      </c>
      <c r="G37">
        <v>8652</v>
      </c>
      <c r="H37" t="s">
        <v>40</v>
      </c>
      <c r="I37">
        <v>1000008652</v>
      </c>
      <c r="J37">
        <v>29514386</v>
      </c>
      <c r="K37" t="s">
        <v>2322</v>
      </c>
      <c r="L37" t="s">
        <v>752</v>
      </c>
      <c r="M37" t="s">
        <v>88</v>
      </c>
      <c r="N37">
        <v>262.5</v>
      </c>
      <c r="O37">
        <v>14.22</v>
      </c>
      <c r="P37">
        <v>2.2799999999999998</v>
      </c>
      <c r="Q37">
        <v>4.2561999999999998</v>
      </c>
      <c r="R37">
        <v>0.68100000000000005</v>
      </c>
      <c r="S37" t="s">
        <v>2754</v>
      </c>
      <c r="T37">
        <v>6</v>
      </c>
      <c r="U37" t="s">
        <v>89</v>
      </c>
      <c r="W37" t="s">
        <v>754</v>
      </c>
    </row>
    <row r="38" spans="1:23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8653</v>
      </c>
      <c r="H38" t="s">
        <v>37</v>
      </c>
      <c r="I38">
        <v>1000008653</v>
      </c>
      <c r="J38">
        <v>29442963</v>
      </c>
      <c r="K38" t="s">
        <v>1754</v>
      </c>
      <c r="L38" t="s">
        <v>753</v>
      </c>
      <c r="M38" t="s">
        <v>88</v>
      </c>
      <c r="N38">
        <v>625.5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1353</v>
      </c>
      <c r="T38">
        <v>6</v>
      </c>
      <c r="U38" t="s">
        <v>89</v>
      </c>
      <c r="W38" t="s">
        <v>754</v>
      </c>
    </row>
    <row r="39" spans="1:23" outlineLevel="2" x14ac:dyDescent="0.25">
      <c r="A39" t="s">
        <v>82</v>
      </c>
      <c r="B39" t="s">
        <v>83</v>
      </c>
      <c r="C39">
        <v>30</v>
      </c>
      <c r="D39" t="s">
        <v>84</v>
      </c>
      <c r="E39">
        <v>184</v>
      </c>
      <c r="F39" t="s">
        <v>85</v>
      </c>
      <c r="G39">
        <v>8653</v>
      </c>
      <c r="H39" t="s">
        <v>37</v>
      </c>
      <c r="I39">
        <v>1000008653</v>
      </c>
      <c r="J39">
        <v>29443345</v>
      </c>
      <c r="K39" t="s">
        <v>1758</v>
      </c>
      <c r="L39" t="s">
        <v>752</v>
      </c>
      <c r="M39" t="s">
        <v>88</v>
      </c>
      <c r="N39">
        <v>1121.5</v>
      </c>
      <c r="O39">
        <v>14.22</v>
      </c>
      <c r="P39">
        <v>2.2799999999999998</v>
      </c>
      <c r="Q39">
        <v>4.2561999999999998</v>
      </c>
      <c r="R39">
        <v>0.68100000000000005</v>
      </c>
      <c r="S39" t="s">
        <v>1355</v>
      </c>
      <c r="T39">
        <v>6</v>
      </c>
      <c r="U39" t="s">
        <v>89</v>
      </c>
      <c r="W39" t="s">
        <v>754</v>
      </c>
    </row>
    <row r="40" spans="1:23" outlineLevel="2" x14ac:dyDescent="0.25">
      <c r="A40" t="s">
        <v>82</v>
      </c>
      <c r="B40" t="s">
        <v>83</v>
      </c>
      <c r="C40">
        <v>30</v>
      </c>
      <c r="D40" t="s">
        <v>84</v>
      </c>
      <c r="E40">
        <v>184</v>
      </c>
      <c r="F40" t="s">
        <v>85</v>
      </c>
      <c r="G40">
        <v>8653</v>
      </c>
      <c r="H40" t="s">
        <v>37</v>
      </c>
      <c r="I40">
        <v>1000008653</v>
      </c>
      <c r="J40">
        <v>29450139</v>
      </c>
      <c r="K40" t="s">
        <v>1805</v>
      </c>
      <c r="L40" t="s">
        <v>752</v>
      </c>
      <c r="M40" t="s">
        <v>88</v>
      </c>
      <c r="N40">
        <v>477.5</v>
      </c>
      <c r="O40">
        <v>14.22</v>
      </c>
      <c r="P40">
        <v>2.2799999999999998</v>
      </c>
      <c r="Q40">
        <v>4.2561999999999998</v>
      </c>
      <c r="R40">
        <v>0.68100000000000005</v>
      </c>
      <c r="S40" t="s">
        <v>1041</v>
      </c>
      <c r="T40">
        <v>6</v>
      </c>
      <c r="U40" t="s">
        <v>89</v>
      </c>
      <c r="W40" t="s">
        <v>754</v>
      </c>
    </row>
    <row r="41" spans="1:23" outlineLevel="2" x14ac:dyDescent="0.25">
      <c r="A41" t="s">
        <v>82</v>
      </c>
      <c r="B41" t="s">
        <v>83</v>
      </c>
      <c r="C41">
        <v>30</v>
      </c>
      <c r="D41" t="s">
        <v>84</v>
      </c>
      <c r="E41">
        <v>184</v>
      </c>
      <c r="F41" t="s">
        <v>85</v>
      </c>
      <c r="G41">
        <v>8653</v>
      </c>
      <c r="H41" t="s">
        <v>37</v>
      </c>
      <c r="I41">
        <v>1000008653</v>
      </c>
      <c r="J41">
        <v>29450148</v>
      </c>
      <c r="K41" t="s">
        <v>1806</v>
      </c>
      <c r="L41" t="s">
        <v>752</v>
      </c>
      <c r="M41" t="s">
        <v>88</v>
      </c>
      <c r="N41">
        <v>619.5</v>
      </c>
      <c r="O41">
        <v>14.22</v>
      </c>
      <c r="P41">
        <v>2.2799999999999998</v>
      </c>
      <c r="Q41">
        <v>4.2561999999999998</v>
      </c>
      <c r="R41">
        <v>0.68100000000000005</v>
      </c>
      <c r="S41" t="s">
        <v>1043</v>
      </c>
      <c r="T41">
        <v>6</v>
      </c>
      <c r="U41" t="s">
        <v>89</v>
      </c>
      <c r="W41" t="s">
        <v>754</v>
      </c>
    </row>
    <row r="42" spans="1:23" outlineLevel="2" x14ac:dyDescent="0.25">
      <c r="A42" t="s">
        <v>82</v>
      </c>
      <c r="B42" t="s">
        <v>83</v>
      </c>
      <c r="C42">
        <v>30</v>
      </c>
      <c r="D42" t="s">
        <v>84</v>
      </c>
      <c r="E42">
        <v>184</v>
      </c>
      <c r="F42" t="s">
        <v>85</v>
      </c>
      <c r="G42">
        <v>8653</v>
      </c>
      <c r="H42" t="s">
        <v>37</v>
      </c>
      <c r="I42">
        <v>1000008653</v>
      </c>
      <c r="J42">
        <v>29450160</v>
      </c>
      <c r="K42" t="s">
        <v>1807</v>
      </c>
      <c r="L42" t="s">
        <v>752</v>
      </c>
      <c r="M42" t="s">
        <v>88</v>
      </c>
      <c r="N42">
        <v>500.5</v>
      </c>
      <c r="O42">
        <v>14.22</v>
      </c>
      <c r="P42">
        <v>2.2799999999999998</v>
      </c>
      <c r="Q42">
        <v>4.2561999999999998</v>
      </c>
      <c r="R42">
        <v>0.68100000000000005</v>
      </c>
      <c r="S42" t="s">
        <v>1045</v>
      </c>
      <c r="T42">
        <v>6</v>
      </c>
      <c r="U42" t="s">
        <v>89</v>
      </c>
      <c r="W42" t="s">
        <v>754</v>
      </c>
    </row>
    <row r="43" spans="1:23" outlineLevel="2" x14ac:dyDescent="0.25">
      <c r="A43" t="s">
        <v>82</v>
      </c>
      <c r="B43" t="s">
        <v>83</v>
      </c>
      <c r="C43">
        <v>30</v>
      </c>
      <c r="D43" t="s">
        <v>84</v>
      </c>
      <c r="E43">
        <v>184</v>
      </c>
      <c r="F43" t="s">
        <v>85</v>
      </c>
      <c r="G43">
        <v>8653</v>
      </c>
      <c r="H43" t="s">
        <v>37</v>
      </c>
      <c r="I43">
        <v>1000008653</v>
      </c>
      <c r="J43">
        <v>29458546</v>
      </c>
      <c r="K43" t="s">
        <v>1845</v>
      </c>
      <c r="L43" t="s">
        <v>752</v>
      </c>
      <c r="M43" t="s">
        <v>88</v>
      </c>
      <c r="N43">
        <v>159.5</v>
      </c>
      <c r="O43">
        <v>14.22</v>
      </c>
      <c r="P43">
        <v>2.2799999999999998</v>
      </c>
      <c r="Q43">
        <v>4.2561999999999998</v>
      </c>
      <c r="R43">
        <v>0.68100000000000005</v>
      </c>
      <c r="S43" t="s">
        <v>659</v>
      </c>
      <c r="T43">
        <v>6</v>
      </c>
      <c r="U43" t="s">
        <v>89</v>
      </c>
      <c r="W43" t="s">
        <v>754</v>
      </c>
    </row>
    <row r="44" spans="1:23" outlineLevel="2" x14ac:dyDescent="0.25">
      <c r="A44" t="s">
        <v>82</v>
      </c>
      <c r="B44" t="s">
        <v>83</v>
      </c>
      <c r="C44">
        <v>30</v>
      </c>
      <c r="D44" t="s">
        <v>84</v>
      </c>
      <c r="E44">
        <v>184</v>
      </c>
      <c r="F44" t="s">
        <v>85</v>
      </c>
      <c r="G44">
        <v>8653</v>
      </c>
      <c r="H44" t="s">
        <v>37</v>
      </c>
      <c r="I44">
        <v>1000008653</v>
      </c>
      <c r="J44">
        <v>29472764</v>
      </c>
      <c r="K44" t="s">
        <v>1983</v>
      </c>
      <c r="L44" t="s">
        <v>752</v>
      </c>
      <c r="M44" t="s">
        <v>88</v>
      </c>
      <c r="N44">
        <v>87.5</v>
      </c>
      <c r="O44">
        <v>14.22</v>
      </c>
      <c r="P44">
        <v>2.2799999999999998</v>
      </c>
      <c r="Q44">
        <v>4.2561999999999998</v>
      </c>
      <c r="R44">
        <v>0.68100000000000005</v>
      </c>
      <c r="S44" t="s">
        <v>2756</v>
      </c>
      <c r="T44">
        <v>6</v>
      </c>
      <c r="U44" t="s">
        <v>89</v>
      </c>
      <c r="W44" t="s">
        <v>754</v>
      </c>
    </row>
    <row r="45" spans="1:23" outlineLevel="2" x14ac:dyDescent="0.25">
      <c r="A45" t="s">
        <v>82</v>
      </c>
      <c r="B45" t="s">
        <v>83</v>
      </c>
      <c r="C45">
        <v>30</v>
      </c>
      <c r="D45" t="s">
        <v>84</v>
      </c>
      <c r="E45">
        <v>184</v>
      </c>
      <c r="F45" t="s">
        <v>85</v>
      </c>
      <c r="G45">
        <v>8653</v>
      </c>
      <c r="H45" t="s">
        <v>37</v>
      </c>
      <c r="I45">
        <v>1000008653</v>
      </c>
      <c r="J45">
        <v>29473046</v>
      </c>
      <c r="K45" t="s">
        <v>1991</v>
      </c>
      <c r="L45" t="s">
        <v>752</v>
      </c>
      <c r="M45" t="s">
        <v>88</v>
      </c>
      <c r="N45">
        <v>219.5</v>
      </c>
      <c r="O45">
        <v>14.22</v>
      </c>
      <c r="P45">
        <v>2.2799999999999998</v>
      </c>
      <c r="Q45">
        <v>4.2561999999999998</v>
      </c>
      <c r="R45">
        <v>0.68100000000000005</v>
      </c>
      <c r="S45" t="s">
        <v>2758</v>
      </c>
      <c r="T45">
        <v>6</v>
      </c>
      <c r="U45" t="s">
        <v>89</v>
      </c>
      <c r="W45" t="s">
        <v>754</v>
      </c>
    </row>
    <row r="46" spans="1:23" outlineLevel="2" x14ac:dyDescent="0.25">
      <c r="A46" t="s">
        <v>82</v>
      </c>
      <c r="B46" t="s">
        <v>83</v>
      </c>
      <c r="C46">
        <v>30</v>
      </c>
      <c r="D46" t="s">
        <v>84</v>
      </c>
      <c r="E46">
        <v>184</v>
      </c>
      <c r="F46" t="s">
        <v>85</v>
      </c>
      <c r="G46">
        <v>8653</v>
      </c>
      <c r="H46" t="s">
        <v>37</v>
      </c>
      <c r="I46">
        <v>1000008653</v>
      </c>
      <c r="J46">
        <v>29473248</v>
      </c>
      <c r="K46" t="s">
        <v>1998</v>
      </c>
      <c r="L46" t="s">
        <v>752</v>
      </c>
      <c r="M46" t="s">
        <v>88</v>
      </c>
      <c r="N46">
        <v>134.5</v>
      </c>
      <c r="O46">
        <v>14.22</v>
      </c>
      <c r="P46">
        <v>2.2799999999999998</v>
      </c>
      <c r="Q46">
        <v>4.2561999999999998</v>
      </c>
      <c r="R46">
        <v>0.68100000000000005</v>
      </c>
      <c r="S46" t="s">
        <v>2760</v>
      </c>
      <c r="T46">
        <v>6</v>
      </c>
      <c r="U46" t="s">
        <v>89</v>
      </c>
      <c r="W46" t="s">
        <v>754</v>
      </c>
    </row>
    <row r="47" spans="1:23" outlineLevel="2" x14ac:dyDescent="0.25">
      <c r="A47" t="s">
        <v>82</v>
      </c>
      <c r="B47" t="s">
        <v>83</v>
      </c>
      <c r="C47">
        <v>30</v>
      </c>
      <c r="D47" t="s">
        <v>84</v>
      </c>
      <c r="E47">
        <v>184</v>
      </c>
      <c r="F47" t="s">
        <v>85</v>
      </c>
      <c r="G47">
        <v>8653</v>
      </c>
      <c r="H47" t="s">
        <v>37</v>
      </c>
      <c r="I47">
        <v>1000008653</v>
      </c>
      <c r="J47">
        <v>29473392</v>
      </c>
      <c r="K47" t="s">
        <v>1999</v>
      </c>
      <c r="L47" t="s">
        <v>752</v>
      </c>
      <c r="M47" t="s">
        <v>88</v>
      </c>
      <c r="N47">
        <v>84.5</v>
      </c>
      <c r="O47">
        <v>14.22</v>
      </c>
      <c r="P47">
        <v>2.2799999999999998</v>
      </c>
      <c r="Q47">
        <v>4.2561999999999998</v>
      </c>
      <c r="R47">
        <v>0.68100000000000005</v>
      </c>
      <c r="S47" t="s">
        <v>2762</v>
      </c>
      <c r="T47">
        <v>6</v>
      </c>
      <c r="U47" t="s">
        <v>89</v>
      </c>
      <c r="W47" t="s">
        <v>754</v>
      </c>
    </row>
    <row r="48" spans="1:23" outlineLevel="2" x14ac:dyDescent="0.25">
      <c r="A48" t="s">
        <v>82</v>
      </c>
      <c r="B48" t="s">
        <v>83</v>
      </c>
      <c r="C48">
        <v>30</v>
      </c>
      <c r="D48" t="s">
        <v>84</v>
      </c>
      <c r="E48">
        <v>184</v>
      </c>
      <c r="F48" t="s">
        <v>85</v>
      </c>
      <c r="G48">
        <v>8653</v>
      </c>
      <c r="H48" t="s">
        <v>37</v>
      </c>
      <c r="I48">
        <v>1000008653</v>
      </c>
      <c r="J48">
        <v>29475624</v>
      </c>
      <c r="K48" t="s">
        <v>2035</v>
      </c>
      <c r="L48" t="s">
        <v>752</v>
      </c>
      <c r="M48" t="s">
        <v>88</v>
      </c>
      <c r="N48">
        <v>164.5</v>
      </c>
      <c r="O48">
        <v>14.22</v>
      </c>
      <c r="P48">
        <v>2.2799999999999998</v>
      </c>
      <c r="Q48">
        <v>4.2561999999999998</v>
      </c>
      <c r="R48">
        <v>0.68100000000000005</v>
      </c>
      <c r="S48" t="s">
        <v>2764</v>
      </c>
      <c r="T48">
        <v>6</v>
      </c>
      <c r="U48" t="s">
        <v>89</v>
      </c>
      <c r="W48" t="s">
        <v>754</v>
      </c>
    </row>
    <row r="49" spans="1:23" outlineLevel="2" x14ac:dyDescent="0.25">
      <c r="A49" t="s">
        <v>82</v>
      </c>
      <c r="B49" t="s">
        <v>83</v>
      </c>
      <c r="C49">
        <v>30</v>
      </c>
      <c r="D49" t="s">
        <v>84</v>
      </c>
      <c r="E49">
        <v>184</v>
      </c>
      <c r="F49" t="s">
        <v>85</v>
      </c>
      <c r="G49">
        <v>8653</v>
      </c>
      <c r="H49" t="s">
        <v>37</v>
      </c>
      <c r="I49">
        <v>1000008653</v>
      </c>
      <c r="J49">
        <v>29476167</v>
      </c>
      <c r="K49" t="s">
        <v>2042</v>
      </c>
      <c r="L49" t="s">
        <v>752</v>
      </c>
      <c r="M49" t="s">
        <v>88</v>
      </c>
      <c r="N49">
        <v>966.5</v>
      </c>
      <c r="O49">
        <v>14.22</v>
      </c>
      <c r="P49">
        <v>2.2799999999999998</v>
      </c>
      <c r="Q49">
        <v>4.2561999999999998</v>
      </c>
      <c r="R49">
        <v>0.68100000000000005</v>
      </c>
      <c r="S49" t="s">
        <v>2766</v>
      </c>
      <c r="T49">
        <v>6</v>
      </c>
      <c r="U49" t="s">
        <v>89</v>
      </c>
      <c r="W49" t="s">
        <v>754</v>
      </c>
    </row>
    <row r="50" spans="1:23" outlineLevel="2" x14ac:dyDescent="0.25">
      <c r="A50" t="s">
        <v>82</v>
      </c>
      <c r="B50" t="s">
        <v>83</v>
      </c>
      <c r="C50">
        <v>30</v>
      </c>
      <c r="D50" t="s">
        <v>84</v>
      </c>
      <c r="E50">
        <v>184</v>
      </c>
      <c r="F50" t="s">
        <v>85</v>
      </c>
      <c r="G50">
        <v>8653</v>
      </c>
      <c r="H50" t="s">
        <v>37</v>
      </c>
      <c r="I50">
        <v>1000008653</v>
      </c>
      <c r="J50">
        <v>29476449</v>
      </c>
      <c r="K50" t="s">
        <v>2047</v>
      </c>
      <c r="L50" t="s">
        <v>752</v>
      </c>
      <c r="M50" t="s">
        <v>88</v>
      </c>
      <c r="N50">
        <v>193.5</v>
      </c>
      <c r="O50">
        <v>14.22</v>
      </c>
      <c r="P50">
        <v>2.2799999999999998</v>
      </c>
      <c r="Q50">
        <v>4.2561999999999998</v>
      </c>
      <c r="R50">
        <v>0.68100000000000005</v>
      </c>
      <c r="S50" t="s">
        <v>651</v>
      </c>
      <c r="T50">
        <v>6</v>
      </c>
      <c r="U50" t="s">
        <v>89</v>
      </c>
      <c r="W50" t="s">
        <v>754</v>
      </c>
    </row>
    <row r="51" spans="1:23" outlineLevel="2" x14ac:dyDescent="0.25">
      <c r="A51" t="s">
        <v>82</v>
      </c>
      <c r="B51" t="s">
        <v>83</v>
      </c>
      <c r="C51">
        <v>30</v>
      </c>
      <c r="D51" t="s">
        <v>84</v>
      </c>
      <c r="E51">
        <v>184</v>
      </c>
      <c r="F51" t="s">
        <v>85</v>
      </c>
      <c r="G51">
        <v>8653</v>
      </c>
      <c r="H51" t="s">
        <v>37</v>
      </c>
      <c r="I51">
        <v>1000008653</v>
      </c>
      <c r="J51">
        <v>29478061</v>
      </c>
      <c r="K51" t="s">
        <v>2067</v>
      </c>
      <c r="L51" t="s">
        <v>752</v>
      </c>
      <c r="M51" t="s">
        <v>88</v>
      </c>
      <c r="N51">
        <v>751.5</v>
      </c>
      <c r="O51">
        <v>14.22</v>
      </c>
      <c r="P51">
        <v>2.2799999999999998</v>
      </c>
      <c r="Q51">
        <v>4.2561999999999998</v>
      </c>
      <c r="R51">
        <v>0.68100000000000005</v>
      </c>
      <c r="S51" t="s">
        <v>2769</v>
      </c>
      <c r="T51">
        <v>6</v>
      </c>
      <c r="U51" t="s">
        <v>89</v>
      </c>
      <c r="W51" t="s">
        <v>754</v>
      </c>
    </row>
    <row r="52" spans="1:23" outlineLevel="2" x14ac:dyDescent="0.25">
      <c r="A52" t="s">
        <v>82</v>
      </c>
      <c r="B52" t="s">
        <v>83</v>
      </c>
      <c r="C52">
        <v>30</v>
      </c>
      <c r="D52" t="s">
        <v>84</v>
      </c>
      <c r="E52">
        <v>184</v>
      </c>
      <c r="F52" t="s">
        <v>85</v>
      </c>
      <c r="G52">
        <v>8653</v>
      </c>
      <c r="H52" t="s">
        <v>37</v>
      </c>
      <c r="I52">
        <v>1000008653</v>
      </c>
      <c r="J52">
        <v>29478357</v>
      </c>
      <c r="K52" t="s">
        <v>2071</v>
      </c>
      <c r="L52" t="s">
        <v>752</v>
      </c>
      <c r="M52" t="s">
        <v>88</v>
      </c>
      <c r="N52">
        <v>106.5</v>
      </c>
      <c r="O52">
        <v>14.22</v>
      </c>
      <c r="P52">
        <v>2.2799999999999998</v>
      </c>
      <c r="Q52">
        <v>4.2561999999999998</v>
      </c>
      <c r="R52">
        <v>0.68100000000000005</v>
      </c>
      <c r="S52" t="s">
        <v>2771</v>
      </c>
      <c r="T52">
        <v>6</v>
      </c>
      <c r="U52" t="s">
        <v>89</v>
      </c>
      <c r="W52" t="s">
        <v>754</v>
      </c>
    </row>
    <row r="53" spans="1:23" outlineLevel="2" x14ac:dyDescent="0.25">
      <c r="A53" t="s">
        <v>82</v>
      </c>
      <c r="B53" t="s">
        <v>83</v>
      </c>
      <c r="C53">
        <v>30</v>
      </c>
      <c r="D53" t="s">
        <v>84</v>
      </c>
      <c r="E53">
        <v>184</v>
      </c>
      <c r="F53" t="s">
        <v>85</v>
      </c>
      <c r="G53">
        <v>8653</v>
      </c>
      <c r="H53" t="s">
        <v>37</v>
      </c>
      <c r="I53">
        <v>1000008653</v>
      </c>
      <c r="J53">
        <v>29479049</v>
      </c>
      <c r="K53" t="s">
        <v>2078</v>
      </c>
      <c r="L53" t="s">
        <v>752</v>
      </c>
      <c r="M53" t="s">
        <v>88</v>
      </c>
      <c r="N53">
        <v>851.5</v>
      </c>
      <c r="O53">
        <v>14.22</v>
      </c>
      <c r="P53">
        <v>2.2799999999999998</v>
      </c>
      <c r="Q53">
        <v>4.2561999999999998</v>
      </c>
      <c r="R53">
        <v>0.68100000000000005</v>
      </c>
      <c r="S53" t="s">
        <v>2773</v>
      </c>
      <c r="T53">
        <v>6</v>
      </c>
      <c r="U53" t="s">
        <v>89</v>
      </c>
      <c r="W53" t="s">
        <v>754</v>
      </c>
    </row>
    <row r="54" spans="1:23" outlineLevel="2" x14ac:dyDescent="0.25">
      <c r="A54" t="s">
        <v>82</v>
      </c>
      <c r="B54" t="s">
        <v>83</v>
      </c>
      <c r="C54">
        <v>30</v>
      </c>
      <c r="D54" t="s">
        <v>84</v>
      </c>
      <c r="E54">
        <v>184</v>
      </c>
      <c r="F54" t="s">
        <v>85</v>
      </c>
      <c r="G54">
        <v>8653</v>
      </c>
      <c r="H54" t="s">
        <v>37</v>
      </c>
      <c r="I54">
        <v>1000008653</v>
      </c>
      <c r="J54">
        <v>29480145</v>
      </c>
      <c r="K54" t="s">
        <v>2094</v>
      </c>
      <c r="L54" t="s">
        <v>752</v>
      </c>
      <c r="M54" t="s">
        <v>88</v>
      </c>
      <c r="N54">
        <v>157.5</v>
      </c>
      <c r="O54">
        <v>14.22</v>
      </c>
      <c r="P54">
        <v>2.2799999999999998</v>
      </c>
      <c r="Q54">
        <v>4.2561999999999998</v>
      </c>
      <c r="R54">
        <v>0.68100000000000005</v>
      </c>
      <c r="S54" t="s">
        <v>2775</v>
      </c>
      <c r="T54">
        <v>6</v>
      </c>
      <c r="U54" t="s">
        <v>89</v>
      </c>
      <c r="W54" t="s">
        <v>754</v>
      </c>
    </row>
    <row r="55" spans="1:23" outlineLevel="2" x14ac:dyDescent="0.25">
      <c r="A55" t="s">
        <v>82</v>
      </c>
      <c r="B55" t="s">
        <v>83</v>
      </c>
      <c r="C55">
        <v>30</v>
      </c>
      <c r="D55" t="s">
        <v>84</v>
      </c>
      <c r="E55">
        <v>184</v>
      </c>
      <c r="F55" t="s">
        <v>85</v>
      </c>
      <c r="G55">
        <v>8653</v>
      </c>
      <c r="H55" t="s">
        <v>37</v>
      </c>
      <c r="I55">
        <v>1000008653</v>
      </c>
      <c r="J55">
        <v>29485125</v>
      </c>
      <c r="K55" t="s">
        <v>2142</v>
      </c>
      <c r="L55" t="s">
        <v>752</v>
      </c>
      <c r="M55" t="s">
        <v>88</v>
      </c>
      <c r="N55">
        <v>44.5</v>
      </c>
      <c r="O55">
        <v>14.22</v>
      </c>
      <c r="P55">
        <v>2.2799999999999998</v>
      </c>
      <c r="Q55">
        <v>4.2561999999999998</v>
      </c>
      <c r="R55">
        <v>0.68100000000000005</v>
      </c>
      <c r="S55" t="s">
        <v>2777</v>
      </c>
      <c r="T55">
        <v>6</v>
      </c>
      <c r="U55" t="s">
        <v>89</v>
      </c>
      <c r="W55" t="s">
        <v>754</v>
      </c>
    </row>
    <row r="56" spans="1:23" outlineLevel="2" x14ac:dyDescent="0.25">
      <c r="A56" t="s">
        <v>82</v>
      </c>
      <c r="B56" t="s">
        <v>83</v>
      </c>
      <c r="C56">
        <v>30</v>
      </c>
      <c r="D56" t="s">
        <v>84</v>
      </c>
      <c r="E56">
        <v>184</v>
      </c>
      <c r="F56" t="s">
        <v>85</v>
      </c>
      <c r="G56">
        <v>8653</v>
      </c>
      <c r="H56" t="s">
        <v>37</v>
      </c>
      <c r="I56">
        <v>1000008653</v>
      </c>
      <c r="J56">
        <v>29486758</v>
      </c>
      <c r="K56" t="s">
        <v>2151</v>
      </c>
      <c r="L56" t="s">
        <v>752</v>
      </c>
      <c r="M56" t="s">
        <v>88</v>
      </c>
      <c r="N56">
        <v>88.5</v>
      </c>
      <c r="O56">
        <v>14.22</v>
      </c>
      <c r="P56">
        <v>2.2799999999999998</v>
      </c>
      <c r="Q56">
        <v>4.2561999999999998</v>
      </c>
      <c r="R56">
        <v>0.68100000000000005</v>
      </c>
      <c r="S56" t="s">
        <v>2779</v>
      </c>
      <c r="T56">
        <v>6</v>
      </c>
      <c r="U56" t="s">
        <v>89</v>
      </c>
      <c r="W56" t="s">
        <v>754</v>
      </c>
    </row>
    <row r="57" spans="1:23" outlineLevel="2" x14ac:dyDescent="0.25">
      <c r="A57" t="s">
        <v>82</v>
      </c>
      <c r="B57" t="s">
        <v>83</v>
      </c>
      <c r="C57">
        <v>30</v>
      </c>
      <c r="D57" t="s">
        <v>84</v>
      </c>
      <c r="E57">
        <v>184</v>
      </c>
      <c r="F57" t="s">
        <v>85</v>
      </c>
      <c r="G57">
        <v>8653</v>
      </c>
      <c r="H57" t="s">
        <v>37</v>
      </c>
      <c r="I57">
        <v>1000008653</v>
      </c>
      <c r="J57">
        <v>29488390</v>
      </c>
      <c r="K57" t="s">
        <v>2162</v>
      </c>
      <c r="L57" t="s">
        <v>752</v>
      </c>
      <c r="M57" t="s">
        <v>88</v>
      </c>
      <c r="N57">
        <v>242.5</v>
      </c>
      <c r="O57">
        <v>14.22</v>
      </c>
      <c r="P57">
        <v>2.2799999999999998</v>
      </c>
      <c r="Q57">
        <v>4.2561999999999998</v>
      </c>
      <c r="R57">
        <v>0.68100000000000005</v>
      </c>
      <c r="S57" t="s">
        <v>2781</v>
      </c>
      <c r="T57">
        <v>6</v>
      </c>
      <c r="U57" t="s">
        <v>89</v>
      </c>
      <c r="W57" t="s">
        <v>754</v>
      </c>
    </row>
    <row r="58" spans="1:23" outlineLevel="2" x14ac:dyDescent="0.25">
      <c r="A58" t="s">
        <v>82</v>
      </c>
      <c r="B58" t="s">
        <v>83</v>
      </c>
      <c r="C58">
        <v>30</v>
      </c>
      <c r="D58" t="s">
        <v>84</v>
      </c>
      <c r="E58">
        <v>184</v>
      </c>
      <c r="F58" t="s">
        <v>85</v>
      </c>
      <c r="G58">
        <v>8653</v>
      </c>
      <c r="H58" t="s">
        <v>37</v>
      </c>
      <c r="I58">
        <v>1000008653</v>
      </c>
      <c r="J58">
        <v>29490646</v>
      </c>
      <c r="K58" t="s">
        <v>2182</v>
      </c>
      <c r="L58" t="s">
        <v>752</v>
      </c>
      <c r="M58" t="s">
        <v>88</v>
      </c>
      <c r="N58">
        <v>637.5</v>
      </c>
      <c r="O58">
        <v>14.22</v>
      </c>
      <c r="P58">
        <v>2.2799999999999998</v>
      </c>
      <c r="Q58">
        <v>4.2561999999999998</v>
      </c>
      <c r="R58">
        <v>0.68100000000000005</v>
      </c>
      <c r="S58" t="s">
        <v>2783</v>
      </c>
      <c r="T58">
        <v>6</v>
      </c>
      <c r="U58" t="s">
        <v>89</v>
      </c>
      <c r="W58" t="s">
        <v>754</v>
      </c>
    </row>
    <row r="59" spans="1:23" outlineLevel="2" x14ac:dyDescent="0.25">
      <c r="A59" t="s">
        <v>82</v>
      </c>
      <c r="B59" t="s">
        <v>83</v>
      </c>
      <c r="C59">
        <v>30</v>
      </c>
      <c r="D59" t="s">
        <v>84</v>
      </c>
      <c r="E59">
        <v>184</v>
      </c>
      <c r="F59" t="s">
        <v>85</v>
      </c>
      <c r="G59">
        <v>8653</v>
      </c>
      <c r="H59" t="s">
        <v>37</v>
      </c>
      <c r="I59">
        <v>1000008653</v>
      </c>
      <c r="J59">
        <v>29494021</v>
      </c>
      <c r="K59" t="s">
        <v>2209</v>
      </c>
      <c r="L59" t="s">
        <v>752</v>
      </c>
      <c r="M59" t="s">
        <v>88</v>
      </c>
      <c r="N59">
        <v>154.5</v>
      </c>
      <c r="O59">
        <v>14.22</v>
      </c>
      <c r="P59">
        <v>2.2799999999999998</v>
      </c>
      <c r="Q59">
        <v>4.2561999999999998</v>
      </c>
      <c r="R59">
        <v>0.68100000000000005</v>
      </c>
      <c r="S59" t="s">
        <v>2785</v>
      </c>
      <c r="T59">
        <v>6</v>
      </c>
      <c r="U59" t="s">
        <v>89</v>
      </c>
      <c r="W59" t="s">
        <v>754</v>
      </c>
    </row>
    <row r="60" spans="1:23" outlineLevel="2" x14ac:dyDescent="0.25">
      <c r="A60" t="s">
        <v>82</v>
      </c>
      <c r="B60" t="s">
        <v>83</v>
      </c>
      <c r="C60">
        <v>30</v>
      </c>
      <c r="D60" t="s">
        <v>84</v>
      </c>
      <c r="E60">
        <v>184</v>
      </c>
      <c r="F60" t="s">
        <v>85</v>
      </c>
      <c r="G60">
        <v>8653</v>
      </c>
      <c r="H60" t="s">
        <v>37</v>
      </c>
      <c r="I60">
        <v>1000008653</v>
      </c>
      <c r="J60">
        <v>29494994</v>
      </c>
      <c r="K60" t="s">
        <v>2216</v>
      </c>
      <c r="L60" t="s">
        <v>752</v>
      </c>
      <c r="M60" t="s">
        <v>88</v>
      </c>
      <c r="N60">
        <v>44.5</v>
      </c>
      <c r="O60">
        <v>14.22</v>
      </c>
      <c r="P60">
        <v>2.2799999999999998</v>
      </c>
      <c r="Q60">
        <v>4.2561999999999998</v>
      </c>
      <c r="R60">
        <v>0.68100000000000005</v>
      </c>
      <c r="S60" t="s">
        <v>2787</v>
      </c>
      <c r="T60">
        <v>6</v>
      </c>
      <c r="U60" t="s">
        <v>89</v>
      </c>
      <c r="W60" t="s">
        <v>754</v>
      </c>
    </row>
    <row r="61" spans="1:23" outlineLevel="2" x14ac:dyDescent="0.25">
      <c r="A61" t="s">
        <v>82</v>
      </c>
      <c r="B61" t="s">
        <v>83</v>
      </c>
      <c r="C61">
        <v>30</v>
      </c>
      <c r="D61" t="s">
        <v>84</v>
      </c>
      <c r="E61">
        <v>184</v>
      </c>
      <c r="F61" t="s">
        <v>85</v>
      </c>
      <c r="G61">
        <v>8654</v>
      </c>
      <c r="H61" t="s">
        <v>30</v>
      </c>
      <c r="I61">
        <v>1000008654</v>
      </c>
      <c r="J61">
        <v>29427220</v>
      </c>
      <c r="K61" t="s">
        <v>1647</v>
      </c>
      <c r="L61" t="s">
        <v>752</v>
      </c>
      <c r="M61" t="s">
        <v>88</v>
      </c>
      <c r="N61">
        <v>101.5</v>
      </c>
      <c r="O61">
        <v>14.22</v>
      </c>
      <c r="P61">
        <v>2.2799999999999998</v>
      </c>
      <c r="Q61">
        <v>4.2561999999999998</v>
      </c>
      <c r="R61">
        <v>0.68100000000000005</v>
      </c>
      <c r="S61" t="s">
        <v>1535</v>
      </c>
      <c r="T61">
        <v>6</v>
      </c>
      <c r="U61" t="s">
        <v>89</v>
      </c>
      <c r="W61" t="s">
        <v>754</v>
      </c>
    </row>
    <row r="62" spans="1:23" outlineLevel="2" x14ac:dyDescent="0.25">
      <c r="A62" t="s">
        <v>82</v>
      </c>
      <c r="B62" t="s">
        <v>83</v>
      </c>
      <c r="C62">
        <v>30</v>
      </c>
      <c r="D62" t="s">
        <v>84</v>
      </c>
      <c r="E62">
        <v>184</v>
      </c>
      <c r="F62" t="s">
        <v>85</v>
      </c>
      <c r="G62">
        <v>8654</v>
      </c>
      <c r="H62" t="s">
        <v>30</v>
      </c>
      <c r="I62">
        <v>1000008654</v>
      </c>
      <c r="J62">
        <v>29428993</v>
      </c>
      <c r="K62" t="s">
        <v>1659</v>
      </c>
      <c r="L62" t="s">
        <v>752</v>
      </c>
      <c r="M62" t="s">
        <v>88</v>
      </c>
      <c r="N62">
        <v>45.5</v>
      </c>
      <c r="O62">
        <v>14.22</v>
      </c>
      <c r="P62">
        <v>2.2799999999999998</v>
      </c>
      <c r="Q62">
        <v>4.2561999999999998</v>
      </c>
      <c r="R62">
        <v>0.68100000000000005</v>
      </c>
      <c r="S62" t="s">
        <v>1537</v>
      </c>
      <c r="T62">
        <v>6</v>
      </c>
      <c r="U62" t="s">
        <v>89</v>
      </c>
      <c r="W62" t="s">
        <v>754</v>
      </c>
    </row>
    <row r="63" spans="1:23" outlineLevel="2" x14ac:dyDescent="0.25">
      <c r="A63" t="s">
        <v>82</v>
      </c>
      <c r="B63" t="s">
        <v>83</v>
      </c>
      <c r="C63">
        <v>30</v>
      </c>
      <c r="D63" t="s">
        <v>84</v>
      </c>
      <c r="E63">
        <v>184</v>
      </c>
      <c r="F63" t="s">
        <v>85</v>
      </c>
      <c r="G63">
        <v>8654</v>
      </c>
      <c r="H63" t="s">
        <v>30</v>
      </c>
      <c r="I63">
        <v>1000008654</v>
      </c>
      <c r="J63">
        <v>29430703</v>
      </c>
      <c r="K63" t="s">
        <v>1675</v>
      </c>
      <c r="L63" t="s">
        <v>752</v>
      </c>
      <c r="M63" t="s">
        <v>88</v>
      </c>
      <c r="N63">
        <v>86.5</v>
      </c>
      <c r="O63">
        <v>14.22</v>
      </c>
      <c r="P63">
        <v>2.2799999999999998</v>
      </c>
      <c r="Q63">
        <v>4.2561999999999998</v>
      </c>
      <c r="R63">
        <v>0.68100000000000005</v>
      </c>
      <c r="S63" t="s">
        <v>449</v>
      </c>
      <c r="T63">
        <v>6</v>
      </c>
      <c r="U63" t="s">
        <v>89</v>
      </c>
      <c r="W63" t="s">
        <v>754</v>
      </c>
    </row>
    <row r="64" spans="1:23" outlineLevel="2" x14ac:dyDescent="0.25">
      <c r="A64" s="7" t="s">
        <v>82</v>
      </c>
      <c r="B64" s="7" t="s">
        <v>83</v>
      </c>
      <c r="C64" s="7">
        <v>30</v>
      </c>
      <c r="D64" s="7" t="s">
        <v>84</v>
      </c>
      <c r="E64" s="7">
        <v>184</v>
      </c>
      <c r="F64" s="7" t="s">
        <v>85</v>
      </c>
      <c r="G64" s="7">
        <v>8654</v>
      </c>
      <c r="H64" s="7" t="s">
        <v>30</v>
      </c>
      <c r="I64" s="7">
        <v>1000008654</v>
      </c>
      <c r="J64" s="7">
        <v>29431821</v>
      </c>
      <c r="K64" s="7" t="s">
        <v>1681</v>
      </c>
      <c r="L64" s="7" t="s">
        <v>752</v>
      </c>
      <c r="M64" s="7" t="s">
        <v>88</v>
      </c>
      <c r="N64" s="7">
        <v>180.5</v>
      </c>
      <c r="O64" s="7">
        <v>14.22</v>
      </c>
      <c r="P64" s="7">
        <v>2.2799999999999998</v>
      </c>
      <c r="Q64" s="7">
        <v>4.2561999999999998</v>
      </c>
      <c r="R64" s="7">
        <v>0.68100000000000005</v>
      </c>
      <c r="S64" s="7" t="s">
        <v>333</v>
      </c>
      <c r="T64" s="7">
        <v>6</v>
      </c>
      <c r="U64" s="7" t="s">
        <v>89</v>
      </c>
      <c r="W64" t="s">
        <v>754</v>
      </c>
    </row>
    <row r="65" spans="1:23" outlineLevel="2" x14ac:dyDescent="0.25">
      <c r="A65" t="s">
        <v>82</v>
      </c>
      <c r="B65" t="s">
        <v>83</v>
      </c>
      <c r="C65">
        <v>30</v>
      </c>
      <c r="D65" t="s">
        <v>84</v>
      </c>
      <c r="E65">
        <v>184</v>
      </c>
      <c r="F65" t="s">
        <v>85</v>
      </c>
      <c r="G65">
        <v>8654</v>
      </c>
      <c r="H65" t="s">
        <v>30</v>
      </c>
      <c r="I65">
        <v>1000008654</v>
      </c>
      <c r="J65">
        <v>29432163</v>
      </c>
      <c r="K65" t="s">
        <v>1684</v>
      </c>
      <c r="L65" t="s">
        <v>753</v>
      </c>
      <c r="M65" t="s">
        <v>88</v>
      </c>
      <c r="N65">
        <v>133.5</v>
      </c>
      <c r="O65">
        <v>14.22</v>
      </c>
      <c r="P65">
        <v>2.2799999999999998</v>
      </c>
      <c r="Q65">
        <v>4.2561999999999998</v>
      </c>
      <c r="R65">
        <v>0.68100000000000005</v>
      </c>
      <c r="S65" t="s">
        <v>1540</v>
      </c>
      <c r="T65">
        <v>6</v>
      </c>
      <c r="U65" t="s">
        <v>89</v>
      </c>
      <c r="W65" t="s">
        <v>754</v>
      </c>
    </row>
    <row r="66" spans="1:23" outlineLevel="2" x14ac:dyDescent="0.25">
      <c r="A66" t="s">
        <v>82</v>
      </c>
      <c r="B66" t="s">
        <v>83</v>
      </c>
      <c r="C66">
        <v>30</v>
      </c>
      <c r="D66" t="s">
        <v>84</v>
      </c>
      <c r="E66">
        <v>184</v>
      </c>
      <c r="F66" t="s">
        <v>85</v>
      </c>
      <c r="G66">
        <v>8654</v>
      </c>
      <c r="H66" t="s">
        <v>30</v>
      </c>
      <c r="I66">
        <v>1000008654</v>
      </c>
      <c r="J66">
        <v>29432385</v>
      </c>
      <c r="K66" t="s">
        <v>1686</v>
      </c>
      <c r="L66" t="s">
        <v>752</v>
      </c>
      <c r="M66" t="s">
        <v>88</v>
      </c>
      <c r="N66">
        <v>384.5</v>
      </c>
      <c r="O66">
        <v>14.22</v>
      </c>
      <c r="P66">
        <v>2.2799999999999998</v>
      </c>
      <c r="Q66">
        <v>4.2561999999999998</v>
      </c>
      <c r="R66">
        <v>0.68100000000000005</v>
      </c>
      <c r="S66" t="s">
        <v>1542</v>
      </c>
      <c r="T66">
        <v>6</v>
      </c>
      <c r="U66" t="s">
        <v>89</v>
      </c>
      <c r="W66" t="s">
        <v>754</v>
      </c>
    </row>
    <row r="67" spans="1:23" outlineLevel="2" x14ac:dyDescent="0.25">
      <c r="A67" s="8" t="s">
        <v>82</v>
      </c>
      <c r="B67" s="8" t="s">
        <v>83</v>
      </c>
      <c r="C67" s="8">
        <v>30</v>
      </c>
      <c r="D67" s="8" t="s">
        <v>84</v>
      </c>
      <c r="E67" s="8">
        <v>184</v>
      </c>
      <c r="F67" s="8" t="s">
        <v>85</v>
      </c>
      <c r="G67" s="8">
        <v>8654</v>
      </c>
      <c r="H67" s="8" t="s">
        <v>30</v>
      </c>
      <c r="I67" s="8">
        <v>1000008654</v>
      </c>
      <c r="J67" s="8">
        <v>29432400</v>
      </c>
      <c r="K67" s="8" t="s">
        <v>1687</v>
      </c>
      <c r="L67" s="8" t="s">
        <v>752</v>
      </c>
      <c r="M67" s="8" t="s">
        <v>88</v>
      </c>
      <c r="N67" s="8">
        <v>175.5</v>
      </c>
      <c r="O67" s="8">
        <v>14.22</v>
      </c>
      <c r="P67" s="8">
        <v>2.2799999999999998</v>
      </c>
      <c r="Q67" s="8">
        <v>4.2561999999999998</v>
      </c>
      <c r="R67" s="8">
        <v>0.68100000000000005</v>
      </c>
      <c r="S67" s="8" t="s">
        <v>1611</v>
      </c>
      <c r="T67" s="8">
        <v>6</v>
      </c>
      <c r="U67" s="8" t="s">
        <v>89</v>
      </c>
      <c r="V67" s="8"/>
      <c r="W67" t="s">
        <v>754</v>
      </c>
    </row>
    <row r="68" spans="1:23" outlineLevel="2" x14ac:dyDescent="0.25">
      <c r="A68" t="s">
        <v>82</v>
      </c>
      <c r="B68" t="s">
        <v>83</v>
      </c>
      <c r="C68">
        <v>30</v>
      </c>
      <c r="D68" t="s">
        <v>84</v>
      </c>
      <c r="E68">
        <v>184</v>
      </c>
      <c r="F68" t="s">
        <v>85</v>
      </c>
      <c r="G68">
        <v>8654</v>
      </c>
      <c r="H68" t="s">
        <v>30</v>
      </c>
      <c r="I68">
        <v>1000008654</v>
      </c>
      <c r="J68">
        <v>29434305</v>
      </c>
      <c r="K68" t="s">
        <v>1697</v>
      </c>
      <c r="L68" t="s">
        <v>752</v>
      </c>
      <c r="M68" t="s">
        <v>88</v>
      </c>
      <c r="N68">
        <v>194.5</v>
      </c>
      <c r="O68">
        <v>14.22</v>
      </c>
      <c r="P68">
        <v>2.2799999999999998</v>
      </c>
      <c r="Q68">
        <v>4.2561999999999998</v>
      </c>
      <c r="R68">
        <v>0.68100000000000005</v>
      </c>
      <c r="S68" t="s">
        <v>756</v>
      </c>
      <c r="T68">
        <v>6</v>
      </c>
      <c r="U68" t="s">
        <v>89</v>
      </c>
      <c r="W68" t="s">
        <v>754</v>
      </c>
    </row>
    <row r="69" spans="1:23" outlineLevel="2" x14ac:dyDescent="0.25">
      <c r="A69" t="s">
        <v>82</v>
      </c>
      <c r="B69" t="s">
        <v>83</v>
      </c>
      <c r="C69">
        <v>30</v>
      </c>
      <c r="D69" t="s">
        <v>84</v>
      </c>
      <c r="E69">
        <v>184</v>
      </c>
      <c r="F69" t="s">
        <v>85</v>
      </c>
      <c r="G69">
        <v>8654</v>
      </c>
      <c r="H69" t="s">
        <v>30</v>
      </c>
      <c r="I69">
        <v>1000008654</v>
      </c>
      <c r="J69">
        <v>29435959</v>
      </c>
      <c r="K69" t="s">
        <v>1710</v>
      </c>
      <c r="L69" t="s">
        <v>752</v>
      </c>
      <c r="M69" t="s">
        <v>88</v>
      </c>
      <c r="N69">
        <v>3086.5</v>
      </c>
      <c r="O69">
        <v>14.22</v>
      </c>
      <c r="P69">
        <v>2.2799999999999998</v>
      </c>
      <c r="Q69">
        <v>4.2561999999999998</v>
      </c>
      <c r="R69">
        <v>0.68100000000000005</v>
      </c>
      <c r="S69" t="s">
        <v>657</v>
      </c>
      <c r="T69">
        <v>6</v>
      </c>
      <c r="U69" t="s">
        <v>89</v>
      </c>
      <c r="W69" t="s">
        <v>754</v>
      </c>
    </row>
    <row r="70" spans="1:23" outlineLevel="2" x14ac:dyDescent="0.25">
      <c r="A70" s="8" t="s">
        <v>82</v>
      </c>
      <c r="B70" s="8" t="s">
        <v>83</v>
      </c>
      <c r="C70" s="8">
        <v>30</v>
      </c>
      <c r="D70" s="8" t="s">
        <v>84</v>
      </c>
      <c r="E70" s="8">
        <v>184</v>
      </c>
      <c r="F70" s="8" t="s">
        <v>85</v>
      </c>
      <c r="G70" s="8">
        <v>8654</v>
      </c>
      <c r="H70" s="8" t="s">
        <v>30</v>
      </c>
      <c r="I70" s="8">
        <v>1000008654</v>
      </c>
      <c r="J70" s="8">
        <v>29435995</v>
      </c>
      <c r="K70" s="8" t="s">
        <v>1711</v>
      </c>
      <c r="L70" s="8" t="s">
        <v>753</v>
      </c>
      <c r="M70" s="8" t="s">
        <v>88</v>
      </c>
      <c r="N70" s="8">
        <v>116.5</v>
      </c>
      <c r="O70" s="8">
        <v>14.22</v>
      </c>
      <c r="P70" s="8">
        <v>2.2799999999999998</v>
      </c>
      <c r="Q70" s="8">
        <v>4.2561999999999998</v>
      </c>
      <c r="R70" s="8">
        <v>0.68100000000000005</v>
      </c>
      <c r="S70" s="8" t="s">
        <v>658</v>
      </c>
      <c r="T70" s="8">
        <v>6</v>
      </c>
      <c r="U70" s="8" t="s">
        <v>89</v>
      </c>
      <c r="V70" s="8"/>
      <c r="W70" t="s">
        <v>754</v>
      </c>
    </row>
    <row r="71" spans="1:23" outlineLevel="2" x14ac:dyDescent="0.25">
      <c r="A71" t="s">
        <v>82</v>
      </c>
      <c r="B71" t="s">
        <v>83</v>
      </c>
      <c r="C71">
        <v>30</v>
      </c>
      <c r="D71" t="s">
        <v>84</v>
      </c>
      <c r="E71">
        <v>184</v>
      </c>
      <c r="F71" t="s">
        <v>85</v>
      </c>
      <c r="G71">
        <v>8654</v>
      </c>
      <c r="H71" t="s">
        <v>30</v>
      </c>
      <c r="I71">
        <v>1000008654</v>
      </c>
      <c r="J71">
        <v>29436846</v>
      </c>
      <c r="K71" t="s">
        <v>1713</v>
      </c>
      <c r="L71" t="s">
        <v>753</v>
      </c>
      <c r="M71" t="s">
        <v>88</v>
      </c>
      <c r="N71">
        <v>154.5</v>
      </c>
      <c r="O71">
        <v>14.22</v>
      </c>
      <c r="P71">
        <v>2.2799999999999998</v>
      </c>
      <c r="Q71">
        <v>4.2561999999999998</v>
      </c>
      <c r="R71">
        <v>0.68100000000000005</v>
      </c>
      <c r="S71" t="s">
        <v>759</v>
      </c>
      <c r="T71">
        <v>6</v>
      </c>
      <c r="U71" t="s">
        <v>89</v>
      </c>
      <c r="W71" t="s">
        <v>754</v>
      </c>
    </row>
    <row r="72" spans="1:23" outlineLevel="2" x14ac:dyDescent="0.25">
      <c r="A72" t="s">
        <v>82</v>
      </c>
      <c r="B72" t="s">
        <v>83</v>
      </c>
      <c r="C72">
        <v>30</v>
      </c>
      <c r="D72" t="s">
        <v>84</v>
      </c>
      <c r="E72">
        <v>184</v>
      </c>
      <c r="F72" t="s">
        <v>85</v>
      </c>
      <c r="G72">
        <v>8654</v>
      </c>
      <c r="H72" t="s">
        <v>30</v>
      </c>
      <c r="I72">
        <v>1000008654</v>
      </c>
      <c r="J72">
        <v>29436868</v>
      </c>
      <c r="K72" t="s">
        <v>1714</v>
      </c>
      <c r="L72" t="s">
        <v>753</v>
      </c>
      <c r="M72" t="s">
        <v>88</v>
      </c>
      <c r="N72">
        <v>109.5</v>
      </c>
      <c r="O72">
        <v>14.22</v>
      </c>
      <c r="P72">
        <v>2.2799999999999998</v>
      </c>
      <c r="Q72">
        <v>4.2561999999999998</v>
      </c>
      <c r="R72">
        <v>0.68100000000000005</v>
      </c>
      <c r="S72" t="s">
        <v>761</v>
      </c>
      <c r="T72">
        <v>6</v>
      </c>
      <c r="U72" t="s">
        <v>89</v>
      </c>
      <c r="W72" t="s">
        <v>754</v>
      </c>
    </row>
    <row r="73" spans="1:23" outlineLevel="2" x14ac:dyDescent="0.25">
      <c r="A73" t="s">
        <v>82</v>
      </c>
      <c r="B73" t="s">
        <v>83</v>
      </c>
      <c r="C73">
        <v>30</v>
      </c>
      <c r="D73" t="s">
        <v>84</v>
      </c>
      <c r="E73">
        <v>184</v>
      </c>
      <c r="F73" t="s">
        <v>85</v>
      </c>
      <c r="G73">
        <v>8654</v>
      </c>
      <c r="H73" t="s">
        <v>30</v>
      </c>
      <c r="I73">
        <v>1000008654</v>
      </c>
      <c r="J73">
        <v>29437359</v>
      </c>
      <c r="K73" t="s">
        <v>1715</v>
      </c>
      <c r="L73" t="s">
        <v>753</v>
      </c>
      <c r="M73" t="s">
        <v>88</v>
      </c>
      <c r="N73">
        <v>153.5</v>
      </c>
      <c r="O73">
        <v>14.22</v>
      </c>
      <c r="P73">
        <v>2.2799999999999998</v>
      </c>
      <c r="Q73">
        <v>4.2561999999999998</v>
      </c>
      <c r="R73">
        <v>0.68100000000000005</v>
      </c>
      <c r="S73" t="s">
        <v>584</v>
      </c>
      <c r="T73">
        <v>6</v>
      </c>
      <c r="U73" t="s">
        <v>89</v>
      </c>
      <c r="W73" t="s">
        <v>754</v>
      </c>
    </row>
    <row r="74" spans="1:23" outlineLevel="2" x14ac:dyDescent="0.25">
      <c r="A74" s="8" t="s">
        <v>82</v>
      </c>
      <c r="B74" s="8" t="s">
        <v>83</v>
      </c>
      <c r="C74" s="8">
        <v>30</v>
      </c>
      <c r="D74" s="8" t="s">
        <v>84</v>
      </c>
      <c r="E74" s="8">
        <v>184</v>
      </c>
      <c r="F74" s="8" t="s">
        <v>85</v>
      </c>
      <c r="G74" s="8">
        <v>8654</v>
      </c>
      <c r="H74" s="8" t="s">
        <v>30</v>
      </c>
      <c r="I74" s="8">
        <v>1000008654</v>
      </c>
      <c r="J74" s="8">
        <v>29439218</v>
      </c>
      <c r="K74" s="8" t="s">
        <v>1728</v>
      </c>
      <c r="L74" s="8" t="s">
        <v>752</v>
      </c>
      <c r="M74" s="8" t="s">
        <v>88</v>
      </c>
      <c r="N74" s="8">
        <v>106.5</v>
      </c>
      <c r="O74" s="8">
        <v>14.22</v>
      </c>
      <c r="P74" s="8">
        <v>2.2799999999999998</v>
      </c>
      <c r="Q74" s="8">
        <v>4.2561999999999998</v>
      </c>
      <c r="R74" s="8">
        <v>0.68100000000000005</v>
      </c>
      <c r="S74" s="8" t="s">
        <v>817</v>
      </c>
      <c r="T74" s="8">
        <v>6</v>
      </c>
      <c r="U74" s="8" t="s">
        <v>89</v>
      </c>
      <c r="V74" s="8"/>
      <c r="W74" t="s">
        <v>754</v>
      </c>
    </row>
    <row r="75" spans="1:23" outlineLevel="2" x14ac:dyDescent="0.25">
      <c r="A75" t="s">
        <v>82</v>
      </c>
      <c r="B75" t="s">
        <v>83</v>
      </c>
      <c r="C75">
        <v>30</v>
      </c>
      <c r="D75" t="s">
        <v>84</v>
      </c>
      <c r="E75">
        <v>184</v>
      </c>
      <c r="F75" t="s">
        <v>85</v>
      </c>
      <c r="G75">
        <v>8654</v>
      </c>
      <c r="H75" t="s">
        <v>30</v>
      </c>
      <c r="I75">
        <v>1000008654</v>
      </c>
      <c r="J75">
        <v>29442492</v>
      </c>
      <c r="K75" t="s">
        <v>1750</v>
      </c>
      <c r="L75" t="s">
        <v>752</v>
      </c>
      <c r="M75" t="s">
        <v>88</v>
      </c>
      <c r="N75">
        <v>80.5</v>
      </c>
      <c r="O75">
        <v>14.22</v>
      </c>
      <c r="P75">
        <v>2.2799999999999998</v>
      </c>
      <c r="Q75">
        <v>4.2561999999999998</v>
      </c>
      <c r="R75">
        <v>0.68100000000000005</v>
      </c>
      <c r="S75" t="s">
        <v>1357</v>
      </c>
      <c r="T75">
        <v>6</v>
      </c>
      <c r="U75" t="s">
        <v>89</v>
      </c>
      <c r="W75" t="s">
        <v>754</v>
      </c>
    </row>
    <row r="76" spans="1:23" outlineLevel="2" x14ac:dyDescent="0.25">
      <c r="A76" t="s">
        <v>82</v>
      </c>
      <c r="B76" t="s">
        <v>83</v>
      </c>
      <c r="C76">
        <v>30</v>
      </c>
      <c r="D76" t="s">
        <v>84</v>
      </c>
      <c r="E76">
        <v>184</v>
      </c>
      <c r="F76" t="s">
        <v>85</v>
      </c>
      <c r="G76">
        <v>8654</v>
      </c>
      <c r="H76" t="s">
        <v>30</v>
      </c>
      <c r="I76">
        <v>1000008654</v>
      </c>
      <c r="J76">
        <v>29444695</v>
      </c>
      <c r="K76" t="s">
        <v>1769</v>
      </c>
      <c r="L76" t="s">
        <v>752</v>
      </c>
      <c r="M76" t="s">
        <v>88</v>
      </c>
      <c r="N76">
        <v>183.5</v>
      </c>
      <c r="O76">
        <v>14.22</v>
      </c>
      <c r="P76">
        <v>2.2799999999999998</v>
      </c>
      <c r="Q76">
        <v>4.2561999999999998</v>
      </c>
      <c r="R76">
        <v>0.68100000000000005</v>
      </c>
      <c r="S76" t="s">
        <v>1359</v>
      </c>
      <c r="T76">
        <v>6</v>
      </c>
      <c r="U76" t="s">
        <v>89</v>
      </c>
      <c r="W76" t="s">
        <v>754</v>
      </c>
    </row>
    <row r="77" spans="1:23" outlineLevel="2" x14ac:dyDescent="0.25">
      <c r="A77" t="s">
        <v>82</v>
      </c>
      <c r="B77" t="s">
        <v>83</v>
      </c>
      <c r="C77">
        <v>30</v>
      </c>
      <c r="D77" t="s">
        <v>84</v>
      </c>
      <c r="E77">
        <v>184</v>
      </c>
      <c r="F77" t="s">
        <v>85</v>
      </c>
      <c r="G77">
        <v>8654</v>
      </c>
      <c r="H77" t="s">
        <v>30</v>
      </c>
      <c r="I77">
        <v>1000008654</v>
      </c>
      <c r="J77">
        <v>29447033</v>
      </c>
      <c r="K77" t="s">
        <v>1784</v>
      </c>
      <c r="L77" t="s">
        <v>752</v>
      </c>
      <c r="M77" t="s">
        <v>88</v>
      </c>
      <c r="N77">
        <v>190.5</v>
      </c>
      <c r="O77">
        <v>14.22</v>
      </c>
      <c r="P77">
        <v>2.2799999999999998</v>
      </c>
      <c r="Q77">
        <v>4.2561999999999998</v>
      </c>
      <c r="R77">
        <v>0.68100000000000005</v>
      </c>
      <c r="S77" t="s">
        <v>1361</v>
      </c>
      <c r="T77">
        <v>6</v>
      </c>
      <c r="U77" t="s">
        <v>89</v>
      </c>
      <c r="W77" t="s">
        <v>754</v>
      </c>
    </row>
    <row r="78" spans="1:23" outlineLevel="2" x14ac:dyDescent="0.25">
      <c r="A78" t="s">
        <v>82</v>
      </c>
      <c r="B78" t="s">
        <v>83</v>
      </c>
      <c r="C78">
        <v>30</v>
      </c>
      <c r="D78" t="s">
        <v>84</v>
      </c>
      <c r="E78">
        <v>184</v>
      </c>
      <c r="F78" t="s">
        <v>85</v>
      </c>
      <c r="G78">
        <v>8654</v>
      </c>
      <c r="H78" t="s">
        <v>30</v>
      </c>
      <c r="I78">
        <v>1000008654</v>
      </c>
      <c r="J78">
        <v>29450413</v>
      </c>
      <c r="K78" t="s">
        <v>1808</v>
      </c>
      <c r="L78" t="s">
        <v>752</v>
      </c>
      <c r="M78" t="s">
        <v>88</v>
      </c>
      <c r="N78">
        <v>189.5</v>
      </c>
      <c r="O78">
        <v>14.22</v>
      </c>
      <c r="P78">
        <v>2.2799999999999998</v>
      </c>
      <c r="Q78">
        <v>4.2561999999999998</v>
      </c>
      <c r="R78">
        <v>0.68100000000000005</v>
      </c>
      <c r="S78" t="s">
        <v>1048</v>
      </c>
      <c r="T78">
        <v>6</v>
      </c>
      <c r="U78" t="s">
        <v>89</v>
      </c>
      <c r="W78" t="s">
        <v>754</v>
      </c>
    </row>
    <row r="79" spans="1:23" outlineLevel="2" x14ac:dyDescent="0.25">
      <c r="A79" t="s">
        <v>82</v>
      </c>
      <c r="B79" t="s">
        <v>83</v>
      </c>
      <c r="C79">
        <v>30</v>
      </c>
      <c r="D79" t="s">
        <v>84</v>
      </c>
      <c r="E79">
        <v>184</v>
      </c>
      <c r="F79" t="s">
        <v>85</v>
      </c>
      <c r="G79">
        <v>8654</v>
      </c>
      <c r="H79" t="s">
        <v>30</v>
      </c>
      <c r="I79">
        <v>1000008654</v>
      </c>
      <c r="J79">
        <v>29450433</v>
      </c>
      <c r="K79" t="s">
        <v>1809</v>
      </c>
      <c r="L79" t="s">
        <v>752</v>
      </c>
      <c r="M79" t="s">
        <v>88</v>
      </c>
      <c r="N79">
        <v>45.5</v>
      </c>
      <c r="O79">
        <v>14.22</v>
      </c>
      <c r="P79">
        <v>2.2799999999999998</v>
      </c>
      <c r="Q79">
        <v>4.2561999999999998</v>
      </c>
      <c r="R79">
        <v>0.68100000000000005</v>
      </c>
      <c r="S79" t="s">
        <v>1050</v>
      </c>
      <c r="T79">
        <v>6</v>
      </c>
      <c r="U79" t="s">
        <v>89</v>
      </c>
      <c r="W79" t="s">
        <v>754</v>
      </c>
    </row>
    <row r="80" spans="1:23" outlineLevel="2" x14ac:dyDescent="0.25">
      <c r="A80" t="s">
        <v>82</v>
      </c>
      <c r="B80" t="s">
        <v>83</v>
      </c>
      <c r="C80">
        <v>30</v>
      </c>
      <c r="D80" t="s">
        <v>84</v>
      </c>
      <c r="E80">
        <v>184</v>
      </c>
      <c r="F80" t="s">
        <v>85</v>
      </c>
      <c r="G80">
        <v>8654</v>
      </c>
      <c r="H80" t="s">
        <v>30</v>
      </c>
      <c r="I80">
        <v>1000008654</v>
      </c>
      <c r="J80">
        <v>29470622</v>
      </c>
      <c r="K80" t="s">
        <v>1948</v>
      </c>
      <c r="L80" t="s">
        <v>752</v>
      </c>
      <c r="M80" t="s">
        <v>88</v>
      </c>
      <c r="N80">
        <v>55.5</v>
      </c>
      <c r="O80">
        <v>14.22</v>
      </c>
      <c r="P80">
        <v>2.2799999999999998</v>
      </c>
      <c r="Q80">
        <v>4.2561999999999998</v>
      </c>
      <c r="R80">
        <v>0.68100000000000005</v>
      </c>
      <c r="S80" t="s">
        <v>2789</v>
      </c>
      <c r="T80">
        <v>6</v>
      </c>
      <c r="U80" t="s">
        <v>89</v>
      </c>
      <c r="W80" t="s">
        <v>754</v>
      </c>
    </row>
    <row r="81" spans="1:23" outlineLevel="2" x14ac:dyDescent="0.25">
      <c r="A81" t="s">
        <v>82</v>
      </c>
      <c r="B81" t="s">
        <v>83</v>
      </c>
      <c r="C81">
        <v>30</v>
      </c>
      <c r="D81" t="s">
        <v>84</v>
      </c>
      <c r="E81">
        <v>184</v>
      </c>
      <c r="F81" t="s">
        <v>85</v>
      </c>
      <c r="G81">
        <v>8654</v>
      </c>
      <c r="H81" t="s">
        <v>30</v>
      </c>
      <c r="I81">
        <v>1000008654</v>
      </c>
      <c r="J81">
        <v>29470677</v>
      </c>
      <c r="K81" t="s">
        <v>1949</v>
      </c>
      <c r="L81" t="s">
        <v>752</v>
      </c>
      <c r="M81" t="s">
        <v>88</v>
      </c>
      <c r="N81">
        <v>63.5</v>
      </c>
      <c r="O81">
        <v>14.22</v>
      </c>
      <c r="P81">
        <v>2.2799999999999998</v>
      </c>
      <c r="Q81">
        <v>4.2561999999999998</v>
      </c>
      <c r="R81">
        <v>0.68100000000000005</v>
      </c>
      <c r="S81" t="s">
        <v>2791</v>
      </c>
      <c r="T81">
        <v>6</v>
      </c>
      <c r="U81" t="s">
        <v>89</v>
      </c>
      <c r="W81" t="s">
        <v>754</v>
      </c>
    </row>
    <row r="82" spans="1:23" outlineLevel="2" x14ac:dyDescent="0.25">
      <c r="A82" t="s">
        <v>82</v>
      </c>
      <c r="B82" t="s">
        <v>83</v>
      </c>
      <c r="C82">
        <v>30</v>
      </c>
      <c r="D82" t="s">
        <v>84</v>
      </c>
      <c r="E82">
        <v>184</v>
      </c>
      <c r="F82" t="s">
        <v>85</v>
      </c>
      <c r="G82">
        <v>8654</v>
      </c>
      <c r="H82" t="s">
        <v>30</v>
      </c>
      <c r="I82">
        <v>1000008654</v>
      </c>
      <c r="J82">
        <v>29470742</v>
      </c>
      <c r="K82" t="s">
        <v>1950</v>
      </c>
      <c r="L82" t="s">
        <v>752</v>
      </c>
      <c r="M82" t="s">
        <v>88</v>
      </c>
      <c r="N82">
        <v>211.5</v>
      </c>
      <c r="O82">
        <v>14.22</v>
      </c>
      <c r="P82">
        <v>2.2799999999999998</v>
      </c>
      <c r="Q82">
        <v>4.2561999999999998</v>
      </c>
      <c r="R82">
        <v>0.68100000000000005</v>
      </c>
      <c r="S82" t="s">
        <v>2793</v>
      </c>
      <c r="T82">
        <v>6</v>
      </c>
      <c r="U82" t="s">
        <v>89</v>
      </c>
      <c r="W82" t="s">
        <v>754</v>
      </c>
    </row>
    <row r="83" spans="1:23" outlineLevel="2" x14ac:dyDescent="0.25">
      <c r="A83" t="s">
        <v>82</v>
      </c>
      <c r="B83" t="s">
        <v>83</v>
      </c>
      <c r="C83">
        <v>30</v>
      </c>
      <c r="D83" t="s">
        <v>84</v>
      </c>
      <c r="E83">
        <v>184</v>
      </c>
      <c r="F83" t="s">
        <v>85</v>
      </c>
      <c r="G83">
        <v>8654</v>
      </c>
      <c r="H83" t="s">
        <v>30</v>
      </c>
      <c r="I83">
        <v>1000008654</v>
      </c>
      <c r="J83">
        <v>29470827</v>
      </c>
      <c r="K83" t="s">
        <v>1951</v>
      </c>
      <c r="L83" t="s">
        <v>752</v>
      </c>
      <c r="M83" t="s">
        <v>88</v>
      </c>
      <c r="N83">
        <v>76.5</v>
      </c>
      <c r="O83">
        <v>14.22</v>
      </c>
      <c r="P83">
        <v>2.2799999999999998</v>
      </c>
      <c r="Q83">
        <v>4.2561999999999998</v>
      </c>
      <c r="R83">
        <v>0.68100000000000005</v>
      </c>
      <c r="S83" t="s">
        <v>2795</v>
      </c>
      <c r="T83">
        <v>6</v>
      </c>
      <c r="U83" t="s">
        <v>89</v>
      </c>
      <c r="W83" t="s">
        <v>754</v>
      </c>
    </row>
    <row r="84" spans="1:23" outlineLevel="2" x14ac:dyDescent="0.25">
      <c r="A84" t="s">
        <v>82</v>
      </c>
      <c r="B84" t="s">
        <v>83</v>
      </c>
      <c r="C84">
        <v>30</v>
      </c>
      <c r="D84" t="s">
        <v>84</v>
      </c>
      <c r="E84">
        <v>184</v>
      </c>
      <c r="F84" t="s">
        <v>85</v>
      </c>
      <c r="G84">
        <v>8654</v>
      </c>
      <c r="H84" t="s">
        <v>30</v>
      </c>
      <c r="I84">
        <v>1000008654</v>
      </c>
      <c r="J84">
        <v>29477056</v>
      </c>
      <c r="K84" t="s">
        <v>2056</v>
      </c>
      <c r="L84" t="s">
        <v>752</v>
      </c>
      <c r="M84" t="s">
        <v>88</v>
      </c>
      <c r="N84">
        <v>1193.5</v>
      </c>
      <c r="O84">
        <v>14.22</v>
      </c>
      <c r="P84">
        <v>2.2799999999999998</v>
      </c>
      <c r="Q84">
        <v>4.2561999999999998</v>
      </c>
      <c r="R84">
        <v>0.68100000000000005</v>
      </c>
      <c r="S84" t="s">
        <v>2797</v>
      </c>
      <c r="T84">
        <v>6</v>
      </c>
      <c r="U84" t="s">
        <v>89</v>
      </c>
      <c r="W84" t="s">
        <v>754</v>
      </c>
    </row>
    <row r="85" spans="1:23" outlineLevel="2" x14ac:dyDescent="0.25">
      <c r="A85" t="s">
        <v>82</v>
      </c>
      <c r="B85" t="s">
        <v>83</v>
      </c>
      <c r="C85">
        <v>30</v>
      </c>
      <c r="D85" t="s">
        <v>84</v>
      </c>
      <c r="E85">
        <v>184</v>
      </c>
      <c r="F85" t="s">
        <v>85</v>
      </c>
      <c r="G85">
        <v>8654</v>
      </c>
      <c r="H85" t="s">
        <v>30</v>
      </c>
      <c r="I85">
        <v>1000008654</v>
      </c>
      <c r="J85">
        <v>29478158</v>
      </c>
      <c r="K85" t="s">
        <v>2069</v>
      </c>
      <c r="L85" t="s">
        <v>752</v>
      </c>
      <c r="M85" t="s">
        <v>88</v>
      </c>
      <c r="N85">
        <v>1500.5</v>
      </c>
      <c r="O85">
        <v>14.22</v>
      </c>
      <c r="P85">
        <v>2.2799999999999998</v>
      </c>
      <c r="Q85">
        <v>4.2561999999999998</v>
      </c>
      <c r="R85">
        <v>0.68100000000000005</v>
      </c>
      <c r="S85" t="s">
        <v>2799</v>
      </c>
      <c r="T85">
        <v>6</v>
      </c>
      <c r="U85" t="s">
        <v>89</v>
      </c>
      <c r="W85" t="s">
        <v>754</v>
      </c>
    </row>
    <row r="86" spans="1:23" outlineLevel="2" x14ac:dyDescent="0.25">
      <c r="A86" t="s">
        <v>82</v>
      </c>
      <c r="B86" t="s">
        <v>83</v>
      </c>
      <c r="C86">
        <v>30</v>
      </c>
      <c r="D86" t="s">
        <v>84</v>
      </c>
      <c r="E86">
        <v>184</v>
      </c>
      <c r="F86" t="s">
        <v>85</v>
      </c>
      <c r="G86">
        <v>8654</v>
      </c>
      <c r="H86" t="s">
        <v>30</v>
      </c>
      <c r="I86">
        <v>1000008654</v>
      </c>
      <c r="J86">
        <v>29481252</v>
      </c>
      <c r="K86" t="s">
        <v>2107</v>
      </c>
      <c r="L86" t="s">
        <v>752</v>
      </c>
      <c r="M86" t="s">
        <v>88</v>
      </c>
      <c r="N86">
        <v>134.5</v>
      </c>
      <c r="O86">
        <v>14.22</v>
      </c>
      <c r="P86">
        <v>2.2799999999999998</v>
      </c>
      <c r="Q86">
        <v>4.2561999999999998</v>
      </c>
      <c r="R86">
        <v>0.68100000000000005</v>
      </c>
      <c r="S86" t="s">
        <v>2801</v>
      </c>
      <c r="T86">
        <v>6</v>
      </c>
      <c r="U86" t="s">
        <v>89</v>
      </c>
      <c r="W86" t="s">
        <v>754</v>
      </c>
    </row>
    <row r="87" spans="1:23" outlineLevel="2" x14ac:dyDescent="0.25">
      <c r="A87" t="s">
        <v>82</v>
      </c>
      <c r="B87" t="s">
        <v>83</v>
      </c>
      <c r="C87">
        <v>30</v>
      </c>
      <c r="D87" t="s">
        <v>84</v>
      </c>
      <c r="E87">
        <v>184</v>
      </c>
      <c r="F87" t="s">
        <v>85</v>
      </c>
      <c r="G87">
        <v>8654</v>
      </c>
      <c r="H87" t="s">
        <v>30</v>
      </c>
      <c r="I87">
        <v>1000008654</v>
      </c>
      <c r="J87">
        <v>29481461</v>
      </c>
      <c r="K87" t="s">
        <v>2110</v>
      </c>
      <c r="L87" t="s">
        <v>752</v>
      </c>
      <c r="M87" t="s">
        <v>88</v>
      </c>
      <c r="N87">
        <v>161.5</v>
      </c>
      <c r="O87">
        <v>14.22</v>
      </c>
      <c r="P87">
        <v>2.2799999999999998</v>
      </c>
      <c r="Q87">
        <v>4.2561999999999998</v>
      </c>
      <c r="R87">
        <v>0.68100000000000005</v>
      </c>
      <c r="S87" t="s">
        <v>2803</v>
      </c>
      <c r="T87">
        <v>6</v>
      </c>
      <c r="U87" t="s">
        <v>89</v>
      </c>
      <c r="W87" t="s">
        <v>754</v>
      </c>
    </row>
    <row r="88" spans="1:23" outlineLevel="2" x14ac:dyDescent="0.25">
      <c r="A88" t="s">
        <v>82</v>
      </c>
      <c r="B88" t="s">
        <v>83</v>
      </c>
      <c r="C88">
        <v>30</v>
      </c>
      <c r="D88" t="s">
        <v>84</v>
      </c>
      <c r="E88">
        <v>184</v>
      </c>
      <c r="F88" t="s">
        <v>85</v>
      </c>
      <c r="G88">
        <v>8654</v>
      </c>
      <c r="H88" t="s">
        <v>30</v>
      </c>
      <c r="I88">
        <v>1000008654</v>
      </c>
      <c r="J88">
        <v>29483693</v>
      </c>
      <c r="K88" t="s">
        <v>2136</v>
      </c>
      <c r="L88" t="s">
        <v>752</v>
      </c>
      <c r="M88" t="s">
        <v>88</v>
      </c>
      <c r="N88">
        <v>61.5</v>
      </c>
      <c r="O88">
        <v>14.22</v>
      </c>
      <c r="P88">
        <v>2.2799999999999998</v>
      </c>
      <c r="Q88">
        <v>4.2561999999999998</v>
      </c>
      <c r="R88">
        <v>0.68100000000000005</v>
      </c>
      <c r="S88" t="s">
        <v>2805</v>
      </c>
      <c r="T88">
        <v>6</v>
      </c>
      <c r="U88" t="s">
        <v>89</v>
      </c>
      <c r="W88" t="s">
        <v>754</v>
      </c>
    </row>
    <row r="89" spans="1:23" outlineLevel="2" x14ac:dyDescent="0.25">
      <c r="A89" t="s">
        <v>82</v>
      </c>
      <c r="B89" t="s">
        <v>83</v>
      </c>
      <c r="C89">
        <v>30</v>
      </c>
      <c r="D89" t="s">
        <v>84</v>
      </c>
      <c r="E89">
        <v>184</v>
      </c>
      <c r="F89" t="s">
        <v>85</v>
      </c>
      <c r="G89">
        <v>8654</v>
      </c>
      <c r="H89" t="s">
        <v>30</v>
      </c>
      <c r="I89">
        <v>1000008654</v>
      </c>
      <c r="J89">
        <v>29488997</v>
      </c>
      <c r="K89" t="s">
        <v>2167</v>
      </c>
      <c r="L89" t="s">
        <v>752</v>
      </c>
      <c r="M89" t="s">
        <v>88</v>
      </c>
      <c r="N89">
        <v>123.5</v>
      </c>
      <c r="O89">
        <v>14.22</v>
      </c>
      <c r="P89">
        <v>2.2799999999999998</v>
      </c>
      <c r="Q89">
        <v>4.2561999999999998</v>
      </c>
      <c r="R89">
        <v>0.68100000000000005</v>
      </c>
      <c r="S89" t="s">
        <v>2807</v>
      </c>
      <c r="T89">
        <v>6</v>
      </c>
      <c r="U89" t="s">
        <v>89</v>
      </c>
      <c r="W89" t="s">
        <v>754</v>
      </c>
    </row>
    <row r="90" spans="1:23" outlineLevel="2" x14ac:dyDescent="0.25">
      <c r="A90" t="s">
        <v>82</v>
      </c>
      <c r="B90" t="s">
        <v>83</v>
      </c>
      <c r="C90">
        <v>30</v>
      </c>
      <c r="D90" t="s">
        <v>84</v>
      </c>
      <c r="E90">
        <v>184</v>
      </c>
      <c r="F90" t="s">
        <v>85</v>
      </c>
      <c r="G90">
        <v>8654</v>
      </c>
      <c r="H90" t="s">
        <v>30</v>
      </c>
      <c r="I90">
        <v>1000008654</v>
      </c>
      <c r="J90">
        <v>29489265</v>
      </c>
      <c r="K90" t="s">
        <v>2170</v>
      </c>
      <c r="L90" t="s">
        <v>752</v>
      </c>
      <c r="M90" t="s">
        <v>88</v>
      </c>
      <c r="N90">
        <v>294.5</v>
      </c>
      <c r="O90">
        <v>14.22</v>
      </c>
      <c r="P90">
        <v>2.2799999999999998</v>
      </c>
      <c r="Q90">
        <v>4.2561999999999998</v>
      </c>
      <c r="R90">
        <v>0.68100000000000005</v>
      </c>
      <c r="S90" t="s">
        <v>2809</v>
      </c>
      <c r="T90">
        <v>6</v>
      </c>
      <c r="U90" t="s">
        <v>89</v>
      </c>
      <c r="W90" t="s">
        <v>754</v>
      </c>
    </row>
    <row r="91" spans="1:23" outlineLevel="2" x14ac:dyDescent="0.25">
      <c r="A91" t="s">
        <v>82</v>
      </c>
      <c r="B91" t="s">
        <v>83</v>
      </c>
      <c r="C91">
        <v>30</v>
      </c>
      <c r="D91" t="s">
        <v>84</v>
      </c>
      <c r="E91">
        <v>184</v>
      </c>
      <c r="F91" t="s">
        <v>85</v>
      </c>
      <c r="G91">
        <v>8654</v>
      </c>
      <c r="H91" t="s">
        <v>30</v>
      </c>
      <c r="I91">
        <v>1000008654</v>
      </c>
      <c r="J91">
        <v>29496452</v>
      </c>
      <c r="K91" t="s">
        <v>2233</v>
      </c>
      <c r="L91" t="s">
        <v>753</v>
      </c>
      <c r="M91" t="s">
        <v>88</v>
      </c>
      <c r="N91">
        <v>98.5</v>
      </c>
      <c r="O91">
        <v>14.22</v>
      </c>
      <c r="P91">
        <v>2.2799999999999998</v>
      </c>
      <c r="Q91">
        <v>4.2561999999999998</v>
      </c>
      <c r="R91">
        <v>0.68100000000000005</v>
      </c>
      <c r="S91" t="s">
        <v>2811</v>
      </c>
      <c r="T91">
        <v>6</v>
      </c>
      <c r="U91" t="s">
        <v>89</v>
      </c>
      <c r="W91" t="s">
        <v>754</v>
      </c>
    </row>
    <row r="92" spans="1:23" outlineLevel="2" x14ac:dyDescent="0.25">
      <c r="A92" t="s">
        <v>82</v>
      </c>
      <c r="B92" t="s">
        <v>83</v>
      </c>
      <c r="C92">
        <v>30</v>
      </c>
      <c r="D92" t="s">
        <v>84</v>
      </c>
      <c r="E92">
        <v>184</v>
      </c>
      <c r="F92" t="s">
        <v>85</v>
      </c>
      <c r="G92">
        <v>8654</v>
      </c>
      <c r="H92" t="s">
        <v>30</v>
      </c>
      <c r="I92">
        <v>1000008654</v>
      </c>
      <c r="J92">
        <v>29498102</v>
      </c>
      <c r="K92" t="s">
        <v>2240</v>
      </c>
      <c r="L92" t="s">
        <v>752</v>
      </c>
      <c r="M92" t="s">
        <v>88</v>
      </c>
      <c r="N92">
        <v>140.5</v>
      </c>
      <c r="O92">
        <v>14.22</v>
      </c>
      <c r="P92">
        <v>2.2799999999999998</v>
      </c>
      <c r="Q92">
        <v>4.2561999999999998</v>
      </c>
      <c r="R92">
        <v>0.68100000000000005</v>
      </c>
      <c r="S92" t="s">
        <v>2813</v>
      </c>
      <c r="T92">
        <v>6</v>
      </c>
      <c r="U92" t="s">
        <v>89</v>
      </c>
      <c r="W92" t="s">
        <v>754</v>
      </c>
    </row>
    <row r="93" spans="1:23" outlineLevel="2" x14ac:dyDescent="0.25">
      <c r="A93" s="8" t="s">
        <v>82</v>
      </c>
      <c r="B93" s="8" t="s">
        <v>83</v>
      </c>
      <c r="C93" s="8">
        <v>30</v>
      </c>
      <c r="D93" s="8" t="s">
        <v>84</v>
      </c>
      <c r="E93" s="8">
        <v>184</v>
      </c>
      <c r="F93" s="8" t="s">
        <v>85</v>
      </c>
      <c r="G93" s="8">
        <v>8654</v>
      </c>
      <c r="H93" s="8" t="s">
        <v>30</v>
      </c>
      <c r="I93" s="8">
        <v>1000008654</v>
      </c>
      <c r="J93" s="8">
        <v>29500045</v>
      </c>
      <c r="K93" s="8" t="s">
        <v>2253</v>
      </c>
      <c r="L93" s="8" t="s">
        <v>752</v>
      </c>
      <c r="M93" s="8" t="s">
        <v>88</v>
      </c>
      <c r="N93" s="8">
        <v>68.5</v>
      </c>
      <c r="O93" s="8">
        <v>14.22</v>
      </c>
      <c r="P93" s="8">
        <v>2.2799999999999998</v>
      </c>
      <c r="Q93" s="8">
        <v>4.2561999999999998</v>
      </c>
      <c r="R93" s="8">
        <v>0.68100000000000005</v>
      </c>
      <c r="S93" s="8" t="s">
        <v>3499</v>
      </c>
      <c r="T93" s="8">
        <v>6</v>
      </c>
      <c r="U93" s="8" t="s">
        <v>89</v>
      </c>
      <c r="V93" s="8"/>
      <c r="W93" t="s">
        <v>754</v>
      </c>
    </row>
    <row r="94" spans="1:23" outlineLevel="2" x14ac:dyDescent="0.25">
      <c r="A94" t="s">
        <v>82</v>
      </c>
      <c r="B94" t="s">
        <v>83</v>
      </c>
      <c r="C94">
        <v>30</v>
      </c>
      <c r="D94" t="s">
        <v>84</v>
      </c>
      <c r="E94">
        <v>184</v>
      </c>
      <c r="F94" t="s">
        <v>85</v>
      </c>
      <c r="G94">
        <v>8654</v>
      </c>
      <c r="H94" t="s">
        <v>30</v>
      </c>
      <c r="I94">
        <v>1000008654</v>
      </c>
      <c r="J94">
        <v>29500240</v>
      </c>
      <c r="K94" t="s">
        <v>2257</v>
      </c>
      <c r="L94" t="s">
        <v>752</v>
      </c>
      <c r="M94" t="s">
        <v>88</v>
      </c>
      <c r="N94">
        <v>123.5</v>
      </c>
      <c r="O94">
        <v>14.22</v>
      </c>
      <c r="P94">
        <v>2.2799999999999998</v>
      </c>
      <c r="Q94">
        <v>4.2561999999999998</v>
      </c>
      <c r="R94">
        <v>0.68100000000000005</v>
      </c>
      <c r="S94" t="s">
        <v>2815</v>
      </c>
      <c r="T94">
        <v>6</v>
      </c>
      <c r="U94" t="s">
        <v>89</v>
      </c>
      <c r="W94" t="s">
        <v>754</v>
      </c>
    </row>
    <row r="95" spans="1:23" outlineLevel="2" x14ac:dyDescent="0.25">
      <c r="A95" t="s">
        <v>82</v>
      </c>
      <c r="B95" t="s">
        <v>83</v>
      </c>
      <c r="C95">
        <v>30</v>
      </c>
      <c r="D95" t="s">
        <v>84</v>
      </c>
      <c r="E95">
        <v>184</v>
      </c>
      <c r="F95" t="s">
        <v>85</v>
      </c>
      <c r="G95">
        <v>8654</v>
      </c>
      <c r="H95" t="s">
        <v>30</v>
      </c>
      <c r="I95">
        <v>1000008654</v>
      </c>
      <c r="J95">
        <v>29506054</v>
      </c>
      <c r="K95" t="s">
        <v>2296</v>
      </c>
      <c r="L95" t="s">
        <v>753</v>
      </c>
      <c r="M95" t="s">
        <v>88</v>
      </c>
      <c r="N95">
        <v>81.5</v>
      </c>
      <c r="O95">
        <v>14.22</v>
      </c>
      <c r="P95">
        <v>2.2799999999999998</v>
      </c>
      <c r="Q95">
        <v>4.2561999999999998</v>
      </c>
      <c r="R95">
        <v>0.68100000000000005</v>
      </c>
      <c r="S95" t="s">
        <v>2817</v>
      </c>
      <c r="T95">
        <v>6</v>
      </c>
      <c r="U95" t="s">
        <v>89</v>
      </c>
      <c r="W95" t="s">
        <v>754</v>
      </c>
    </row>
    <row r="96" spans="1:23" outlineLevel="2" x14ac:dyDescent="0.25">
      <c r="A96" t="s">
        <v>82</v>
      </c>
      <c r="B96" t="s">
        <v>83</v>
      </c>
      <c r="C96">
        <v>30</v>
      </c>
      <c r="D96" t="s">
        <v>84</v>
      </c>
      <c r="E96">
        <v>184</v>
      </c>
      <c r="F96" t="s">
        <v>85</v>
      </c>
      <c r="G96">
        <v>8654</v>
      </c>
      <c r="H96" t="s">
        <v>30</v>
      </c>
      <c r="I96">
        <v>1000008654</v>
      </c>
      <c r="J96">
        <v>29514087</v>
      </c>
      <c r="K96" t="s">
        <v>2321</v>
      </c>
      <c r="L96" t="s">
        <v>753</v>
      </c>
      <c r="M96" t="s">
        <v>88</v>
      </c>
      <c r="N96">
        <v>45.5</v>
      </c>
      <c r="O96">
        <v>14.22</v>
      </c>
      <c r="P96">
        <v>2.2799999999999998</v>
      </c>
      <c r="Q96">
        <v>4.2561999999999998</v>
      </c>
      <c r="R96">
        <v>0.68100000000000005</v>
      </c>
      <c r="S96" t="s">
        <v>2819</v>
      </c>
      <c r="T96">
        <v>6</v>
      </c>
      <c r="U96" t="s">
        <v>89</v>
      </c>
      <c r="W96" t="s">
        <v>754</v>
      </c>
    </row>
    <row r="97" spans="1:23" outlineLevel="2" x14ac:dyDescent="0.25">
      <c r="A97" t="s">
        <v>82</v>
      </c>
      <c r="B97" t="s">
        <v>83</v>
      </c>
      <c r="C97">
        <v>30</v>
      </c>
      <c r="D97" t="s">
        <v>84</v>
      </c>
      <c r="E97">
        <v>184</v>
      </c>
      <c r="F97" t="s">
        <v>85</v>
      </c>
      <c r="G97">
        <v>8655</v>
      </c>
      <c r="H97" t="s">
        <v>29</v>
      </c>
      <c r="I97">
        <v>1000008655</v>
      </c>
      <c r="J97">
        <v>29442556</v>
      </c>
      <c r="K97" t="s">
        <v>1751</v>
      </c>
      <c r="L97" t="s">
        <v>752</v>
      </c>
      <c r="M97" t="s">
        <v>88</v>
      </c>
      <c r="N97">
        <v>44.5</v>
      </c>
      <c r="O97">
        <v>14.22</v>
      </c>
      <c r="P97">
        <v>2.2799999999999998</v>
      </c>
      <c r="Q97">
        <v>4.2561999999999998</v>
      </c>
      <c r="R97">
        <v>0.68100000000000005</v>
      </c>
      <c r="S97" t="s">
        <v>1363</v>
      </c>
      <c r="T97">
        <v>6</v>
      </c>
      <c r="U97" t="s">
        <v>89</v>
      </c>
      <c r="W97" t="s">
        <v>754</v>
      </c>
    </row>
    <row r="98" spans="1:23" outlineLevel="2" x14ac:dyDescent="0.25">
      <c r="A98" t="s">
        <v>82</v>
      </c>
      <c r="B98" t="s">
        <v>83</v>
      </c>
      <c r="C98">
        <v>30</v>
      </c>
      <c r="D98" t="s">
        <v>84</v>
      </c>
      <c r="E98">
        <v>184</v>
      </c>
      <c r="F98" t="s">
        <v>85</v>
      </c>
      <c r="G98">
        <v>8655</v>
      </c>
      <c r="H98" t="s">
        <v>29</v>
      </c>
      <c r="I98">
        <v>1000008655</v>
      </c>
      <c r="J98">
        <v>29444990</v>
      </c>
      <c r="K98" t="s">
        <v>1775</v>
      </c>
      <c r="L98" t="s">
        <v>752</v>
      </c>
      <c r="M98" t="s">
        <v>88</v>
      </c>
      <c r="N98">
        <v>238.5</v>
      </c>
      <c r="O98">
        <v>14.22</v>
      </c>
      <c r="P98">
        <v>2.2799999999999998</v>
      </c>
      <c r="Q98">
        <v>4.2561999999999998</v>
      </c>
      <c r="R98">
        <v>0.68100000000000005</v>
      </c>
      <c r="S98" t="s">
        <v>1365</v>
      </c>
      <c r="T98">
        <v>6</v>
      </c>
      <c r="U98" t="s">
        <v>89</v>
      </c>
      <c r="W98" t="s">
        <v>754</v>
      </c>
    </row>
    <row r="99" spans="1:23" outlineLevel="2" x14ac:dyDescent="0.25">
      <c r="A99" t="s">
        <v>82</v>
      </c>
      <c r="B99" t="s">
        <v>83</v>
      </c>
      <c r="C99">
        <v>30</v>
      </c>
      <c r="D99" t="s">
        <v>84</v>
      </c>
      <c r="E99">
        <v>184</v>
      </c>
      <c r="F99" t="s">
        <v>85</v>
      </c>
      <c r="G99">
        <v>8655</v>
      </c>
      <c r="H99" t="s">
        <v>29</v>
      </c>
      <c r="I99">
        <v>1000008655</v>
      </c>
      <c r="J99">
        <v>29455916</v>
      </c>
      <c r="K99" t="s">
        <v>1835</v>
      </c>
      <c r="L99" t="s">
        <v>752</v>
      </c>
      <c r="M99" t="s">
        <v>88</v>
      </c>
      <c r="N99">
        <v>71.5</v>
      </c>
      <c r="O99">
        <v>14.22</v>
      </c>
      <c r="P99">
        <v>2.2799999999999998</v>
      </c>
      <c r="Q99">
        <v>4.2561999999999998</v>
      </c>
      <c r="R99">
        <v>0.68100000000000005</v>
      </c>
      <c r="S99" t="s">
        <v>1052</v>
      </c>
      <c r="T99">
        <v>6</v>
      </c>
      <c r="U99" t="s">
        <v>89</v>
      </c>
      <c r="W99" t="s">
        <v>754</v>
      </c>
    </row>
    <row r="100" spans="1:23" outlineLevel="2" x14ac:dyDescent="0.25">
      <c r="A100" t="s">
        <v>82</v>
      </c>
      <c r="B100" t="s">
        <v>83</v>
      </c>
      <c r="C100">
        <v>30</v>
      </c>
      <c r="D100" t="s">
        <v>84</v>
      </c>
      <c r="E100">
        <v>184</v>
      </c>
      <c r="F100" t="s">
        <v>85</v>
      </c>
      <c r="G100">
        <v>8655</v>
      </c>
      <c r="H100" t="s">
        <v>29</v>
      </c>
      <c r="I100">
        <v>1000008655</v>
      </c>
      <c r="J100">
        <v>29460096</v>
      </c>
      <c r="K100" t="s">
        <v>1857</v>
      </c>
      <c r="L100" t="s">
        <v>752</v>
      </c>
      <c r="M100" t="s">
        <v>88</v>
      </c>
      <c r="N100">
        <v>185.5</v>
      </c>
      <c r="O100">
        <v>14.22</v>
      </c>
      <c r="P100">
        <v>2.2799999999999998</v>
      </c>
      <c r="Q100">
        <v>4.2561999999999998</v>
      </c>
      <c r="R100">
        <v>0.68100000000000005</v>
      </c>
      <c r="S100" t="s">
        <v>1054</v>
      </c>
      <c r="T100">
        <v>6</v>
      </c>
      <c r="U100" t="s">
        <v>89</v>
      </c>
      <c r="W100" t="s">
        <v>754</v>
      </c>
    </row>
    <row r="101" spans="1:23" outlineLevel="2" x14ac:dyDescent="0.25">
      <c r="A101" t="s">
        <v>82</v>
      </c>
      <c r="B101" t="s">
        <v>83</v>
      </c>
      <c r="C101">
        <v>30</v>
      </c>
      <c r="D101" t="s">
        <v>84</v>
      </c>
      <c r="E101">
        <v>184</v>
      </c>
      <c r="F101" t="s">
        <v>85</v>
      </c>
      <c r="G101">
        <v>8655</v>
      </c>
      <c r="H101" t="s">
        <v>29</v>
      </c>
      <c r="I101">
        <v>1000008655</v>
      </c>
      <c r="J101">
        <v>29460518</v>
      </c>
      <c r="K101" t="s">
        <v>1861</v>
      </c>
      <c r="L101" t="s">
        <v>752</v>
      </c>
      <c r="M101" t="s">
        <v>88</v>
      </c>
      <c r="N101">
        <v>109.5</v>
      </c>
      <c r="O101">
        <v>14.22</v>
      </c>
      <c r="P101">
        <v>2.2799999999999998</v>
      </c>
      <c r="Q101">
        <v>4.2561999999999998</v>
      </c>
      <c r="R101">
        <v>0.68100000000000005</v>
      </c>
      <c r="S101" t="s">
        <v>514</v>
      </c>
      <c r="T101">
        <v>6</v>
      </c>
      <c r="U101" t="s">
        <v>89</v>
      </c>
      <c r="W101" t="s">
        <v>754</v>
      </c>
    </row>
    <row r="102" spans="1:23" outlineLevel="2" x14ac:dyDescent="0.25">
      <c r="A102" t="s">
        <v>82</v>
      </c>
      <c r="B102" t="s">
        <v>83</v>
      </c>
      <c r="C102">
        <v>30</v>
      </c>
      <c r="D102" t="s">
        <v>84</v>
      </c>
      <c r="E102">
        <v>184</v>
      </c>
      <c r="F102" t="s">
        <v>85</v>
      </c>
      <c r="G102">
        <v>8655</v>
      </c>
      <c r="H102" t="s">
        <v>29</v>
      </c>
      <c r="I102">
        <v>1000008655</v>
      </c>
      <c r="J102">
        <v>29461007</v>
      </c>
      <c r="K102" t="s">
        <v>1864</v>
      </c>
      <c r="L102" t="s">
        <v>752</v>
      </c>
      <c r="M102" t="s">
        <v>88</v>
      </c>
      <c r="N102">
        <v>178.5</v>
      </c>
      <c r="O102">
        <v>14.22</v>
      </c>
      <c r="P102">
        <v>2.2799999999999998</v>
      </c>
      <c r="Q102">
        <v>4.2561999999999998</v>
      </c>
      <c r="R102">
        <v>0.68100000000000005</v>
      </c>
      <c r="S102" t="s">
        <v>1057</v>
      </c>
      <c r="T102">
        <v>6</v>
      </c>
      <c r="U102" t="s">
        <v>89</v>
      </c>
      <c r="W102" t="s">
        <v>754</v>
      </c>
    </row>
    <row r="103" spans="1:23" outlineLevel="2" x14ac:dyDescent="0.25">
      <c r="A103" t="s">
        <v>82</v>
      </c>
      <c r="B103" t="s">
        <v>83</v>
      </c>
      <c r="C103">
        <v>30</v>
      </c>
      <c r="D103" t="s">
        <v>84</v>
      </c>
      <c r="E103">
        <v>184</v>
      </c>
      <c r="F103" t="s">
        <v>85</v>
      </c>
      <c r="G103">
        <v>8655</v>
      </c>
      <c r="H103" t="s">
        <v>29</v>
      </c>
      <c r="I103">
        <v>1000008655</v>
      </c>
      <c r="J103">
        <v>29464032</v>
      </c>
      <c r="K103" t="s">
        <v>1877</v>
      </c>
      <c r="L103" t="s">
        <v>752</v>
      </c>
      <c r="M103" t="s">
        <v>88</v>
      </c>
      <c r="N103">
        <v>105.5</v>
      </c>
      <c r="O103">
        <v>14.22</v>
      </c>
      <c r="P103">
        <v>2.2799999999999998</v>
      </c>
      <c r="Q103">
        <v>4.2561999999999998</v>
      </c>
      <c r="R103">
        <v>0.68100000000000005</v>
      </c>
      <c r="S103" t="s">
        <v>1059</v>
      </c>
      <c r="T103">
        <v>6</v>
      </c>
      <c r="U103" t="s">
        <v>89</v>
      </c>
      <c r="W103" t="s">
        <v>754</v>
      </c>
    </row>
    <row r="104" spans="1:23" outlineLevel="2" x14ac:dyDescent="0.25">
      <c r="A104" t="s">
        <v>82</v>
      </c>
      <c r="B104" t="s">
        <v>83</v>
      </c>
      <c r="C104">
        <v>30</v>
      </c>
      <c r="D104" t="s">
        <v>84</v>
      </c>
      <c r="E104">
        <v>184</v>
      </c>
      <c r="F104" t="s">
        <v>85</v>
      </c>
      <c r="G104">
        <v>8655</v>
      </c>
      <c r="H104" t="s">
        <v>29</v>
      </c>
      <c r="I104">
        <v>1000008655</v>
      </c>
      <c r="J104">
        <v>29464743</v>
      </c>
      <c r="K104" t="s">
        <v>1883</v>
      </c>
      <c r="L104" t="s">
        <v>752</v>
      </c>
      <c r="M104" t="s">
        <v>88</v>
      </c>
      <c r="N104">
        <v>3241.5</v>
      </c>
      <c r="O104">
        <v>14.22</v>
      </c>
      <c r="P104">
        <v>2.2799999999999998</v>
      </c>
      <c r="Q104">
        <v>4.2561999999999998</v>
      </c>
      <c r="R104">
        <v>0.68100000000000005</v>
      </c>
      <c r="S104" t="s">
        <v>1061</v>
      </c>
      <c r="T104">
        <v>6</v>
      </c>
      <c r="U104" t="s">
        <v>89</v>
      </c>
      <c r="W104" t="s">
        <v>754</v>
      </c>
    </row>
    <row r="105" spans="1:23" outlineLevel="2" x14ac:dyDescent="0.25">
      <c r="A105" s="8" t="s">
        <v>82</v>
      </c>
      <c r="B105" s="8" t="s">
        <v>83</v>
      </c>
      <c r="C105" s="8">
        <v>30</v>
      </c>
      <c r="D105" s="8" t="s">
        <v>84</v>
      </c>
      <c r="E105" s="8">
        <v>184</v>
      </c>
      <c r="F105" s="8" t="s">
        <v>85</v>
      </c>
      <c r="G105" s="8">
        <v>8655</v>
      </c>
      <c r="H105" s="8" t="s">
        <v>29</v>
      </c>
      <c r="I105" s="8">
        <v>1000008655</v>
      </c>
      <c r="J105" s="8">
        <v>29467192</v>
      </c>
      <c r="K105" s="8" t="s">
        <v>1894</v>
      </c>
      <c r="L105" s="8" t="s">
        <v>752</v>
      </c>
      <c r="M105" s="8" t="s">
        <v>88</v>
      </c>
      <c r="N105" s="8">
        <v>99.5</v>
      </c>
      <c r="O105" s="8">
        <v>14.22</v>
      </c>
      <c r="P105" s="8">
        <v>2.2799999999999998</v>
      </c>
      <c r="Q105" s="8">
        <v>4.2561999999999998</v>
      </c>
      <c r="R105" s="8">
        <v>0.68100000000000005</v>
      </c>
      <c r="S105" s="8" t="s">
        <v>1258</v>
      </c>
      <c r="T105" s="8">
        <v>6</v>
      </c>
      <c r="U105" s="8" t="s">
        <v>89</v>
      </c>
      <c r="V105" s="8"/>
      <c r="W105" t="s">
        <v>754</v>
      </c>
    </row>
    <row r="106" spans="1:23" outlineLevel="2" x14ac:dyDescent="0.25">
      <c r="A106" t="s">
        <v>82</v>
      </c>
      <c r="B106" t="s">
        <v>83</v>
      </c>
      <c r="C106">
        <v>30</v>
      </c>
      <c r="D106" t="s">
        <v>84</v>
      </c>
      <c r="E106">
        <v>184</v>
      </c>
      <c r="F106" t="s">
        <v>85</v>
      </c>
      <c r="G106">
        <v>8655</v>
      </c>
      <c r="H106" t="s">
        <v>29</v>
      </c>
      <c r="I106">
        <v>1000008655</v>
      </c>
      <c r="J106">
        <v>29467985</v>
      </c>
      <c r="K106" t="s">
        <v>1900</v>
      </c>
      <c r="L106" t="s">
        <v>752</v>
      </c>
      <c r="M106" t="s">
        <v>88</v>
      </c>
      <c r="N106">
        <v>132.5</v>
      </c>
      <c r="O106">
        <v>14.22</v>
      </c>
      <c r="P106">
        <v>2.2799999999999998</v>
      </c>
      <c r="Q106">
        <v>4.2561999999999998</v>
      </c>
      <c r="R106">
        <v>0.68100000000000005</v>
      </c>
      <c r="S106" t="s">
        <v>1063</v>
      </c>
      <c r="T106">
        <v>6</v>
      </c>
      <c r="U106" t="s">
        <v>89</v>
      </c>
      <c r="W106" t="s">
        <v>754</v>
      </c>
    </row>
    <row r="107" spans="1:23" outlineLevel="2" x14ac:dyDescent="0.25">
      <c r="A107" t="s">
        <v>82</v>
      </c>
      <c r="B107" t="s">
        <v>83</v>
      </c>
      <c r="C107">
        <v>30</v>
      </c>
      <c r="D107" t="s">
        <v>84</v>
      </c>
      <c r="E107">
        <v>184</v>
      </c>
      <c r="F107" t="s">
        <v>85</v>
      </c>
      <c r="G107">
        <v>8655</v>
      </c>
      <c r="H107" t="s">
        <v>29</v>
      </c>
      <c r="I107">
        <v>1000008655</v>
      </c>
      <c r="J107">
        <v>29476206</v>
      </c>
      <c r="K107" t="s">
        <v>2044</v>
      </c>
      <c r="L107" t="s">
        <v>752</v>
      </c>
      <c r="M107" t="s">
        <v>88</v>
      </c>
      <c r="N107">
        <v>147.5</v>
      </c>
      <c r="O107">
        <v>14.22</v>
      </c>
      <c r="P107">
        <v>2.2799999999999998</v>
      </c>
      <c r="Q107">
        <v>4.2561999999999998</v>
      </c>
      <c r="R107">
        <v>0.68100000000000005</v>
      </c>
      <c r="S107" t="s">
        <v>2821</v>
      </c>
      <c r="T107">
        <v>6</v>
      </c>
      <c r="U107" t="s">
        <v>89</v>
      </c>
      <c r="W107" t="s">
        <v>754</v>
      </c>
    </row>
    <row r="108" spans="1:23" outlineLevel="2" x14ac:dyDescent="0.25">
      <c r="A108" t="s">
        <v>82</v>
      </c>
      <c r="B108" t="s">
        <v>83</v>
      </c>
      <c r="C108">
        <v>30</v>
      </c>
      <c r="D108" t="s">
        <v>84</v>
      </c>
      <c r="E108">
        <v>184</v>
      </c>
      <c r="F108" t="s">
        <v>85</v>
      </c>
      <c r="G108">
        <v>8655</v>
      </c>
      <c r="H108" t="s">
        <v>29</v>
      </c>
      <c r="I108">
        <v>1000008655</v>
      </c>
      <c r="J108">
        <v>29477122</v>
      </c>
      <c r="K108" t="s">
        <v>2057</v>
      </c>
      <c r="L108" t="s">
        <v>752</v>
      </c>
      <c r="M108" t="s">
        <v>88</v>
      </c>
      <c r="N108">
        <v>1647.5</v>
      </c>
      <c r="O108">
        <v>14.22</v>
      </c>
      <c r="P108">
        <v>2.2799999999999998</v>
      </c>
      <c r="Q108">
        <v>4.2561999999999998</v>
      </c>
      <c r="R108">
        <v>0.68100000000000005</v>
      </c>
      <c r="S108" t="s">
        <v>2823</v>
      </c>
      <c r="T108">
        <v>6</v>
      </c>
      <c r="U108" t="s">
        <v>89</v>
      </c>
      <c r="W108" t="s">
        <v>754</v>
      </c>
    </row>
    <row r="109" spans="1:23" outlineLevel="2" x14ac:dyDescent="0.25">
      <c r="A109" t="s">
        <v>82</v>
      </c>
      <c r="B109" t="s">
        <v>83</v>
      </c>
      <c r="C109">
        <v>30</v>
      </c>
      <c r="D109" t="s">
        <v>84</v>
      </c>
      <c r="E109">
        <v>184</v>
      </c>
      <c r="F109" t="s">
        <v>85</v>
      </c>
      <c r="G109">
        <v>8655</v>
      </c>
      <c r="H109" t="s">
        <v>29</v>
      </c>
      <c r="I109">
        <v>1000008655</v>
      </c>
      <c r="J109">
        <v>29477365</v>
      </c>
      <c r="K109" t="s">
        <v>2060</v>
      </c>
      <c r="L109" t="s">
        <v>752</v>
      </c>
      <c r="M109" t="s">
        <v>88</v>
      </c>
      <c r="N109">
        <v>97.5</v>
      </c>
      <c r="O109">
        <v>14.22</v>
      </c>
      <c r="P109">
        <v>2.2799999999999998</v>
      </c>
      <c r="Q109">
        <v>4.2561999999999998</v>
      </c>
      <c r="R109">
        <v>0.68100000000000005</v>
      </c>
      <c r="S109" t="s">
        <v>2825</v>
      </c>
      <c r="T109">
        <v>6</v>
      </c>
      <c r="U109" t="s">
        <v>89</v>
      </c>
      <c r="W109" t="s">
        <v>754</v>
      </c>
    </row>
    <row r="110" spans="1:23" outlineLevel="2" x14ac:dyDescent="0.25">
      <c r="A110" t="s">
        <v>82</v>
      </c>
      <c r="B110" t="s">
        <v>83</v>
      </c>
      <c r="C110">
        <v>30</v>
      </c>
      <c r="D110" t="s">
        <v>84</v>
      </c>
      <c r="E110">
        <v>184</v>
      </c>
      <c r="F110" t="s">
        <v>85</v>
      </c>
      <c r="G110">
        <v>8655</v>
      </c>
      <c r="H110" t="s">
        <v>29</v>
      </c>
      <c r="I110">
        <v>1000008655</v>
      </c>
      <c r="J110">
        <v>29477787</v>
      </c>
      <c r="K110" t="s">
        <v>2064</v>
      </c>
      <c r="L110" t="s">
        <v>752</v>
      </c>
      <c r="M110" t="s">
        <v>88</v>
      </c>
      <c r="N110">
        <v>68.5</v>
      </c>
      <c r="O110">
        <v>14.22</v>
      </c>
      <c r="P110">
        <v>2.2799999999999998</v>
      </c>
      <c r="Q110">
        <v>4.2561999999999998</v>
      </c>
      <c r="R110">
        <v>0.68100000000000005</v>
      </c>
      <c r="S110" t="s">
        <v>2827</v>
      </c>
      <c r="T110">
        <v>6</v>
      </c>
      <c r="U110" t="s">
        <v>89</v>
      </c>
      <c r="W110" t="s">
        <v>754</v>
      </c>
    </row>
    <row r="111" spans="1:23" outlineLevel="2" x14ac:dyDescent="0.25">
      <c r="A111" t="s">
        <v>82</v>
      </c>
      <c r="B111" t="s">
        <v>83</v>
      </c>
      <c r="C111">
        <v>30</v>
      </c>
      <c r="D111" t="s">
        <v>84</v>
      </c>
      <c r="E111">
        <v>184</v>
      </c>
      <c r="F111" t="s">
        <v>85</v>
      </c>
      <c r="G111">
        <v>8655</v>
      </c>
      <c r="H111" t="s">
        <v>29</v>
      </c>
      <c r="I111">
        <v>1000008655</v>
      </c>
      <c r="J111">
        <v>29479388</v>
      </c>
      <c r="K111" t="s">
        <v>2080</v>
      </c>
      <c r="L111" t="s">
        <v>752</v>
      </c>
      <c r="M111" t="s">
        <v>88</v>
      </c>
      <c r="N111">
        <v>186.5</v>
      </c>
      <c r="O111">
        <v>14.22</v>
      </c>
      <c r="P111">
        <v>2.2799999999999998</v>
      </c>
      <c r="Q111">
        <v>4.2561999999999998</v>
      </c>
      <c r="R111">
        <v>0.68100000000000005</v>
      </c>
      <c r="S111" t="s">
        <v>2829</v>
      </c>
      <c r="T111">
        <v>6</v>
      </c>
      <c r="U111" t="s">
        <v>89</v>
      </c>
      <c r="W111" t="s">
        <v>754</v>
      </c>
    </row>
    <row r="112" spans="1:23" outlineLevel="2" x14ac:dyDescent="0.25">
      <c r="A112" t="s">
        <v>82</v>
      </c>
      <c r="B112" t="s">
        <v>83</v>
      </c>
      <c r="C112">
        <v>30</v>
      </c>
      <c r="D112" t="s">
        <v>84</v>
      </c>
      <c r="E112">
        <v>184</v>
      </c>
      <c r="F112" t="s">
        <v>85</v>
      </c>
      <c r="G112">
        <v>8655</v>
      </c>
      <c r="H112" t="s">
        <v>29</v>
      </c>
      <c r="I112">
        <v>1000008655</v>
      </c>
      <c r="J112">
        <v>29479758</v>
      </c>
      <c r="K112" t="s">
        <v>2085</v>
      </c>
      <c r="L112" t="s">
        <v>752</v>
      </c>
      <c r="M112" t="s">
        <v>88</v>
      </c>
      <c r="N112">
        <v>283.5</v>
      </c>
      <c r="O112">
        <v>14.22</v>
      </c>
      <c r="P112">
        <v>2.2799999999999998</v>
      </c>
      <c r="Q112">
        <v>4.2561999999999998</v>
      </c>
      <c r="R112">
        <v>0.68100000000000005</v>
      </c>
      <c r="S112" t="s">
        <v>2831</v>
      </c>
      <c r="T112">
        <v>6</v>
      </c>
      <c r="U112" t="s">
        <v>89</v>
      </c>
      <c r="W112" t="s">
        <v>754</v>
      </c>
    </row>
    <row r="113" spans="1:23" outlineLevel="2" x14ac:dyDescent="0.25">
      <c r="A113" t="s">
        <v>82</v>
      </c>
      <c r="B113" t="s">
        <v>83</v>
      </c>
      <c r="C113">
        <v>30</v>
      </c>
      <c r="D113" t="s">
        <v>84</v>
      </c>
      <c r="E113">
        <v>184</v>
      </c>
      <c r="F113" t="s">
        <v>85</v>
      </c>
      <c r="G113">
        <v>8655</v>
      </c>
      <c r="H113" t="s">
        <v>29</v>
      </c>
      <c r="I113">
        <v>1000008655</v>
      </c>
      <c r="J113">
        <v>29480068</v>
      </c>
      <c r="K113" t="s">
        <v>2092</v>
      </c>
      <c r="L113" t="s">
        <v>752</v>
      </c>
      <c r="M113" t="s">
        <v>88</v>
      </c>
      <c r="N113">
        <v>161.5</v>
      </c>
      <c r="O113">
        <v>14.22</v>
      </c>
      <c r="P113">
        <v>2.2799999999999998</v>
      </c>
      <c r="Q113">
        <v>4.2561999999999998</v>
      </c>
      <c r="R113">
        <v>0.68100000000000005</v>
      </c>
      <c r="S113" t="s">
        <v>2833</v>
      </c>
      <c r="T113">
        <v>6</v>
      </c>
      <c r="U113" t="s">
        <v>89</v>
      </c>
      <c r="W113" t="s">
        <v>754</v>
      </c>
    </row>
    <row r="114" spans="1:23" outlineLevel="2" x14ac:dyDescent="0.25">
      <c r="A114" t="s">
        <v>82</v>
      </c>
      <c r="B114" t="s">
        <v>83</v>
      </c>
      <c r="C114">
        <v>30</v>
      </c>
      <c r="D114" t="s">
        <v>84</v>
      </c>
      <c r="E114">
        <v>184</v>
      </c>
      <c r="F114" t="s">
        <v>85</v>
      </c>
      <c r="G114">
        <v>8655</v>
      </c>
      <c r="H114" t="s">
        <v>29</v>
      </c>
      <c r="I114">
        <v>1000008655</v>
      </c>
      <c r="J114">
        <v>29481774</v>
      </c>
      <c r="K114" t="s">
        <v>2115</v>
      </c>
      <c r="L114" t="s">
        <v>752</v>
      </c>
      <c r="M114" t="s">
        <v>88</v>
      </c>
      <c r="N114">
        <v>49.5</v>
      </c>
      <c r="O114">
        <v>14.22</v>
      </c>
      <c r="P114">
        <v>2.2799999999999998</v>
      </c>
      <c r="Q114">
        <v>4.2561999999999998</v>
      </c>
      <c r="R114">
        <v>0.68100000000000005</v>
      </c>
      <c r="S114" t="s">
        <v>2835</v>
      </c>
      <c r="T114">
        <v>6</v>
      </c>
      <c r="U114" t="s">
        <v>89</v>
      </c>
      <c r="W114" t="s">
        <v>754</v>
      </c>
    </row>
    <row r="115" spans="1:23" outlineLevel="2" x14ac:dyDescent="0.25">
      <c r="A115" t="s">
        <v>82</v>
      </c>
      <c r="B115" t="s">
        <v>83</v>
      </c>
      <c r="C115">
        <v>30</v>
      </c>
      <c r="D115" t="s">
        <v>84</v>
      </c>
      <c r="E115">
        <v>184</v>
      </c>
      <c r="F115" t="s">
        <v>85</v>
      </c>
      <c r="G115">
        <v>8655</v>
      </c>
      <c r="H115" t="s">
        <v>29</v>
      </c>
      <c r="I115">
        <v>1000008655</v>
      </c>
      <c r="J115">
        <v>29494896</v>
      </c>
      <c r="K115" t="s">
        <v>2214</v>
      </c>
      <c r="L115" t="s">
        <v>752</v>
      </c>
      <c r="M115" t="s">
        <v>88</v>
      </c>
      <c r="N115">
        <v>111.5</v>
      </c>
      <c r="O115">
        <v>14.22</v>
      </c>
      <c r="P115">
        <v>2.2799999999999998</v>
      </c>
      <c r="Q115">
        <v>4.2561999999999998</v>
      </c>
      <c r="R115">
        <v>0.68100000000000005</v>
      </c>
      <c r="S115" t="s">
        <v>2837</v>
      </c>
      <c r="T115">
        <v>6</v>
      </c>
      <c r="U115" t="s">
        <v>89</v>
      </c>
      <c r="W115" t="s">
        <v>754</v>
      </c>
    </row>
    <row r="116" spans="1:23" outlineLevel="2" x14ac:dyDescent="0.25">
      <c r="A116" t="s">
        <v>82</v>
      </c>
      <c r="B116" t="s">
        <v>83</v>
      </c>
      <c r="C116">
        <v>30</v>
      </c>
      <c r="D116" t="s">
        <v>84</v>
      </c>
      <c r="E116">
        <v>184</v>
      </c>
      <c r="F116" t="s">
        <v>85</v>
      </c>
      <c r="G116">
        <v>8655</v>
      </c>
      <c r="H116" t="s">
        <v>29</v>
      </c>
      <c r="I116">
        <v>1000008655</v>
      </c>
      <c r="J116">
        <v>29508192</v>
      </c>
      <c r="K116" t="s">
        <v>2303</v>
      </c>
      <c r="L116" t="s">
        <v>752</v>
      </c>
      <c r="M116" t="s">
        <v>88</v>
      </c>
      <c r="N116">
        <v>45.5</v>
      </c>
      <c r="O116">
        <v>14.22</v>
      </c>
      <c r="P116">
        <v>2.2799999999999998</v>
      </c>
      <c r="Q116">
        <v>4.2561999999999998</v>
      </c>
      <c r="R116">
        <v>0.68100000000000005</v>
      </c>
      <c r="S116" t="s">
        <v>2839</v>
      </c>
      <c r="T116">
        <v>6</v>
      </c>
      <c r="U116" t="s">
        <v>89</v>
      </c>
      <c r="W116" t="s">
        <v>754</v>
      </c>
    </row>
    <row r="117" spans="1:23" outlineLevel="2" x14ac:dyDescent="0.25">
      <c r="A117" t="s">
        <v>82</v>
      </c>
      <c r="B117" t="s">
        <v>83</v>
      </c>
      <c r="C117">
        <v>30</v>
      </c>
      <c r="D117" t="s">
        <v>84</v>
      </c>
      <c r="E117">
        <v>184</v>
      </c>
      <c r="F117" t="s">
        <v>85</v>
      </c>
      <c r="G117">
        <v>8655</v>
      </c>
      <c r="H117" t="s">
        <v>29</v>
      </c>
      <c r="I117">
        <v>1000008655</v>
      </c>
      <c r="J117">
        <v>29508904</v>
      </c>
      <c r="K117" t="s">
        <v>2306</v>
      </c>
      <c r="L117" t="s">
        <v>752</v>
      </c>
      <c r="M117" t="s">
        <v>88</v>
      </c>
      <c r="N117">
        <v>231.5</v>
      </c>
      <c r="O117">
        <v>14.22</v>
      </c>
      <c r="P117">
        <v>2.2799999999999998</v>
      </c>
      <c r="Q117">
        <v>4.2561999999999998</v>
      </c>
      <c r="R117">
        <v>0.68100000000000005</v>
      </c>
      <c r="S117" t="s">
        <v>2841</v>
      </c>
      <c r="T117">
        <v>6</v>
      </c>
      <c r="U117" t="s">
        <v>89</v>
      </c>
      <c r="W117" t="s">
        <v>754</v>
      </c>
    </row>
    <row r="118" spans="1:23" outlineLevel="2" x14ac:dyDescent="0.25">
      <c r="A118" t="s">
        <v>82</v>
      </c>
      <c r="B118" t="s">
        <v>83</v>
      </c>
      <c r="C118">
        <v>30</v>
      </c>
      <c r="D118" t="s">
        <v>84</v>
      </c>
      <c r="E118">
        <v>184</v>
      </c>
      <c r="F118" t="s">
        <v>85</v>
      </c>
      <c r="G118">
        <v>8655</v>
      </c>
      <c r="H118" t="s">
        <v>29</v>
      </c>
      <c r="I118">
        <v>1000008655</v>
      </c>
      <c r="J118">
        <v>29510894</v>
      </c>
      <c r="K118" t="s">
        <v>2309</v>
      </c>
      <c r="L118" t="s">
        <v>752</v>
      </c>
      <c r="M118" t="s">
        <v>88</v>
      </c>
      <c r="N118">
        <v>44.5</v>
      </c>
      <c r="O118">
        <v>14.22</v>
      </c>
      <c r="P118">
        <v>2.2799999999999998</v>
      </c>
      <c r="Q118">
        <v>4.2561999999999998</v>
      </c>
      <c r="R118">
        <v>0.68100000000000005</v>
      </c>
      <c r="S118" t="s">
        <v>2843</v>
      </c>
      <c r="T118">
        <v>6</v>
      </c>
      <c r="U118" t="s">
        <v>89</v>
      </c>
      <c r="W118" t="s">
        <v>754</v>
      </c>
    </row>
    <row r="119" spans="1:23" outlineLevel="2" x14ac:dyDescent="0.25">
      <c r="A119" t="s">
        <v>82</v>
      </c>
      <c r="B119" t="s">
        <v>83</v>
      </c>
      <c r="C119">
        <v>30</v>
      </c>
      <c r="D119" t="s">
        <v>84</v>
      </c>
      <c r="E119">
        <v>184</v>
      </c>
      <c r="F119" t="s">
        <v>85</v>
      </c>
      <c r="G119">
        <v>8656</v>
      </c>
      <c r="H119" t="s">
        <v>31</v>
      </c>
      <c r="I119">
        <v>1000008656</v>
      </c>
      <c r="J119">
        <v>29431520</v>
      </c>
      <c r="K119" t="s">
        <v>1680</v>
      </c>
      <c r="L119" t="s">
        <v>752</v>
      </c>
      <c r="M119" t="s">
        <v>88</v>
      </c>
      <c r="N119">
        <v>125.5</v>
      </c>
      <c r="O119">
        <v>14.22</v>
      </c>
      <c r="P119">
        <v>2.2799999999999998</v>
      </c>
      <c r="Q119">
        <v>4.2561999999999998</v>
      </c>
      <c r="R119">
        <v>0.68100000000000005</v>
      </c>
      <c r="S119" t="s">
        <v>1544</v>
      </c>
      <c r="T119">
        <v>6</v>
      </c>
      <c r="U119" t="s">
        <v>89</v>
      </c>
      <c r="W119" t="s">
        <v>754</v>
      </c>
    </row>
    <row r="120" spans="1:23" outlineLevel="2" x14ac:dyDescent="0.25">
      <c r="A120" t="s">
        <v>82</v>
      </c>
      <c r="B120" t="s">
        <v>83</v>
      </c>
      <c r="C120">
        <v>30</v>
      </c>
      <c r="D120" t="s">
        <v>84</v>
      </c>
      <c r="E120">
        <v>184</v>
      </c>
      <c r="F120" t="s">
        <v>85</v>
      </c>
      <c r="G120">
        <v>8656</v>
      </c>
      <c r="H120" t="s">
        <v>31</v>
      </c>
      <c r="I120">
        <v>1000008656</v>
      </c>
      <c r="J120">
        <v>29437864</v>
      </c>
      <c r="K120" t="s">
        <v>1721</v>
      </c>
      <c r="L120" t="s">
        <v>752</v>
      </c>
      <c r="M120" t="s">
        <v>88</v>
      </c>
      <c r="N120">
        <v>51.5</v>
      </c>
      <c r="O120">
        <v>14.22</v>
      </c>
      <c r="P120">
        <v>2.2799999999999998</v>
      </c>
      <c r="Q120">
        <v>4.2561999999999998</v>
      </c>
      <c r="R120">
        <v>0.68100000000000005</v>
      </c>
      <c r="S120" t="s">
        <v>396</v>
      </c>
      <c r="T120">
        <v>6</v>
      </c>
      <c r="U120" t="s">
        <v>89</v>
      </c>
      <c r="W120" t="s">
        <v>754</v>
      </c>
    </row>
    <row r="121" spans="1:23" outlineLevel="2" x14ac:dyDescent="0.25">
      <c r="A121" t="s">
        <v>82</v>
      </c>
      <c r="B121" t="s">
        <v>83</v>
      </c>
      <c r="C121">
        <v>30</v>
      </c>
      <c r="D121" t="s">
        <v>84</v>
      </c>
      <c r="E121">
        <v>184</v>
      </c>
      <c r="F121" t="s">
        <v>85</v>
      </c>
      <c r="G121">
        <v>8656</v>
      </c>
      <c r="H121" t="s">
        <v>31</v>
      </c>
      <c r="I121">
        <v>1000008656</v>
      </c>
      <c r="J121">
        <v>29460622</v>
      </c>
      <c r="K121" t="s">
        <v>1862</v>
      </c>
      <c r="L121" t="s">
        <v>752</v>
      </c>
      <c r="M121" t="s">
        <v>88</v>
      </c>
      <c r="N121">
        <v>215.5</v>
      </c>
      <c r="O121">
        <v>14.22</v>
      </c>
      <c r="P121">
        <v>2.2799999999999998</v>
      </c>
      <c r="Q121">
        <v>4.2561999999999998</v>
      </c>
      <c r="R121">
        <v>0.68100000000000005</v>
      </c>
      <c r="S121" t="s">
        <v>1065</v>
      </c>
      <c r="T121">
        <v>6</v>
      </c>
      <c r="U121" t="s">
        <v>89</v>
      </c>
      <c r="W121" t="s">
        <v>754</v>
      </c>
    </row>
    <row r="122" spans="1:23" outlineLevel="2" x14ac:dyDescent="0.25">
      <c r="A122" t="s">
        <v>82</v>
      </c>
      <c r="B122" t="s">
        <v>83</v>
      </c>
      <c r="C122">
        <v>30</v>
      </c>
      <c r="D122" t="s">
        <v>84</v>
      </c>
      <c r="E122">
        <v>184</v>
      </c>
      <c r="F122" t="s">
        <v>85</v>
      </c>
      <c r="G122">
        <v>8656</v>
      </c>
      <c r="H122" t="s">
        <v>31</v>
      </c>
      <c r="I122">
        <v>1000008656</v>
      </c>
      <c r="J122">
        <v>29465992</v>
      </c>
      <c r="K122" t="s">
        <v>1887</v>
      </c>
      <c r="L122" t="s">
        <v>752</v>
      </c>
      <c r="M122" t="s">
        <v>88</v>
      </c>
      <c r="N122">
        <v>172.5</v>
      </c>
      <c r="O122">
        <v>14.22</v>
      </c>
      <c r="P122">
        <v>2.2799999999999998</v>
      </c>
      <c r="Q122">
        <v>4.2561999999999998</v>
      </c>
      <c r="R122">
        <v>0.68100000000000005</v>
      </c>
      <c r="S122" t="s">
        <v>1067</v>
      </c>
      <c r="T122">
        <v>6</v>
      </c>
      <c r="U122" t="s">
        <v>89</v>
      </c>
      <c r="W122" t="s">
        <v>754</v>
      </c>
    </row>
    <row r="123" spans="1:23" outlineLevel="2" x14ac:dyDescent="0.25">
      <c r="A123" t="s">
        <v>82</v>
      </c>
      <c r="B123" t="s">
        <v>83</v>
      </c>
      <c r="C123">
        <v>30</v>
      </c>
      <c r="D123" t="s">
        <v>84</v>
      </c>
      <c r="E123">
        <v>184</v>
      </c>
      <c r="F123" t="s">
        <v>85</v>
      </c>
      <c r="G123">
        <v>8656</v>
      </c>
      <c r="H123" t="s">
        <v>31</v>
      </c>
      <c r="I123">
        <v>1000008656</v>
      </c>
      <c r="J123">
        <v>29468744</v>
      </c>
      <c r="K123" t="s">
        <v>1910</v>
      </c>
      <c r="L123" t="s">
        <v>752</v>
      </c>
      <c r="M123" t="s">
        <v>88</v>
      </c>
      <c r="N123">
        <v>189.5</v>
      </c>
      <c r="O123">
        <v>14.22</v>
      </c>
      <c r="P123">
        <v>2.2799999999999998</v>
      </c>
      <c r="Q123">
        <v>4.2561999999999998</v>
      </c>
      <c r="R123">
        <v>0.68100000000000005</v>
      </c>
      <c r="S123" t="s">
        <v>1069</v>
      </c>
      <c r="T123">
        <v>6</v>
      </c>
      <c r="U123" t="s">
        <v>89</v>
      </c>
      <c r="W123" t="s">
        <v>754</v>
      </c>
    </row>
    <row r="124" spans="1:23" outlineLevel="2" x14ac:dyDescent="0.25">
      <c r="A124" t="s">
        <v>82</v>
      </c>
      <c r="B124" t="s">
        <v>83</v>
      </c>
      <c r="C124">
        <v>30</v>
      </c>
      <c r="D124" t="s">
        <v>84</v>
      </c>
      <c r="E124">
        <v>184</v>
      </c>
      <c r="F124" t="s">
        <v>85</v>
      </c>
      <c r="G124">
        <v>8656</v>
      </c>
      <c r="H124" t="s">
        <v>31</v>
      </c>
      <c r="I124">
        <v>1000008656</v>
      </c>
      <c r="J124">
        <v>29471883</v>
      </c>
      <c r="K124" t="s">
        <v>1967</v>
      </c>
      <c r="L124" t="s">
        <v>752</v>
      </c>
      <c r="M124" t="s">
        <v>88</v>
      </c>
      <c r="N124">
        <v>112.5</v>
      </c>
      <c r="O124">
        <v>14.22</v>
      </c>
      <c r="P124">
        <v>2.2799999999999998</v>
      </c>
      <c r="Q124">
        <v>4.2561999999999998</v>
      </c>
      <c r="R124">
        <v>0.68100000000000005</v>
      </c>
      <c r="S124" t="s">
        <v>2845</v>
      </c>
      <c r="T124">
        <v>6</v>
      </c>
      <c r="U124" t="s">
        <v>89</v>
      </c>
      <c r="W124" t="s">
        <v>754</v>
      </c>
    </row>
    <row r="125" spans="1:23" outlineLevel="2" x14ac:dyDescent="0.25">
      <c r="A125" t="s">
        <v>82</v>
      </c>
      <c r="B125" t="s">
        <v>83</v>
      </c>
      <c r="C125">
        <v>30</v>
      </c>
      <c r="D125" t="s">
        <v>84</v>
      </c>
      <c r="E125">
        <v>184</v>
      </c>
      <c r="F125" t="s">
        <v>85</v>
      </c>
      <c r="G125">
        <v>8656</v>
      </c>
      <c r="H125" t="s">
        <v>31</v>
      </c>
      <c r="I125">
        <v>1000008656</v>
      </c>
      <c r="J125">
        <v>29472580</v>
      </c>
      <c r="K125" t="s">
        <v>1977</v>
      </c>
      <c r="L125" t="s">
        <v>752</v>
      </c>
      <c r="M125" t="s">
        <v>88</v>
      </c>
      <c r="N125">
        <v>189.5</v>
      </c>
      <c r="O125">
        <v>14.22</v>
      </c>
      <c r="P125">
        <v>2.2799999999999998</v>
      </c>
      <c r="Q125">
        <v>4.2561999999999998</v>
      </c>
      <c r="R125">
        <v>0.68100000000000005</v>
      </c>
      <c r="S125" t="s">
        <v>2847</v>
      </c>
      <c r="T125">
        <v>6</v>
      </c>
      <c r="U125" t="s">
        <v>89</v>
      </c>
      <c r="W125" t="s">
        <v>754</v>
      </c>
    </row>
    <row r="126" spans="1:23" outlineLevel="2" x14ac:dyDescent="0.25">
      <c r="A126" t="s">
        <v>82</v>
      </c>
      <c r="B126" t="s">
        <v>83</v>
      </c>
      <c r="C126">
        <v>30</v>
      </c>
      <c r="D126" t="s">
        <v>84</v>
      </c>
      <c r="E126">
        <v>184</v>
      </c>
      <c r="F126" t="s">
        <v>85</v>
      </c>
      <c r="G126">
        <v>8656</v>
      </c>
      <c r="H126" t="s">
        <v>31</v>
      </c>
      <c r="I126">
        <v>1000008656</v>
      </c>
      <c r="J126">
        <v>29472885</v>
      </c>
      <c r="K126" t="s">
        <v>1986</v>
      </c>
      <c r="L126" t="s">
        <v>752</v>
      </c>
      <c r="M126" t="s">
        <v>88</v>
      </c>
      <c r="N126">
        <v>3863.5</v>
      </c>
      <c r="O126">
        <v>14.22</v>
      </c>
      <c r="P126">
        <v>2.2799999999999998</v>
      </c>
      <c r="Q126">
        <v>4.2561999999999998</v>
      </c>
      <c r="R126">
        <v>0.68100000000000005</v>
      </c>
      <c r="S126" t="s">
        <v>2849</v>
      </c>
      <c r="T126">
        <v>6</v>
      </c>
      <c r="U126" t="s">
        <v>89</v>
      </c>
      <c r="W126" t="s">
        <v>754</v>
      </c>
    </row>
    <row r="127" spans="1:23" outlineLevel="2" x14ac:dyDescent="0.25">
      <c r="A127" t="s">
        <v>82</v>
      </c>
      <c r="B127" t="s">
        <v>83</v>
      </c>
      <c r="C127">
        <v>30</v>
      </c>
      <c r="D127" t="s">
        <v>84</v>
      </c>
      <c r="E127">
        <v>184</v>
      </c>
      <c r="F127" t="s">
        <v>85</v>
      </c>
      <c r="G127">
        <v>8656</v>
      </c>
      <c r="H127" t="s">
        <v>31</v>
      </c>
      <c r="I127">
        <v>1000008656</v>
      </c>
      <c r="J127">
        <v>29493211</v>
      </c>
      <c r="K127" t="s">
        <v>2202</v>
      </c>
      <c r="L127" t="s">
        <v>752</v>
      </c>
      <c r="M127" t="s">
        <v>88</v>
      </c>
      <c r="N127">
        <v>164.5</v>
      </c>
      <c r="O127">
        <v>14.22</v>
      </c>
      <c r="P127">
        <v>2.2799999999999998</v>
      </c>
      <c r="Q127">
        <v>4.2561999999999998</v>
      </c>
      <c r="R127">
        <v>0.68100000000000005</v>
      </c>
      <c r="S127" t="s">
        <v>2851</v>
      </c>
      <c r="T127">
        <v>6</v>
      </c>
      <c r="U127" t="s">
        <v>89</v>
      </c>
      <c r="W127" t="s">
        <v>754</v>
      </c>
    </row>
    <row r="128" spans="1:23" outlineLevel="2" x14ac:dyDescent="0.25">
      <c r="A128" t="s">
        <v>82</v>
      </c>
      <c r="B128" t="s">
        <v>83</v>
      </c>
      <c r="C128">
        <v>30</v>
      </c>
      <c r="D128" t="s">
        <v>84</v>
      </c>
      <c r="E128">
        <v>184</v>
      </c>
      <c r="F128" t="s">
        <v>85</v>
      </c>
      <c r="G128">
        <v>8656</v>
      </c>
      <c r="H128" t="s">
        <v>31</v>
      </c>
      <c r="I128">
        <v>1000008656</v>
      </c>
      <c r="J128">
        <v>29494855</v>
      </c>
      <c r="K128" t="s">
        <v>2213</v>
      </c>
      <c r="L128" t="s">
        <v>752</v>
      </c>
      <c r="M128" t="s">
        <v>88</v>
      </c>
      <c r="N128">
        <v>122.5</v>
      </c>
      <c r="O128">
        <v>14.22</v>
      </c>
      <c r="P128">
        <v>2.2799999999999998</v>
      </c>
      <c r="Q128">
        <v>4.2561999999999998</v>
      </c>
      <c r="R128">
        <v>0.68100000000000005</v>
      </c>
      <c r="S128" t="s">
        <v>2853</v>
      </c>
      <c r="T128">
        <v>6</v>
      </c>
      <c r="U128" t="s">
        <v>89</v>
      </c>
      <c r="W128" t="s">
        <v>754</v>
      </c>
    </row>
    <row r="129" spans="1:23" outlineLevel="2" x14ac:dyDescent="0.25">
      <c r="A129" t="s">
        <v>82</v>
      </c>
      <c r="B129" t="s">
        <v>83</v>
      </c>
      <c r="C129">
        <v>30</v>
      </c>
      <c r="D129" t="s">
        <v>84</v>
      </c>
      <c r="E129">
        <v>184</v>
      </c>
      <c r="F129" t="s">
        <v>85</v>
      </c>
      <c r="G129">
        <v>8656</v>
      </c>
      <c r="H129" t="s">
        <v>31</v>
      </c>
      <c r="I129">
        <v>1000008656</v>
      </c>
      <c r="J129">
        <v>29502669</v>
      </c>
      <c r="K129" t="s">
        <v>2275</v>
      </c>
      <c r="L129" t="s">
        <v>752</v>
      </c>
      <c r="M129" t="s">
        <v>88</v>
      </c>
      <c r="N129">
        <v>93.5</v>
      </c>
      <c r="O129">
        <v>14.22</v>
      </c>
      <c r="P129">
        <v>2.2799999999999998</v>
      </c>
      <c r="Q129">
        <v>4.2561999999999998</v>
      </c>
      <c r="R129">
        <v>0.68100000000000005</v>
      </c>
      <c r="S129" t="s">
        <v>2855</v>
      </c>
      <c r="T129">
        <v>6</v>
      </c>
      <c r="U129" t="s">
        <v>89</v>
      </c>
      <c r="W129" t="s">
        <v>754</v>
      </c>
    </row>
    <row r="130" spans="1:23" outlineLevel="2" x14ac:dyDescent="0.25">
      <c r="A130" t="s">
        <v>82</v>
      </c>
      <c r="B130" t="s">
        <v>83</v>
      </c>
      <c r="C130">
        <v>30</v>
      </c>
      <c r="D130" t="s">
        <v>84</v>
      </c>
      <c r="E130">
        <v>184</v>
      </c>
      <c r="F130" t="s">
        <v>85</v>
      </c>
      <c r="G130">
        <v>8656</v>
      </c>
      <c r="H130" t="s">
        <v>31</v>
      </c>
      <c r="I130">
        <v>1000008656</v>
      </c>
      <c r="J130">
        <v>29505338</v>
      </c>
      <c r="K130" t="s">
        <v>2289</v>
      </c>
      <c r="L130" t="s">
        <v>752</v>
      </c>
      <c r="M130" t="s">
        <v>88</v>
      </c>
      <c r="N130">
        <v>127.5</v>
      </c>
      <c r="O130">
        <v>14.22</v>
      </c>
      <c r="P130">
        <v>2.2799999999999998</v>
      </c>
      <c r="Q130">
        <v>4.2561999999999998</v>
      </c>
      <c r="R130">
        <v>0.68100000000000005</v>
      </c>
      <c r="S130" t="s">
        <v>2857</v>
      </c>
      <c r="T130">
        <v>6</v>
      </c>
      <c r="U130" t="s">
        <v>89</v>
      </c>
      <c r="W130" t="s">
        <v>754</v>
      </c>
    </row>
    <row r="131" spans="1:23" outlineLevel="2" x14ac:dyDescent="0.25">
      <c r="A131" t="s">
        <v>82</v>
      </c>
      <c r="B131" t="s">
        <v>83</v>
      </c>
      <c r="C131">
        <v>30</v>
      </c>
      <c r="D131" t="s">
        <v>84</v>
      </c>
      <c r="E131">
        <v>184</v>
      </c>
      <c r="F131" t="s">
        <v>85</v>
      </c>
      <c r="G131">
        <v>8657</v>
      </c>
      <c r="H131" t="s">
        <v>44</v>
      </c>
      <c r="I131">
        <v>1000008657</v>
      </c>
      <c r="J131">
        <v>29426957</v>
      </c>
      <c r="K131" t="s">
        <v>1644</v>
      </c>
      <c r="L131" t="s">
        <v>752</v>
      </c>
      <c r="M131" t="s">
        <v>88</v>
      </c>
      <c r="N131">
        <v>44.5</v>
      </c>
      <c r="O131">
        <v>14.22</v>
      </c>
      <c r="P131">
        <v>2.2799999999999998</v>
      </c>
      <c r="Q131">
        <v>4.2561999999999998</v>
      </c>
      <c r="R131">
        <v>0.68100000000000005</v>
      </c>
      <c r="S131" t="s">
        <v>351</v>
      </c>
      <c r="T131">
        <v>6</v>
      </c>
      <c r="U131" t="s">
        <v>89</v>
      </c>
      <c r="W131" t="s">
        <v>754</v>
      </c>
    </row>
    <row r="132" spans="1:23" outlineLevel="2" x14ac:dyDescent="0.25">
      <c r="A132" t="s">
        <v>82</v>
      </c>
      <c r="B132" t="s">
        <v>83</v>
      </c>
      <c r="C132">
        <v>30</v>
      </c>
      <c r="D132" t="s">
        <v>84</v>
      </c>
      <c r="E132">
        <v>184</v>
      </c>
      <c r="F132" t="s">
        <v>85</v>
      </c>
      <c r="G132">
        <v>8657</v>
      </c>
      <c r="H132" t="s">
        <v>44</v>
      </c>
      <c r="I132">
        <v>1000008657</v>
      </c>
      <c r="J132">
        <v>29429852</v>
      </c>
      <c r="K132" t="s">
        <v>1671</v>
      </c>
      <c r="L132" t="s">
        <v>753</v>
      </c>
      <c r="M132" t="s">
        <v>88</v>
      </c>
      <c r="N132">
        <v>102.5</v>
      </c>
      <c r="O132">
        <v>14.22</v>
      </c>
      <c r="P132">
        <v>2.2799999999999998</v>
      </c>
      <c r="Q132">
        <v>4.2561999999999998</v>
      </c>
      <c r="R132">
        <v>0.68100000000000005</v>
      </c>
      <c r="S132" t="s">
        <v>1547</v>
      </c>
      <c r="T132">
        <v>6</v>
      </c>
      <c r="U132" t="s">
        <v>89</v>
      </c>
      <c r="W132" t="s">
        <v>754</v>
      </c>
    </row>
    <row r="133" spans="1:23" outlineLevel="2" x14ac:dyDescent="0.25">
      <c r="A133" t="s">
        <v>82</v>
      </c>
      <c r="B133" t="s">
        <v>83</v>
      </c>
      <c r="C133">
        <v>30</v>
      </c>
      <c r="D133" t="s">
        <v>84</v>
      </c>
      <c r="E133">
        <v>184</v>
      </c>
      <c r="F133" t="s">
        <v>85</v>
      </c>
      <c r="G133">
        <v>8657</v>
      </c>
      <c r="H133" t="s">
        <v>44</v>
      </c>
      <c r="I133">
        <v>1000008657</v>
      </c>
      <c r="J133">
        <v>29435239</v>
      </c>
      <c r="K133" t="s">
        <v>1706</v>
      </c>
      <c r="L133" t="s">
        <v>752</v>
      </c>
      <c r="M133" t="s">
        <v>88</v>
      </c>
      <c r="N133">
        <v>79.5</v>
      </c>
      <c r="O133">
        <v>14.22</v>
      </c>
      <c r="P133">
        <v>2.2799999999999998</v>
      </c>
      <c r="Q133">
        <v>4.2561999999999998</v>
      </c>
      <c r="R133">
        <v>0.68100000000000005</v>
      </c>
      <c r="S133" t="s">
        <v>765</v>
      </c>
      <c r="T133">
        <v>6</v>
      </c>
      <c r="U133" t="s">
        <v>89</v>
      </c>
      <c r="W133" t="s">
        <v>754</v>
      </c>
    </row>
    <row r="134" spans="1:23" outlineLevel="2" x14ac:dyDescent="0.25">
      <c r="A134" t="s">
        <v>82</v>
      </c>
      <c r="B134" t="s">
        <v>83</v>
      </c>
      <c r="C134">
        <v>30</v>
      </c>
      <c r="D134" t="s">
        <v>84</v>
      </c>
      <c r="E134">
        <v>184</v>
      </c>
      <c r="F134" t="s">
        <v>85</v>
      </c>
      <c r="G134">
        <v>8657</v>
      </c>
      <c r="H134" t="s">
        <v>44</v>
      </c>
      <c r="I134">
        <v>1000008657</v>
      </c>
      <c r="J134">
        <v>29435351</v>
      </c>
      <c r="K134" t="s">
        <v>1707</v>
      </c>
      <c r="L134" t="s">
        <v>752</v>
      </c>
      <c r="M134" t="s">
        <v>88</v>
      </c>
      <c r="N134">
        <v>99.5</v>
      </c>
      <c r="O134">
        <v>14.22</v>
      </c>
      <c r="P134">
        <v>2.2799999999999998</v>
      </c>
      <c r="Q134">
        <v>4.2561999999999998</v>
      </c>
      <c r="R134">
        <v>0.68100000000000005</v>
      </c>
      <c r="S134" t="s">
        <v>655</v>
      </c>
      <c r="T134">
        <v>6</v>
      </c>
      <c r="U134" t="s">
        <v>89</v>
      </c>
      <c r="W134" t="s">
        <v>754</v>
      </c>
    </row>
    <row r="135" spans="1:23" outlineLevel="2" x14ac:dyDescent="0.25">
      <c r="A135" t="s">
        <v>82</v>
      </c>
      <c r="B135" t="s">
        <v>83</v>
      </c>
      <c r="C135">
        <v>30</v>
      </c>
      <c r="D135" t="s">
        <v>84</v>
      </c>
      <c r="E135">
        <v>184</v>
      </c>
      <c r="F135" t="s">
        <v>85</v>
      </c>
      <c r="G135">
        <v>8657</v>
      </c>
      <c r="H135" t="s">
        <v>44</v>
      </c>
      <c r="I135">
        <v>1000008657</v>
      </c>
      <c r="J135">
        <v>29447235</v>
      </c>
      <c r="K135" t="s">
        <v>1785</v>
      </c>
      <c r="L135" t="s">
        <v>752</v>
      </c>
      <c r="M135" t="s">
        <v>88</v>
      </c>
      <c r="N135">
        <v>211.5</v>
      </c>
      <c r="O135">
        <v>14.22</v>
      </c>
      <c r="P135">
        <v>2.2799999999999998</v>
      </c>
      <c r="Q135">
        <v>4.2561999999999998</v>
      </c>
      <c r="R135">
        <v>0.68100000000000005</v>
      </c>
      <c r="S135" t="s">
        <v>1367</v>
      </c>
      <c r="T135">
        <v>6</v>
      </c>
      <c r="U135" t="s">
        <v>89</v>
      </c>
      <c r="W135" t="s">
        <v>754</v>
      </c>
    </row>
    <row r="136" spans="1:23" outlineLevel="2" x14ac:dyDescent="0.25">
      <c r="A136" s="8" t="s">
        <v>82</v>
      </c>
      <c r="B136" s="8" t="s">
        <v>83</v>
      </c>
      <c r="C136" s="8">
        <v>30</v>
      </c>
      <c r="D136" s="8" t="s">
        <v>84</v>
      </c>
      <c r="E136" s="8">
        <v>184</v>
      </c>
      <c r="F136" s="8" t="s">
        <v>85</v>
      </c>
      <c r="G136" s="8">
        <v>8657</v>
      </c>
      <c r="H136" s="8" t="s">
        <v>44</v>
      </c>
      <c r="I136" s="8">
        <v>1000008657</v>
      </c>
      <c r="J136" s="8">
        <v>29448841</v>
      </c>
      <c r="K136" s="8" t="s">
        <v>1793</v>
      </c>
      <c r="L136" s="8" t="s">
        <v>752</v>
      </c>
      <c r="M136" s="8" t="s">
        <v>88</v>
      </c>
      <c r="N136" s="8">
        <v>63.5</v>
      </c>
      <c r="O136" s="8">
        <v>14.22</v>
      </c>
      <c r="P136" s="8">
        <v>2.2799999999999998</v>
      </c>
      <c r="Q136" s="8">
        <v>4.2561999999999998</v>
      </c>
      <c r="R136" s="8">
        <v>0.68100000000000005</v>
      </c>
      <c r="S136" s="8" t="s">
        <v>411</v>
      </c>
      <c r="T136" s="8">
        <v>6</v>
      </c>
      <c r="U136" s="8" t="s">
        <v>89</v>
      </c>
      <c r="V136" s="8"/>
      <c r="W136" t="s">
        <v>754</v>
      </c>
    </row>
    <row r="137" spans="1:23" outlineLevel="2" x14ac:dyDescent="0.25">
      <c r="A137" t="s">
        <v>82</v>
      </c>
      <c r="B137" t="s">
        <v>83</v>
      </c>
      <c r="C137">
        <v>30</v>
      </c>
      <c r="D137" t="s">
        <v>84</v>
      </c>
      <c r="E137">
        <v>184</v>
      </c>
      <c r="F137" t="s">
        <v>85</v>
      </c>
      <c r="G137">
        <v>8657</v>
      </c>
      <c r="H137" t="s">
        <v>44</v>
      </c>
      <c r="I137">
        <v>1000008657</v>
      </c>
      <c r="J137">
        <v>29449694</v>
      </c>
      <c r="K137" t="s">
        <v>1799</v>
      </c>
      <c r="L137" t="s">
        <v>752</v>
      </c>
      <c r="M137" t="s">
        <v>88</v>
      </c>
      <c r="N137">
        <v>541.5</v>
      </c>
      <c r="O137">
        <v>14.22</v>
      </c>
      <c r="P137">
        <v>2.2799999999999998</v>
      </c>
      <c r="Q137">
        <v>4.2561999999999998</v>
      </c>
      <c r="R137">
        <v>0.68100000000000005</v>
      </c>
      <c r="S137" t="s">
        <v>1369</v>
      </c>
      <c r="T137">
        <v>6</v>
      </c>
      <c r="U137" t="s">
        <v>89</v>
      </c>
      <c r="W137" t="s">
        <v>754</v>
      </c>
    </row>
    <row r="138" spans="1:23" outlineLevel="2" x14ac:dyDescent="0.25">
      <c r="A138" t="s">
        <v>82</v>
      </c>
      <c r="B138" t="s">
        <v>83</v>
      </c>
      <c r="C138">
        <v>30</v>
      </c>
      <c r="D138" t="s">
        <v>84</v>
      </c>
      <c r="E138">
        <v>184</v>
      </c>
      <c r="F138" t="s">
        <v>85</v>
      </c>
      <c r="G138">
        <v>8657</v>
      </c>
      <c r="H138" t="s">
        <v>44</v>
      </c>
      <c r="I138">
        <v>1000008657</v>
      </c>
      <c r="J138">
        <v>29452719</v>
      </c>
      <c r="K138" t="s">
        <v>1824</v>
      </c>
      <c r="L138" t="s">
        <v>752</v>
      </c>
      <c r="M138" t="s">
        <v>88</v>
      </c>
      <c r="N138">
        <v>93.5</v>
      </c>
      <c r="O138">
        <v>14.22</v>
      </c>
      <c r="P138">
        <v>2.2799999999999998</v>
      </c>
      <c r="Q138">
        <v>4.2561999999999998</v>
      </c>
      <c r="R138">
        <v>0.68100000000000005</v>
      </c>
      <c r="S138" t="s">
        <v>1071</v>
      </c>
      <c r="T138">
        <v>6</v>
      </c>
      <c r="U138" t="s">
        <v>89</v>
      </c>
      <c r="W138" t="s">
        <v>754</v>
      </c>
    </row>
    <row r="139" spans="1:23" outlineLevel="2" x14ac:dyDescent="0.25">
      <c r="A139" t="s">
        <v>82</v>
      </c>
      <c r="B139" t="s">
        <v>83</v>
      </c>
      <c r="C139">
        <v>30</v>
      </c>
      <c r="D139" t="s">
        <v>84</v>
      </c>
      <c r="E139">
        <v>184</v>
      </c>
      <c r="F139" t="s">
        <v>85</v>
      </c>
      <c r="G139">
        <v>8657</v>
      </c>
      <c r="H139" t="s">
        <v>44</v>
      </c>
      <c r="I139">
        <v>1000008657</v>
      </c>
      <c r="J139">
        <v>29458037</v>
      </c>
      <c r="K139" t="s">
        <v>1842</v>
      </c>
      <c r="L139" t="s">
        <v>752</v>
      </c>
      <c r="M139" t="s">
        <v>88</v>
      </c>
      <c r="N139">
        <v>203.5</v>
      </c>
      <c r="O139">
        <v>14.22</v>
      </c>
      <c r="P139">
        <v>2.2799999999999998</v>
      </c>
      <c r="Q139">
        <v>4.2561999999999998</v>
      </c>
      <c r="R139">
        <v>0.68100000000000005</v>
      </c>
      <c r="S139" t="s">
        <v>1073</v>
      </c>
      <c r="T139">
        <v>6</v>
      </c>
      <c r="U139" t="s">
        <v>89</v>
      </c>
      <c r="W139" t="s">
        <v>754</v>
      </c>
    </row>
    <row r="140" spans="1:23" outlineLevel="2" x14ac:dyDescent="0.25">
      <c r="A140" t="s">
        <v>82</v>
      </c>
      <c r="B140" t="s">
        <v>83</v>
      </c>
      <c r="C140">
        <v>30</v>
      </c>
      <c r="D140" t="s">
        <v>84</v>
      </c>
      <c r="E140">
        <v>184</v>
      </c>
      <c r="F140" t="s">
        <v>85</v>
      </c>
      <c r="G140">
        <v>8657</v>
      </c>
      <c r="H140" t="s">
        <v>44</v>
      </c>
      <c r="I140">
        <v>1000008657</v>
      </c>
      <c r="J140">
        <v>29463878</v>
      </c>
      <c r="K140" t="s">
        <v>1875</v>
      </c>
      <c r="L140" t="s">
        <v>752</v>
      </c>
      <c r="M140" t="s">
        <v>88</v>
      </c>
      <c r="N140">
        <v>319.5</v>
      </c>
      <c r="O140">
        <v>14.22</v>
      </c>
      <c r="P140">
        <v>2.2799999999999998</v>
      </c>
      <c r="Q140">
        <v>4.2561999999999998</v>
      </c>
      <c r="R140">
        <v>0.68100000000000005</v>
      </c>
      <c r="S140" t="s">
        <v>652</v>
      </c>
      <c r="T140">
        <v>6</v>
      </c>
      <c r="U140" t="s">
        <v>89</v>
      </c>
      <c r="W140" t="s">
        <v>754</v>
      </c>
    </row>
    <row r="141" spans="1:23" outlineLevel="2" x14ac:dyDescent="0.25">
      <c r="A141" t="s">
        <v>82</v>
      </c>
      <c r="B141" t="s">
        <v>83</v>
      </c>
      <c r="C141">
        <v>30</v>
      </c>
      <c r="D141" t="s">
        <v>84</v>
      </c>
      <c r="E141">
        <v>184</v>
      </c>
      <c r="F141" t="s">
        <v>85</v>
      </c>
      <c r="G141">
        <v>8657</v>
      </c>
      <c r="H141" t="s">
        <v>44</v>
      </c>
      <c r="I141">
        <v>1000008657</v>
      </c>
      <c r="J141">
        <v>29464071</v>
      </c>
      <c r="K141" t="s">
        <v>1878</v>
      </c>
      <c r="L141" t="s">
        <v>752</v>
      </c>
      <c r="M141" t="s">
        <v>88</v>
      </c>
      <c r="N141">
        <v>99.5</v>
      </c>
      <c r="O141">
        <v>14.22</v>
      </c>
      <c r="P141">
        <v>2.2799999999999998</v>
      </c>
      <c r="Q141">
        <v>4.2561999999999998</v>
      </c>
      <c r="R141">
        <v>0.68100000000000005</v>
      </c>
      <c r="S141" t="s">
        <v>1076</v>
      </c>
      <c r="T141">
        <v>6</v>
      </c>
      <c r="U141" t="s">
        <v>89</v>
      </c>
      <c r="W141" t="s">
        <v>754</v>
      </c>
    </row>
    <row r="142" spans="1:23" outlineLevel="2" x14ac:dyDescent="0.25">
      <c r="A142" t="s">
        <v>82</v>
      </c>
      <c r="B142" t="s">
        <v>83</v>
      </c>
      <c r="C142">
        <v>30</v>
      </c>
      <c r="D142" t="s">
        <v>84</v>
      </c>
      <c r="E142">
        <v>184</v>
      </c>
      <c r="F142" t="s">
        <v>85</v>
      </c>
      <c r="G142">
        <v>8657</v>
      </c>
      <c r="H142" t="s">
        <v>44</v>
      </c>
      <c r="I142">
        <v>1000008657</v>
      </c>
      <c r="J142">
        <v>29464194</v>
      </c>
      <c r="K142" t="s">
        <v>1879</v>
      </c>
      <c r="L142" t="s">
        <v>752</v>
      </c>
      <c r="M142" t="s">
        <v>88</v>
      </c>
      <c r="N142">
        <v>198.5</v>
      </c>
      <c r="O142">
        <v>14.22</v>
      </c>
      <c r="P142">
        <v>2.2799999999999998</v>
      </c>
      <c r="Q142">
        <v>4.2561999999999998</v>
      </c>
      <c r="R142">
        <v>0.68100000000000005</v>
      </c>
      <c r="S142" t="s">
        <v>1078</v>
      </c>
      <c r="T142">
        <v>6</v>
      </c>
      <c r="U142" t="s">
        <v>89</v>
      </c>
      <c r="W142" t="s">
        <v>754</v>
      </c>
    </row>
    <row r="143" spans="1:23" outlineLevel="2" x14ac:dyDescent="0.25">
      <c r="A143" t="s">
        <v>82</v>
      </c>
      <c r="B143" t="s">
        <v>83</v>
      </c>
      <c r="C143">
        <v>30</v>
      </c>
      <c r="D143" t="s">
        <v>84</v>
      </c>
      <c r="E143">
        <v>184</v>
      </c>
      <c r="F143" t="s">
        <v>85</v>
      </c>
      <c r="G143">
        <v>8657</v>
      </c>
      <c r="H143" t="s">
        <v>44</v>
      </c>
      <c r="I143">
        <v>1000008657</v>
      </c>
      <c r="J143">
        <v>29469908</v>
      </c>
      <c r="K143" t="s">
        <v>1934</v>
      </c>
      <c r="L143" t="s">
        <v>752</v>
      </c>
      <c r="M143" t="s">
        <v>88</v>
      </c>
      <c r="N143">
        <v>65.5</v>
      </c>
      <c r="O143">
        <v>14.22</v>
      </c>
      <c r="P143">
        <v>2.2799999999999998</v>
      </c>
      <c r="Q143">
        <v>4.2561999999999998</v>
      </c>
      <c r="R143">
        <v>0.68100000000000005</v>
      </c>
      <c r="S143" t="s">
        <v>2859</v>
      </c>
      <c r="T143">
        <v>6</v>
      </c>
      <c r="U143" t="s">
        <v>89</v>
      </c>
      <c r="W143" t="s">
        <v>754</v>
      </c>
    </row>
    <row r="144" spans="1:23" outlineLevel="2" x14ac:dyDescent="0.25">
      <c r="A144" t="s">
        <v>82</v>
      </c>
      <c r="B144" t="s">
        <v>83</v>
      </c>
      <c r="C144">
        <v>30</v>
      </c>
      <c r="D144" t="s">
        <v>84</v>
      </c>
      <c r="E144">
        <v>184</v>
      </c>
      <c r="F144" t="s">
        <v>85</v>
      </c>
      <c r="G144">
        <v>8657</v>
      </c>
      <c r="H144" t="s">
        <v>44</v>
      </c>
      <c r="I144">
        <v>1000008657</v>
      </c>
      <c r="J144">
        <v>29470104</v>
      </c>
      <c r="K144" t="s">
        <v>1936</v>
      </c>
      <c r="L144" t="s">
        <v>752</v>
      </c>
      <c r="M144" t="s">
        <v>88</v>
      </c>
      <c r="N144">
        <v>68.5</v>
      </c>
      <c r="O144">
        <v>14.22</v>
      </c>
      <c r="P144">
        <v>2.2799999999999998</v>
      </c>
      <c r="Q144">
        <v>4.2561999999999998</v>
      </c>
      <c r="R144">
        <v>0.68100000000000005</v>
      </c>
      <c r="S144" t="s">
        <v>2861</v>
      </c>
      <c r="T144">
        <v>6</v>
      </c>
      <c r="U144" t="s">
        <v>89</v>
      </c>
      <c r="W144" t="s">
        <v>754</v>
      </c>
    </row>
    <row r="145" spans="1:23" outlineLevel="2" x14ac:dyDescent="0.25">
      <c r="A145" t="s">
        <v>82</v>
      </c>
      <c r="B145" t="s">
        <v>83</v>
      </c>
      <c r="C145">
        <v>30</v>
      </c>
      <c r="D145" t="s">
        <v>84</v>
      </c>
      <c r="E145">
        <v>184</v>
      </c>
      <c r="F145" t="s">
        <v>85</v>
      </c>
      <c r="G145">
        <v>8657</v>
      </c>
      <c r="H145" t="s">
        <v>44</v>
      </c>
      <c r="I145">
        <v>1000008657</v>
      </c>
      <c r="J145">
        <v>29470359</v>
      </c>
      <c r="K145" t="s">
        <v>1941</v>
      </c>
      <c r="L145" t="s">
        <v>752</v>
      </c>
      <c r="M145" t="s">
        <v>88</v>
      </c>
      <c r="N145">
        <v>123.5</v>
      </c>
      <c r="O145">
        <v>14.22</v>
      </c>
      <c r="P145">
        <v>2.2799999999999998</v>
      </c>
      <c r="Q145">
        <v>4.2561999999999998</v>
      </c>
      <c r="R145">
        <v>0.68100000000000005</v>
      </c>
      <c r="S145" t="s">
        <v>2863</v>
      </c>
      <c r="T145">
        <v>6</v>
      </c>
      <c r="U145" t="s">
        <v>89</v>
      </c>
      <c r="W145" t="s">
        <v>754</v>
      </c>
    </row>
    <row r="146" spans="1:23" outlineLevel="2" x14ac:dyDescent="0.25">
      <c r="A146" t="s">
        <v>82</v>
      </c>
      <c r="B146" t="s">
        <v>83</v>
      </c>
      <c r="C146">
        <v>30</v>
      </c>
      <c r="D146" t="s">
        <v>84</v>
      </c>
      <c r="E146">
        <v>184</v>
      </c>
      <c r="F146" t="s">
        <v>85</v>
      </c>
      <c r="G146">
        <v>8657</v>
      </c>
      <c r="H146" t="s">
        <v>44</v>
      </c>
      <c r="I146">
        <v>1000008657</v>
      </c>
      <c r="J146">
        <v>29470481</v>
      </c>
      <c r="K146" t="s">
        <v>1943</v>
      </c>
      <c r="L146" t="s">
        <v>752</v>
      </c>
      <c r="M146" t="s">
        <v>88</v>
      </c>
      <c r="N146">
        <v>91.5</v>
      </c>
      <c r="O146">
        <v>14.22</v>
      </c>
      <c r="P146">
        <v>2.2799999999999998</v>
      </c>
      <c r="Q146">
        <v>4.2561999999999998</v>
      </c>
      <c r="R146">
        <v>0.68100000000000005</v>
      </c>
      <c r="S146" t="s">
        <v>2865</v>
      </c>
      <c r="T146">
        <v>6</v>
      </c>
      <c r="U146" t="s">
        <v>89</v>
      </c>
      <c r="W146" t="s">
        <v>754</v>
      </c>
    </row>
    <row r="147" spans="1:23" outlineLevel="2" x14ac:dyDescent="0.25">
      <c r="A147" t="s">
        <v>82</v>
      </c>
      <c r="B147" t="s">
        <v>83</v>
      </c>
      <c r="C147">
        <v>30</v>
      </c>
      <c r="D147" t="s">
        <v>84</v>
      </c>
      <c r="E147">
        <v>184</v>
      </c>
      <c r="F147" t="s">
        <v>85</v>
      </c>
      <c r="G147">
        <v>8657</v>
      </c>
      <c r="H147" t="s">
        <v>44</v>
      </c>
      <c r="I147">
        <v>1000008657</v>
      </c>
      <c r="J147">
        <v>29472733</v>
      </c>
      <c r="K147" t="s">
        <v>1982</v>
      </c>
      <c r="L147" t="s">
        <v>752</v>
      </c>
      <c r="M147" t="s">
        <v>88</v>
      </c>
      <c r="N147">
        <v>171.5</v>
      </c>
      <c r="O147">
        <v>14.22</v>
      </c>
      <c r="P147">
        <v>2.2799999999999998</v>
      </c>
      <c r="Q147">
        <v>4.2561999999999998</v>
      </c>
      <c r="R147">
        <v>0.68100000000000005</v>
      </c>
      <c r="S147" t="s">
        <v>2867</v>
      </c>
      <c r="T147">
        <v>6</v>
      </c>
      <c r="U147" t="s">
        <v>89</v>
      </c>
      <c r="W147" t="s">
        <v>754</v>
      </c>
    </row>
    <row r="148" spans="1:23" outlineLevel="2" x14ac:dyDescent="0.25">
      <c r="A148" t="s">
        <v>82</v>
      </c>
      <c r="B148" t="s">
        <v>83</v>
      </c>
      <c r="C148">
        <v>30</v>
      </c>
      <c r="D148" t="s">
        <v>84</v>
      </c>
      <c r="E148">
        <v>184</v>
      </c>
      <c r="F148" t="s">
        <v>85</v>
      </c>
      <c r="G148">
        <v>8657</v>
      </c>
      <c r="H148" t="s">
        <v>44</v>
      </c>
      <c r="I148">
        <v>1000008657</v>
      </c>
      <c r="J148">
        <v>29472992</v>
      </c>
      <c r="K148" t="s">
        <v>1989</v>
      </c>
      <c r="L148" t="s">
        <v>752</v>
      </c>
      <c r="M148" t="s">
        <v>88</v>
      </c>
      <c r="N148">
        <v>275.5</v>
      </c>
      <c r="O148">
        <v>14.22</v>
      </c>
      <c r="P148">
        <v>2.2799999999999998</v>
      </c>
      <c r="Q148">
        <v>4.2561999999999998</v>
      </c>
      <c r="R148">
        <v>0.68100000000000005</v>
      </c>
      <c r="S148" t="s">
        <v>2869</v>
      </c>
      <c r="T148">
        <v>6</v>
      </c>
      <c r="U148" t="s">
        <v>89</v>
      </c>
      <c r="W148" t="s">
        <v>754</v>
      </c>
    </row>
    <row r="149" spans="1:23" outlineLevel="2" x14ac:dyDescent="0.25">
      <c r="A149" t="s">
        <v>82</v>
      </c>
      <c r="B149" t="s">
        <v>83</v>
      </c>
      <c r="C149">
        <v>30</v>
      </c>
      <c r="D149" t="s">
        <v>84</v>
      </c>
      <c r="E149">
        <v>184</v>
      </c>
      <c r="F149" t="s">
        <v>85</v>
      </c>
      <c r="G149">
        <v>8657</v>
      </c>
      <c r="H149" t="s">
        <v>44</v>
      </c>
      <c r="I149">
        <v>1000008657</v>
      </c>
      <c r="J149">
        <v>29473222</v>
      </c>
      <c r="K149" t="s">
        <v>1996</v>
      </c>
      <c r="L149" t="s">
        <v>752</v>
      </c>
      <c r="M149" t="s">
        <v>88</v>
      </c>
      <c r="N149">
        <v>283.5</v>
      </c>
      <c r="O149">
        <v>14.22</v>
      </c>
      <c r="P149">
        <v>2.2799999999999998</v>
      </c>
      <c r="Q149">
        <v>4.2561999999999998</v>
      </c>
      <c r="R149">
        <v>0.68100000000000005</v>
      </c>
      <c r="S149" t="s">
        <v>2871</v>
      </c>
      <c r="T149">
        <v>6</v>
      </c>
      <c r="U149" t="s">
        <v>89</v>
      </c>
      <c r="W149" t="s">
        <v>754</v>
      </c>
    </row>
    <row r="150" spans="1:23" outlineLevel="2" x14ac:dyDescent="0.25">
      <c r="A150" t="s">
        <v>82</v>
      </c>
      <c r="B150" t="s">
        <v>83</v>
      </c>
      <c r="C150">
        <v>30</v>
      </c>
      <c r="D150" t="s">
        <v>84</v>
      </c>
      <c r="E150">
        <v>184</v>
      </c>
      <c r="F150" t="s">
        <v>85</v>
      </c>
      <c r="G150">
        <v>8657</v>
      </c>
      <c r="H150" t="s">
        <v>44</v>
      </c>
      <c r="I150">
        <v>1000008657</v>
      </c>
      <c r="J150">
        <v>29474706</v>
      </c>
      <c r="K150" t="s">
        <v>2021</v>
      </c>
      <c r="L150" t="s">
        <v>752</v>
      </c>
      <c r="M150" t="s">
        <v>88</v>
      </c>
      <c r="N150">
        <v>1121.5</v>
      </c>
      <c r="O150">
        <v>14.22</v>
      </c>
      <c r="P150">
        <v>2.2799999999999998</v>
      </c>
      <c r="Q150">
        <v>4.2561999999999998</v>
      </c>
      <c r="R150">
        <v>0.68100000000000005</v>
      </c>
      <c r="S150" t="s">
        <v>2873</v>
      </c>
      <c r="T150">
        <v>6</v>
      </c>
      <c r="U150" t="s">
        <v>89</v>
      </c>
      <c r="W150" t="s">
        <v>754</v>
      </c>
    </row>
    <row r="151" spans="1:23" outlineLevel="2" x14ac:dyDescent="0.25">
      <c r="A151" t="s">
        <v>82</v>
      </c>
      <c r="B151" t="s">
        <v>83</v>
      </c>
      <c r="C151">
        <v>30</v>
      </c>
      <c r="D151" t="s">
        <v>84</v>
      </c>
      <c r="E151">
        <v>184</v>
      </c>
      <c r="F151" t="s">
        <v>85</v>
      </c>
      <c r="G151">
        <v>8657</v>
      </c>
      <c r="H151" t="s">
        <v>44</v>
      </c>
      <c r="I151">
        <v>1000008657</v>
      </c>
      <c r="J151">
        <v>29475966</v>
      </c>
      <c r="K151" t="s">
        <v>2039</v>
      </c>
      <c r="L151" t="s">
        <v>752</v>
      </c>
      <c r="M151" t="s">
        <v>88</v>
      </c>
      <c r="N151">
        <v>167.5</v>
      </c>
      <c r="O151">
        <v>14.22</v>
      </c>
      <c r="P151">
        <v>2.2799999999999998</v>
      </c>
      <c r="Q151">
        <v>4.2561999999999998</v>
      </c>
      <c r="R151">
        <v>0.68100000000000005</v>
      </c>
      <c r="S151" t="s">
        <v>661</v>
      </c>
      <c r="T151">
        <v>6</v>
      </c>
      <c r="U151" t="s">
        <v>89</v>
      </c>
      <c r="W151" t="s">
        <v>754</v>
      </c>
    </row>
    <row r="152" spans="1:23" outlineLevel="2" x14ac:dyDescent="0.25">
      <c r="A152" t="s">
        <v>82</v>
      </c>
      <c r="B152" t="s">
        <v>83</v>
      </c>
      <c r="C152">
        <v>30</v>
      </c>
      <c r="D152" t="s">
        <v>84</v>
      </c>
      <c r="E152">
        <v>184</v>
      </c>
      <c r="F152" t="s">
        <v>85</v>
      </c>
      <c r="G152">
        <v>8657</v>
      </c>
      <c r="H152" t="s">
        <v>44</v>
      </c>
      <c r="I152">
        <v>1000008657</v>
      </c>
      <c r="J152">
        <v>29476594</v>
      </c>
      <c r="K152" t="s">
        <v>2051</v>
      </c>
      <c r="L152" t="s">
        <v>752</v>
      </c>
      <c r="M152" t="s">
        <v>88</v>
      </c>
      <c r="N152">
        <v>322.5</v>
      </c>
      <c r="O152">
        <v>14.22</v>
      </c>
      <c r="P152">
        <v>2.2799999999999998</v>
      </c>
      <c r="Q152">
        <v>4.2561999999999998</v>
      </c>
      <c r="R152">
        <v>0.68100000000000005</v>
      </c>
      <c r="S152" t="s">
        <v>2876</v>
      </c>
      <c r="T152">
        <v>6</v>
      </c>
      <c r="U152" t="s">
        <v>89</v>
      </c>
      <c r="W152" t="s">
        <v>754</v>
      </c>
    </row>
    <row r="153" spans="1:23" outlineLevel="2" x14ac:dyDescent="0.25">
      <c r="A153" t="s">
        <v>82</v>
      </c>
      <c r="B153" t="s">
        <v>83</v>
      </c>
      <c r="C153">
        <v>30</v>
      </c>
      <c r="D153" t="s">
        <v>84</v>
      </c>
      <c r="E153">
        <v>184</v>
      </c>
      <c r="F153" t="s">
        <v>85</v>
      </c>
      <c r="G153">
        <v>8657</v>
      </c>
      <c r="H153" t="s">
        <v>44</v>
      </c>
      <c r="I153">
        <v>1000008657</v>
      </c>
      <c r="J153">
        <v>29480804</v>
      </c>
      <c r="K153" t="s">
        <v>2100</v>
      </c>
      <c r="L153" t="s">
        <v>752</v>
      </c>
      <c r="M153" t="s">
        <v>88</v>
      </c>
      <c r="N153">
        <v>694.5</v>
      </c>
      <c r="O153">
        <v>14.22</v>
      </c>
      <c r="P153">
        <v>2.2799999999999998</v>
      </c>
      <c r="Q153">
        <v>4.2561999999999998</v>
      </c>
      <c r="R153">
        <v>0.68100000000000005</v>
      </c>
      <c r="S153" t="s">
        <v>2878</v>
      </c>
      <c r="T153">
        <v>6</v>
      </c>
      <c r="U153" t="s">
        <v>89</v>
      </c>
      <c r="W153" t="s">
        <v>754</v>
      </c>
    </row>
    <row r="154" spans="1:23" outlineLevel="2" x14ac:dyDescent="0.25">
      <c r="A154" t="s">
        <v>82</v>
      </c>
      <c r="B154" t="s">
        <v>83</v>
      </c>
      <c r="C154">
        <v>30</v>
      </c>
      <c r="D154" t="s">
        <v>84</v>
      </c>
      <c r="E154">
        <v>184</v>
      </c>
      <c r="F154" t="s">
        <v>85</v>
      </c>
      <c r="G154">
        <v>8657</v>
      </c>
      <c r="H154" t="s">
        <v>44</v>
      </c>
      <c r="I154">
        <v>1000008657</v>
      </c>
      <c r="J154">
        <v>29481134</v>
      </c>
      <c r="K154" t="s">
        <v>2104</v>
      </c>
      <c r="L154" t="s">
        <v>752</v>
      </c>
      <c r="M154" t="s">
        <v>88</v>
      </c>
      <c r="N154">
        <v>354.5</v>
      </c>
      <c r="O154">
        <v>14.22</v>
      </c>
      <c r="P154">
        <v>2.2799999999999998</v>
      </c>
      <c r="Q154">
        <v>4.2561999999999998</v>
      </c>
      <c r="R154">
        <v>0.68100000000000005</v>
      </c>
      <c r="S154" t="s">
        <v>2880</v>
      </c>
      <c r="T154">
        <v>6</v>
      </c>
      <c r="U154" t="s">
        <v>89</v>
      </c>
      <c r="W154" t="s">
        <v>754</v>
      </c>
    </row>
    <row r="155" spans="1:23" outlineLevel="2" x14ac:dyDescent="0.25">
      <c r="A155" t="s">
        <v>82</v>
      </c>
      <c r="B155" t="s">
        <v>83</v>
      </c>
      <c r="C155">
        <v>30</v>
      </c>
      <c r="D155" t="s">
        <v>84</v>
      </c>
      <c r="E155">
        <v>184</v>
      </c>
      <c r="F155" t="s">
        <v>85</v>
      </c>
      <c r="G155">
        <v>8657</v>
      </c>
      <c r="H155" t="s">
        <v>44</v>
      </c>
      <c r="I155">
        <v>1000008657</v>
      </c>
      <c r="J155">
        <v>29481547</v>
      </c>
      <c r="K155" t="s">
        <v>2112</v>
      </c>
      <c r="L155" t="s">
        <v>752</v>
      </c>
      <c r="M155" t="s">
        <v>88</v>
      </c>
      <c r="N155">
        <v>172.5</v>
      </c>
      <c r="O155">
        <v>14.22</v>
      </c>
      <c r="P155">
        <v>2.2799999999999998</v>
      </c>
      <c r="Q155">
        <v>4.2561999999999998</v>
      </c>
      <c r="R155">
        <v>0.68100000000000005</v>
      </c>
      <c r="S155" t="s">
        <v>2882</v>
      </c>
      <c r="T155">
        <v>6</v>
      </c>
      <c r="U155" t="s">
        <v>89</v>
      </c>
      <c r="W155" t="s">
        <v>754</v>
      </c>
    </row>
    <row r="156" spans="1:23" outlineLevel="2" x14ac:dyDescent="0.25">
      <c r="A156" t="s">
        <v>82</v>
      </c>
      <c r="B156" t="s">
        <v>83</v>
      </c>
      <c r="C156">
        <v>30</v>
      </c>
      <c r="D156" t="s">
        <v>84</v>
      </c>
      <c r="E156">
        <v>184</v>
      </c>
      <c r="F156" t="s">
        <v>85</v>
      </c>
      <c r="G156">
        <v>8657</v>
      </c>
      <c r="H156" t="s">
        <v>44</v>
      </c>
      <c r="I156">
        <v>1000008657</v>
      </c>
      <c r="J156">
        <v>29481954</v>
      </c>
      <c r="K156" t="s">
        <v>2118</v>
      </c>
      <c r="L156" t="s">
        <v>752</v>
      </c>
      <c r="M156" t="s">
        <v>88</v>
      </c>
      <c r="N156">
        <v>89.5</v>
      </c>
      <c r="O156">
        <v>14.22</v>
      </c>
      <c r="P156">
        <v>2.2799999999999998</v>
      </c>
      <c r="Q156">
        <v>4.2561999999999998</v>
      </c>
      <c r="R156">
        <v>0.68100000000000005</v>
      </c>
      <c r="S156" t="s">
        <v>2884</v>
      </c>
      <c r="T156">
        <v>6</v>
      </c>
      <c r="U156" t="s">
        <v>89</v>
      </c>
      <c r="W156" t="s">
        <v>754</v>
      </c>
    </row>
    <row r="157" spans="1:23" outlineLevel="2" x14ac:dyDescent="0.25">
      <c r="A157" t="s">
        <v>82</v>
      </c>
      <c r="B157" t="s">
        <v>83</v>
      </c>
      <c r="C157">
        <v>30</v>
      </c>
      <c r="D157" t="s">
        <v>84</v>
      </c>
      <c r="E157">
        <v>184</v>
      </c>
      <c r="F157" t="s">
        <v>85</v>
      </c>
      <c r="G157">
        <v>8657</v>
      </c>
      <c r="H157" t="s">
        <v>44</v>
      </c>
      <c r="I157">
        <v>1000008657</v>
      </c>
      <c r="J157">
        <v>29483678</v>
      </c>
      <c r="K157" t="s">
        <v>2135</v>
      </c>
      <c r="L157" t="s">
        <v>752</v>
      </c>
      <c r="M157" t="s">
        <v>88</v>
      </c>
      <c r="N157">
        <v>348.5</v>
      </c>
      <c r="O157">
        <v>14.22</v>
      </c>
      <c r="P157">
        <v>2.2799999999999998</v>
      </c>
      <c r="Q157">
        <v>4.2561999999999998</v>
      </c>
      <c r="R157">
        <v>0.68100000000000005</v>
      </c>
      <c r="S157" t="s">
        <v>2886</v>
      </c>
      <c r="T157">
        <v>6</v>
      </c>
      <c r="U157" t="s">
        <v>89</v>
      </c>
      <c r="W157" t="s">
        <v>754</v>
      </c>
    </row>
    <row r="158" spans="1:23" outlineLevel="2" x14ac:dyDescent="0.25">
      <c r="A158" t="s">
        <v>82</v>
      </c>
      <c r="B158" t="s">
        <v>83</v>
      </c>
      <c r="C158">
        <v>30</v>
      </c>
      <c r="D158" t="s">
        <v>84</v>
      </c>
      <c r="E158">
        <v>184</v>
      </c>
      <c r="F158" t="s">
        <v>85</v>
      </c>
      <c r="G158">
        <v>8657</v>
      </c>
      <c r="H158" t="s">
        <v>44</v>
      </c>
      <c r="I158">
        <v>1000008657</v>
      </c>
      <c r="J158">
        <v>29484265</v>
      </c>
      <c r="K158" t="s">
        <v>2138</v>
      </c>
      <c r="L158" t="s">
        <v>752</v>
      </c>
      <c r="M158" t="s">
        <v>88</v>
      </c>
      <c r="N158">
        <v>109.5</v>
      </c>
      <c r="O158">
        <v>14.22</v>
      </c>
      <c r="P158">
        <v>2.2799999999999998</v>
      </c>
      <c r="Q158">
        <v>4.2561999999999998</v>
      </c>
      <c r="R158">
        <v>0.68100000000000005</v>
      </c>
      <c r="S158" t="s">
        <v>2888</v>
      </c>
      <c r="T158">
        <v>6</v>
      </c>
      <c r="U158" t="s">
        <v>89</v>
      </c>
      <c r="W158" t="s">
        <v>754</v>
      </c>
    </row>
    <row r="159" spans="1:23" outlineLevel="2" x14ac:dyDescent="0.25">
      <c r="A159" t="s">
        <v>82</v>
      </c>
      <c r="B159" t="s">
        <v>83</v>
      </c>
      <c r="C159">
        <v>30</v>
      </c>
      <c r="D159" t="s">
        <v>84</v>
      </c>
      <c r="E159">
        <v>184</v>
      </c>
      <c r="F159" t="s">
        <v>85</v>
      </c>
      <c r="G159">
        <v>8657</v>
      </c>
      <c r="H159" t="s">
        <v>44</v>
      </c>
      <c r="I159">
        <v>1000008657</v>
      </c>
      <c r="J159">
        <v>29486076</v>
      </c>
      <c r="K159" t="s">
        <v>2149</v>
      </c>
      <c r="L159" t="s">
        <v>752</v>
      </c>
      <c r="M159" t="s">
        <v>88</v>
      </c>
      <c r="N159">
        <v>90.5</v>
      </c>
      <c r="O159">
        <v>14.22</v>
      </c>
      <c r="P159">
        <v>2.2799999999999998</v>
      </c>
      <c r="Q159">
        <v>4.2561999999999998</v>
      </c>
      <c r="R159">
        <v>0.68100000000000005</v>
      </c>
      <c r="S159" t="s">
        <v>2890</v>
      </c>
      <c r="T159">
        <v>6</v>
      </c>
      <c r="U159" t="s">
        <v>89</v>
      </c>
      <c r="W159" t="s">
        <v>754</v>
      </c>
    </row>
    <row r="160" spans="1:23" outlineLevel="2" x14ac:dyDescent="0.25">
      <c r="A160" t="s">
        <v>82</v>
      </c>
      <c r="B160" t="s">
        <v>83</v>
      </c>
      <c r="C160">
        <v>30</v>
      </c>
      <c r="D160" t="s">
        <v>84</v>
      </c>
      <c r="E160">
        <v>184</v>
      </c>
      <c r="F160" t="s">
        <v>85</v>
      </c>
      <c r="G160">
        <v>8657</v>
      </c>
      <c r="H160" t="s">
        <v>44</v>
      </c>
      <c r="I160">
        <v>1000008657</v>
      </c>
      <c r="J160">
        <v>29489269</v>
      </c>
      <c r="K160" t="s">
        <v>2171</v>
      </c>
      <c r="L160" t="s">
        <v>752</v>
      </c>
      <c r="M160" t="s">
        <v>88</v>
      </c>
      <c r="N160">
        <v>371.5</v>
      </c>
      <c r="O160">
        <v>14.22</v>
      </c>
      <c r="P160">
        <v>2.2799999999999998</v>
      </c>
      <c r="Q160">
        <v>4.2561999999999998</v>
      </c>
      <c r="R160">
        <v>0.68100000000000005</v>
      </c>
      <c r="S160" t="s">
        <v>2892</v>
      </c>
      <c r="T160">
        <v>6</v>
      </c>
      <c r="U160" t="s">
        <v>89</v>
      </c>
      <c r="W160" t="s">
        <v>754</v>
      </c>
    </row>
    <row r="161" spans="1:23" outlineLevel="2" x14ac:dyDescent="0.25">
      <c r="A161" t="s">
        <v>82</v>
      </c>
      <c r="B161" t="s">
        <v>83</v>
      </c>
      <c r="C161">
        <v>30</v>
      </c>
      <c r="D161" t="s">
        <v>84</v>
      </c>
      <c r="E161">
        <v>184</v>
      </c>
      <c r="F161" t="s">
        <v>85</v>
      </c>
      <c r="G161">
        <v>8657</v>
      </c>
      <c r="H161" t="s">
        <v>44</v>
      </c>
      <c r="I161">
        <v>1000008657</v>
      </c>
      <c r="J161">
        <v>29493294</v>
      </c>
      <c r="K161" t="s">
        <v>2203</v>
      </c>
      <c r="L161" t="s">
        <v>752</v>
      </c>
      <c r="M161" t="s">
        <v>88</v>
      </c>
      <c r="N161">
        <v>44.5</v>
      </c>
      <c r="O161">
        <v>14.22</v>
      </c>
      <c r="P161">
        <v>2.2799999999999998</v>
      </c>
      <c r="Q161">
        <v>4.2561999999999998</v>
      </c>
      <c r="R161">
        <v>0.68100000000000005</v>
      </c>
      <c r="S161" t="s">
        <v>2894</v>
      </c>
      <c r="T161">
        <v>6</v>
      </c>
      <c r="U161" t="s">
        <v>89</v>
      </c>
      <c r="W161" t="s">
        <v>754</v>
      </c>
    </row>
    <row r="162" spans="1:23" outlineLevel="2" x14ac:dyDescent="0.25">
      <c r="A162" t="s">
        <v>82</v>
      </c>
      <c r="B162" t="s">
        <v>83</v>
      </c>
      <c r="C162">
        <v>30</v>
      </c>
      <c r="D162" t="s">
        <v>84</v>
      </c>
      <c r="E162">
        <v>184</v>
      </c>
      <c r="F162" t="s">
        <v>85</v>
      </c>
      <c r="G162">
        <v>8657</v>
      </c>
      <c r="H162" t="s">
        <v>44</v>
      </c>
      <c r="I162">
        <v>1000008657</v>
      </c>
      <c r="J162">
        <v>29495249</v>
      </c>
      <c r="K162" t="s">
        <v>2219</v>
      </c>
      <c r="L162" t="s">
        <v>752</v>
      </c>
      <c r="M162" t="s">
        <v>88</v>
      </c>
      <c r="N162">
        <v>44.5</v>
      </c>
      <c r="O162">
        <v>14.22</v>
      </c>
      <c r="P162">
        <v>2.2799999999999998</v>
      </c>
      <c r="Q162">
        <v>4.2561999999999998</v>
      </c>
      <c r="R162">
        <v>0.68100000000000005</v>
      </c>
      <c r="S162" t="s">
        <v>2896</v>
      </c>
      <c r="T162">
        <v>6</v>
      </c>
      <c r="U162" t="s">
        <v>89</v>
      </c>
      <c r="W162" t="s">
        <v>754</v>
      </c>
    </row>
    <row r="163" spans="1:23" outlineLevel="2" x14ac:dyDescent="0.25">
      <c r="A163" t="s">
        <v>82</v>
      </c>
      <c r="B163" t="s">
        <v>83</v>
      </c>
      <c r="C163">
        <v>30</v>
      </c>
      <c r="D163" t="s">
        <v>84</v>
      </c>
      <c r="E163">
        <v>184</v>
      </c>
      <c r="F163" t="s">
        <v>85</v>
      </c>
      <c r="G163">
        <v>8657</v>
      </c>
      <c r="H163" t="s">
        <v>44</v>
      </c>
      <c r="I163">
        <v>1000008657</v>
      </c>
      <c r="J163">
        <v>29496803</v>
      </c>
      <c r="K163" t="s">
        <v>2234</v>
      </c>
      <c r="L163" t="s">
        <v>752</v>
      </c>
      <c r="M163" t="s">
        <v>88</v>
      </c>
      <c r="N163">
        <v>89.5</v>
      </c>
      <c r="O163">
        <v>14.22</v>
      </c>
      <c r="P163">
        <v>2.2799999999999998</v>
      </c>
      <c r="Q163">
        <v>4.2561999999999998</v>
      </c>
      <c r="R163">
        <v>0.68100000000000005</v>
      </c>
      <c r="S163" t="s">
        <v>2898</v>
      </c>
      <c r="T163">
        <v>6</v>
      </c>
      <c r="U163" t="s">
        <v>89</v>
      </c>
      <c r="W163" t="s">
        <v>754</v>
      </c>
    </row>
    <row r="164" spans="1:23" outlineLevel="2" x14ac:dyDescent="0.25">
      <c r="A164" t="s">
        <v>82</v>
      </c>
      <c r="B164" t="s">
        <v>83</v>
      </c>
      <c r="C164">
        <v>30</v>
      </c>
      <c r="D164" t="s">
        <v>84</v>
      </c>
      <c r="E164">
        <v>184</v>
      </c>
      <c r="F164" t="s">
        <v>85</v>
      </c>
      <c r="G164">
        <v>8657</v>
      </c>
      <c r="H164" t="s">
        <v>44</v>
      </c>
      <c r="I164">
        <v>1000008657</v>
      </c>
      <c r="J164">
        <v>29498783</v>
      </c>
      <c r="K164" t="s">
        <v>2245</v>
      </c>
      <c r="L164" t="s">
        <v>752</v>
      </c>
      <c r="M164" t="s">
        <v>88</v>
      </c>
      <c r="N164">
        <v>399.5</v>
      </c>
      <c r="O164">
        <v>14.22</v>
      </c>
      <c r="P164">
        <v>2.2799999999999998</v>
      </c>
      <c r="Q164">
        <v>4.2561999999999998</v>
      </c>
      <c r="R164">
        <v>0.68100000000000005</v>
      </c>
      <c r="S164" t="s">
        <v>2900</v>
      </c>
      <c r="T164">
        <v>6</v>
      </c>
      <c r="U164" t="s">
        <v>89</v>
      </c>
      <c r="W164" t="s">
        <v>754</v>
      </c>
    </row>
    <row r="165" spans="1:23" outlineLevel="2" x14ac:dyDescent="0.25">
      <c r="A165" t="s">
        <v>82</v>
      </c>
      <c r="B165" t="s">
        <v>83</v>
      </c>
      <c r="C165">
        <v>30</v>
      </c>
      <c r="D165" t="s">
        <v>84</v>
      </c>
      <c r="E165">
        <v>184</v>
      </c>
      <c r="F165" t="s">
        <v>85</v>
      </c>
      <c r="G165">
        <v>8657</v>
      </c>
      <c r="H165" t="s">
        <v>44</v>
      </c>
      <c r="I165">
        <v>1000008657</v>
      </c>
      <c r="J165">
        <v>29499636</v>
      </c>
      <c r="K165" t="s">
        <v>2250</v>
      </c>
      <c r="L165" t="s">
        <v>752</v>
      </c>
      <c r="M165" t="s">
        <v>88</v>
      </c>
      <c r="N165">
        <v>109.5</v>
      </c>
      <c r="O165">
        <v>14.22</v>
      </c>
      <c r="P165">
        <v>2.2799999999999998</v>
      </c>
      <c r="Q165">
        <v>4.2561999999999998</v>
      </c>
      <c r="R165">
        <v>0.68100000000000005</v>
      </c>
      <c r="S165" t="s">
        <v>2902</v>
      </c>
      <c r="T165">
        <v>6</v>
      </c>
      <c r="U165" t="s">
        <v>89</v>
      </c>
      <c r="W165" t="s">
        <v>754</v>
      </c>
    </row>
    <row r="166" spans="1:23" outlineLevel="2" x14ac:dyDescent="0.25">
      <c r="A166" t="s">
        <v>82</v>
      </c>
      <c r="B166" t="s">
        <v>83</v>
      </c>
      <c r="C166">
        <v>30</v>
      </c>
      <c r="D166" t="s">
        <v>84</v>
      </c>
      <c r="E166">
        <v>184</v>
      </c>
      <c r="F166" t="s">
        <v>85</v>
      </c>
      <c r="G166">
        <v>8657</v>
      </c>
      <c r="H166" t="s">
        <v>44</v>
      </c>
      <c r="I166">
        <v>1000008657</v>
      </c>
      <c r="J166">
        <v>29500902</v>
      </c>
      <c r="K166" t="s">
        <v>2259</v>
      </c>
      <c r="L166" t="s">
        <v>752</v>
      </c>
      <c r="M166" t="s">
        <v>88</v>
      </c>
      <c r="N166">
        <v>1231.5</v>
      </c>
      <c r="O166">
        <v>14.22</v>
      </c>
      <c r="P166">
        <v>2.2799999999999998</v>
      </c>
      <c r="Q166">
        <v>4.2561999999999998</v>
      </c>
      <c r="R166">
        <v>0.68100000000000005</v>
      </c>
      <c r="S166" t="s">
        <v>2904</v>
      </c>
      <c r="T166">
        <v>6</v>
      </c>
      <c r="U166" t="s">
        <v>89</v>
      </c>
      <c r="W166" t="s">
        <v>754</v>
      </c>
    </row>
    <row r="167" spans="1:23" outlineLevel="2" x14ac:dyDescent="0.25">
      <c r="A167" t="s">
        <v>82</v>
      </c>
      <c r="B167" t="s">
        <v>83</v>
      </c>
      <c r="C167">
        <v>30</v>
      </c>
      <c r="D167" t="s">
        <v>84</v>
      </c>
      <c r="E167">
        <v>184</v>
      </c>
      <c r="F167" t="s">
        <v>85</v>
      </c>
      <c r="G167">
        <v>8657</v>
      </c>
      <c r="H167" t="s">
        <v>44</v>
      </c>
      <c r="I167">
        <v>1000008657</v>
      </c>
      <c r="J167">
        <v>29505369</v>
      </c>
      <c r="K167" t="s">
        <v>2290</v>
      </c>
      <c r="L167" t="s">
        <v>752</v>
      </c>
      <c r="M167" t="s">
        <v>88</v>
      </c>
      <c r="N167">
        <v>57.5</v>
      </c>
      <c r="O167">
        <v>14.22</v>
      </c>
      <c r="P167">
        <v>2.2799999999999998</v>
      </c>
      <c r="Q167">
        <v>4.2561999999999998</v>
      </c>
      <c r="R167">
        <v>0.68100000000000005</v>
      </c>
      <c r="S167" t="s">
        <v>2906</v>
      </c>
      <c r="T167">
        <v>6</v>
      </c>
      <c r="U167" t="s">
        <v>89</v>
      </c>
      <c r="W167" t="s">
        <v>754</v>
      </c>
    </row>
    <row r="168" spans="1:23" outlineLevel="2" x14ac:dyDescent="0.25">
      <c r="A168" t="s">
        <v>82</v>
      </c>
      <c r="B168" t="s">
        <v>83</v>
      </c>
      <c r="C168">
        <v>30</v>
      </c>
      <c r="D168" t="s">
        <v>84</v>
      </c>
      <c r="E168">
        <v>184</v>
      </c>
      <c r="F168" t="s">
        <v>85</v>
      </c>
      <c r="G168">
        <v>8657</v>
      </c>
      <c r="H168" t="s">
        <v>44</v>
      </c>
      <c r="I168">
        <v>1000008657</v>
      </c>
      <c r="J168">
        <v>29510102</v>
      </c>
      <c r="K168" t="s">
        <v>2308</v>
      </c>
      <c r="L168" t="s">
        <v>752</v>
      </c>
      <c r="M168" t="s">
        <v>88</v>
      </c>
      <c r="N168">
        <v>157.5</v>
      </c>
      <c r="O168">
        <v>14.22</v>
      </c>
      <c r="P168">
        <v>2.2799999999999998</v>
      </c>
      <c r="Q168">
        <v>4.2561999999999998</v>
      </c>
      <c r="R168">
        <v>0.68100000000000005</v>
      </c>
      <c r="S168" t="s">
        <v>2908</v>
      </c>
      <c r="T168">
        <v>6</v>
      </c>
      <c r="U168" t="s">
        <v>89</v>
      </c>
      <c r="W168" t="s">
        <v>754</v>
      </c>
    </row>
    <row r="169" spans="1:23" outlineLevel="2" x14ac:dyDescent="0.25">
      <c r="A169" t="s">
        <v>82</v>
      </c>
      <c r="B169" t="s">
        <v>83</v>
      </c>
      <c r="C169">
        <v>30</v>
      </c>
      <c r="D169" t="s">
        <v>84</v>
      </c>
      <c r="E169">
        <v>184</v>
      </c>
      <c r="F169" t="s">
        <v>85</v>
      </c>
      <c r="G169">
        <v>8657</v>
      </c>
      <c r="H169" t="s">
        <v>44</v>
      </c>
      <c r="I169">
        <v>1000008657</v>
      </c>
      <c r="J169">
        <v>29511545</v>
      </c>
      <c r="K169" t="s">
        <v>2311</v>
      </c>
      <c r="L169" t="s">
        <v>753</v>
      </c>
      <c r="M169" t="s">
        <v>88</v>
      </c>
      <c r="N169">
        <v>96.5</v>
      </c>
      <c r="O169">
        <v>14.22</v>
      </c>
      <c r="P169">
        <v>2.2799999999999998</v>
      </c>
      <c r="Q169">
        <v>4.2561999999999998</v>
      </c>
      <c r="R169">
        <v>0.68100000000000005</v>
      </c>
      <c r="S169" t="s">
        <v>2910</v>
      </c>
      <c r="T169">
        <v>6</v>
      </c>
      <c r="U169" t="s">
        <v>89</v>
      </c>
      <c r="W169" t="s">
        <v>754</v>
      </c>
    </row>
    <row r="170" spans="1:23" outlineLevel="2" x14ac:dyDescent="0.25">
      <c r="A170" t="s">
        <v>82</v>
      </c>
      <c r="B170" t="s">
        <v>83</v>
      </c>
      <c r="C170">
        <v>30</v>
      </c>
      <c r="D170" t="s">
        <v>84</v>
      </c>
      <c r="E170">
        <v>184</v>
      </c>
      <c r="F170" t="s">
        <v>85</v>
      </c>
      <c r="G170">
        <v>8658</v>
      </c>
      <c r="H170" t="s">
        <v>33</v>
      </c>
      <c r="I170">
        <v>1000008658</v>
      </c>
      <c r="J170">
        <v>29426878</v>
      </c>
      <c r="K170" t="s">
        <v>1642</v>
      </c>
      <c r="L170" t="s">
        <v>753</v>
      </c>
      <c r="M170" t="s">
        <v>88</v>
      </c>
      <c r="N170">
        <v>113.5</v>
      </c>
      <c r="O170">
        <v>14.22</v>
      </c>
      <c r="P170">
        <v>2.2799999999999998</v>
      </c>
      <c r="Q170">
        <v>4.2561999999999998</v>
      </c>
      <c r="R170">
        <v>0.68100000000000005</v>
      </c>
      <c r="S170" t="s">
        <v>1549</v>
      </c>
      <c r="T170">
        <v>6</v>
      </c>
      <c r="U170" t="s">
        <v>89</v>
      </c>
      <c r="W170" t="s">
        <v>754</v>
      </c>
    </row>
    <row r="171" spans="1:23" outlineLevel="2" x14ac:dyDescent="0.25">
      <c r="A171" t="s">
        <v>82</v>
      </c>
      <c r="B171" t="s">
        <v>83</v>
      </c>
      <c r="C171">
        <v>30</v>
      </c>
      <c r="D171" t="s">
        <v>84</v>
      </c>
      <c r="E171">
        <v>184</v>
      </c>
      <c r="F171" t="s">
        <v>85</v>
      </c>
      <c r="G171">
        <v>8658</v>
      </c>
      <c r="H171" t="s">
        <v>33</v>
      </c>
      <c r="I171">
        <v>1000008658</v>
      </c>
      <c r="J171">
        <v>29426925</v>
      </c>
      <c r="K171" t="s">
        <v>1643</v>
      </c>
      <c r="L171" t="s">
        <v>752</v>
      </c>
      <c r="M171" t="s">
        <v>88</v>
      </c>
      <c r="N171">
        <v>57.5</v>
      </c>
      <c r="O171">
        <v>14.22</v>
      </c>
      <c r="P171">
        <v>2.2799999999999998</v>
      </c>
      <c r="Q171">
        <v>4.2561999999999998</v>
      </c>
      <c r="R171">
        <v>0.68100000000000005</v>
      </c>
      <c r="S171" t="s">
        <v>1551</v>
      </c>
      <c r="T171">
        <v>6</v>
      </c>
      <c r="U171" t="s">
        <v>89</v>
      </c>
      <c r="W171" t="s">
        <v>754</v>
      </c>
    </row>
    <row r="172" spans="1:23" outlineLevel="2" x14ac:dyDescent="0.25">
      <c r="A172" t="s">
        <v>82</v>
      </c>
      <c r="B172" t="s">
        <v>83</v>
      </c>
      <c r="C172">
        <v>30</v>
      </c>
      <c r="D172" t="s">
        <v>84</v>
      </c>
      <c r="E172">
        <v>184</v>
      </c>
      <c r="F172" t="s">
        <v>85</v>
      </c>
      <c r="G172">
        <v>8658</v>
      </c>
      <c r="H172" t="s">
        <v>33</v>
      </c>
      <c r="I172">
        <v>1000008658</v>
      </c>
      <c r="J172">
        <v>29428674</v>
      </c>
      <c r="K172" t="s">
        <v>1657</v>
      </c>
      <c r="L172" t="s">
        <v>752</v>
      </c>
      <c r="M172" t="s">
        <v>88</v>
      </c>
      <c r="N172">
        <v>70.5</v>
      </c>
      <c r="O172">
        <v>14.22</v>
      </c>
      <c r="P172">
        <v>2.2799999999999998</v>
      </c>
      <c r="Q172">
        <v>4.2561999999999998</v>
      </c>
      <c r="R172">
        <v>0.68100000000000005</v>
      </c>
      <c r="S172" t="s">
        <v>1553</v>
      </c>
      <c r="T172">
        <v>6</v>
      </c>
      <c r="U172" t="s">
        <v>89</v>
      </c>
      <c r="W172" t="s">
        <v>754</v>
      </c>
    </row>
    <row r="173" spans="1:23" outlineLevel="2" x14ac:dyDescent="0.25">
      <c r="A173" t="s">
        <v>82</v>
      </c>
      <c r="B173" t="s">
        <v>83</v>
      </c>
      <c r="C173">
        <v>30</v>
      </c>
      <c r="D173" t="s">
        <v>84</v>
      </c>
      <c r="E173">
        <v>184</v>
      </c>
      <c r="F173" t="s">
        <v>85</v>
      </c>
      <c r="G173">
        <v>8658</v>
      </c>
      <c r="H173" t="s">
        <v>33</v>
      </c>
      <c r="I173">
        <v>1000008658</v>
      </c>
      <c r="J173">
        <v>29431125</v>
      </c>
      <c r="K173" t="s">
        <v>1679</v>
      </c>
      <c r="L173" t="s">
        <v>752</v>
      </c>
      <c r="M173" t="s">
        <v>88</v>
      </c>
      <c r="N173">
        <v>109.5</v>
      </c>
      <c r="O173">
        <v>14.22</v>
      </c>
      <c r="P173">
        <v>2.2799999999999998</v>
      </c>
      <c r="Q173">
        <v>4.2561999999999998</v>
      </c>
      <c r="R173">
        <v>0.68100000000000005</v>
      </c>
      <c r="S173" t="s">
        <v>663</v>
      </c>
      <c r="T173">
        <v>6</v>
      </c>
      <c r="U173" t="s">
        <v>89</v>
      </c>
      <c r="W173" t="s">
        <v>754</v>
      </c>
    </row>
    <row r="174" spans="1:23" outlineLevel="2" x14ac:dyDescent="0.25">
      <c r="A174" t="s">
        <v>82</v>
      </c>
      <c r="B174" t="s">
        <v>83</v>
      </c>
      <c r="C174">
        <v>30</v>
      </c>
      <c r="D174" t="s">
        <v>84</v>
      </c>
      <c r="E174">
        <v>184</v>
      </c>
      <c r="F174" t="s">
        <v>85</v>
      </c>
      <c r="G174">
        <v>8658</v>
      </c>
      <c r="H174" t="s">
        <v>33</v>
      </c>
      <c r="I174">
        <v>1000008658</v>
      </c>
      <c r="J174">
        <v>29434744</v>
      </c>
      <c r="K174" t="s">
        <v>1700</v>
      </c>
      <c r="L174" t="s">
        <v>752</v>
      </c>
      <c r="M174" t="s">
        <v>88</v>
      </c>
      <c r="N174">
        <v>105.5</v>
      </c>
      <c r="O174">
        <v>14.22</v>
      </c>
      <c r="P174">
        <v>2.2799999999999998</v>
      </c>
      <c r="Q174">
        <v>4.2561999999999998</v>
      </c>
      <c r="R174">
        <v>0.68100000000000005</v>
      </c>
      <c r="S174" t="s">
        <v>768</v>
      </c>
      <c r="T174">
        <v>6</v>
      </c>
      <c r="U174" t="s">
        <v>89</v>
      </c>
      <c r="W174" t="s">
        <v>754</v>
      </c>
    </row>
    <row r="175" spans="1:23" outlineLevel="2" x14ac:dyDescent="0.25">
      <c r="A175" t="s">
        <v>82</v>
      </c>
      <c r="B175" t="s">
        <v>83</v>
      </c>
      <c r="C175">
        <v>30</v>
      </c>
      <c r="D175" t="s">
        <v>84</v>
      </c>
      <c r="E175">
        <v>184</v>
      </c>
      <c r="F175" t="s">
        <v>85</v>
      </c>
      <c r="G175">
        <v>8658</v>
      </c>
      <c r="H175" t="s">
        <v>33</v>
      </c>
      <c r="I175">
        <v>1000008658</v>
      </c>
      <c r="J175">
        <v>29438762</v>
      </c>
      <c r="K175" t="s">
        <v>1724</v>
      </c>
      <c r="L175" t="s">
        <v>752</v>
      </c>
      <c r="M175" t="s">
        <v>88</v>
      </c>
      <c r="N175">
        <v>190.5</v>
      </c>
      <c r="O175">
        <v>14.22</v>
      </c>
      <c r="P175">
        <v>2.2799999999999998</v>
      </c>
      <c r="Q175">
        <v>4.2561999999999998</v>
      </c>
      <c r="R175">
        <v>0.68100000000000005</v>
      </c>
      <c r="S175" t="s">
        <v>770</v>
      </c>
      <c r="T175">
        <v>6</v>
      </c>
      <c r="U175" t="s">
        <v>89</v>
      </c>
      <c r="W175" t="s">
        <v>754</v>
      </c>
    </row>
    <row r="176" spans="1:23" outlineLevel="2" x14ac:dyDescent="0.25">
      <c r="A176" t="s">
        <v>82</v>
      </c>
      <c r="B176" t="s">
        <v>83</v>
      </c>
      <c r="C176">
        <v>30</v>
      </c>
      <c r="D176" t="s">
        <v>84</v>
      </c>
      <c r="E176">
        <v>184</v>
      </c>
      <c r="F176" t="s">
        <v>85</v>
      </c>
      <c r="G176">
        <v>8658</v>
      </c>
      <c r="H176" t="s">
        <v>33</v>
      </c>
      <c r="I176">
        <v>1000008658</v>
      </c>
      <c r="J176">
        <v>29438788</v>
      </c>
      <c r="K176" t="s">
        <v>1725</v>
      </c>
      <c r="L176" t="s">
        <v>752</v>
      </c>
      <c r="M176" t="s">
        <v>88</v>
      </c>
      <c r="N176">
        <v>142.5</v>
      </c>
      <c r="O176">
        <v>14.22</v>
      </c>
      <c r="P176">
        <v>2.2799999999999998</v>
      </c>
      <c r="Q176">
        <v>4.2561999999999998</v>
      </c>
      <c r="R176">
        <v>0.68100000000000005</v>
      </c>
      <c r="S176" t="s">
        <v>371</v>
      </c>
      <c r="T176">
        <v>6</v>
      </c>
      <c r="U176" t="s">
        <v>89</v>
      </c>
      <c r="W176" t="s">
        <v>754</v>
      </c>
    </row>
    <row r="177" spans="1:23" outlineLevel="2" x14ac:dyDescent="0.25">
      <c r="A177" t="s">
        <v>82</v>
      </c>
      <c r="B177" t="s">
        <v>83</v>
      </c>
      <c r="C177">
        <v>30</v>
      </c>
      <c r="D177" t="s">
        <v>84</v>
      </c>
      <c r="E177">
        <v>184</v>
      </c>
      <c r="F177" t="s">
        <v>85</v>
      </c>
      <c r="G177">
        <v>8658</v>
      </c>
      <c r="H177" t="s">
        <v>33</v>
      </c>
      <c r="I177">
        <v>1000008658</v>
      </c>
      <c r="J177">
        <v>29441835</v>
      </c>
      <c r="K177" t="s">
        <v>1745</v>
      </c>
      <c r="L177" t="s">
        <v>752</v>
      </c>
      <c r="M177" t="s">
        <v>88</v>
      </c>
      <c r="N177">
        <v>44.5</v>
      </c>
      <c r="O177">
        <v>14.22</v>
      </c>
      <c r="P177">
        <v>2.2799999999999998</v>
      </c>
      <c r="Q177">
        <v>4.2561999999999998</v>
      </c>
      <c r="R177">
        <v>0.68100000000000005</v>
      </c>
      <c r="S177" t="s">
        <v>1371</v>
      </c>
      <c r="T177">
        <v>6</v>
      </c>
      <c r="U177" t="s">
        <v>89</v>
      </c>
      <c r="W177" t="s">
        <v>754</v>
      </c>
    </row>
    <row r="178" spans="1:23" outlineLevel="2" x14ac:dyDescent="0.25">
      <c r="A178" t="s">
        <v>82</v>
      </c>
      <c r="B178" t="s">
        <v>83</v>
      </c>
      <c r="C178">
        <v>30</v>
      </c>
      <c r="D178" t="s">
        <v>84</v>
      </c>
      <c r="E178">
        <v>184</v>
      </c>
      <c r="F178" t="s">
        <v>85</v>
      </c>
      <c r="G178">
        <v>8658</v>
      </c>
      <c r="H178" t="s">
        <v>33</v>
      </c>
      <c r="I178">
        <v>1000008658</v>
      </c>
      <c r="J178">
        <v>29448311</v>
      </c>
      <c r="K178" t="s">
        <v>1791</v>
      </c>
      <c r="L178" t="s">
        <v>752</v>
      </c>
      <c r="M178" t="s">
        <v>88</v>
      </c>
      <c r="N178">
        <v>181.5</v>
      </c>
      <c r="O178">
        <v>14.22</v>
      </c>
      <c r="P178">
        <v>2.2799999999999998</v>
      </c>
      <c r="Q178">
        <v>4.2561999999999998</v>
      </c>
      <c r="R178">
        <v>0.68100000000000005</v>
      </c>
      <c r="S178" t="s">
        <v>1373</v>
      </c>
      <c r="T178">
        <v>6</v>
      </c>
      <c r="U178" t="s">
        <v>89</v>
      </c>
      <c r="W178" t="s">
        <v>754</v>
      </c>
    </row>
    <row r="179" spans="1:23" outlineLevel="2" x14ac:dyDescent="0.25">
      <c r="A179" t="s">
        <v>82</v>
      </c>
      <c r="B179" t="s">
        <v>83</v>
      </c>
      <c r="C179">
        <v>30</v>
      </c>
      <c r="D179" t="s">
        <v>84</v>
      </c>
      <c r="E179">
        <v>184</v>
      </c>
      <c r="F179" t="s">
        <v>85</v>
      </c>
      <c r="G179">
        <v>8658</v>
      </c>
      <c r="H179" t="s">
        <v>33</v>
      </c>
      <c r="I179">
        <v>1000008658</v>
      </c>
      <c r="J179">
        <v>29449614</v>
      </c>
      <c r="K179" t="s">
        <v>1798</v>
      </c>
      <c r="L179" t="s">
        <v>752</v>
      </c>
      <c r="M179" t="s">
        <v>88</v>
      </c>
      <c r="N179">
        <v>161.5</v>
      </c>
      <c r="O179">
        <v>14.22</v>
      </c>
      <c r="P179">
        <v>2.2799999999999998</v>
      </c>
      <c r="Q179">
        <v>4.2561999999999998</v>
      </c>
      <c r="R179">
        <v>0.68100000000000005</v>
      </c>
      <c r="S179" t="s">
        <v>1375</v>
      </c>
      <c r="T179">
        <v>6</v>
      </c>
      <c r="U179" t="s">
        <v>89</v>
      </c>
      <c r="W179" t="s">
        <v>754</v>
      </c>
    </row>
    <row r="180" spans="1:23" outlineLevel="2" x14ac:dyDescent="0.25">
      <c r="A180" t="s">
        <v>82</v>
      </c>
      <c r="B180" t="s">
        <v>83</v>
      </c>
      <c r="C180">
        <v>30</v>
      </c>
      <c r="D180" t="s">
        <v>84</v>
      </c>
      <c r="E180">
        <v>184</v>
      </c>
      <c r="F180" t="s">
        <v>85</v>
      </c>
      <c r="G180">
        <v>8658</v>
      </c>
      <c r="H180" t="s">
        <v>33</v>
      </c>
      <c r="I180">
        <v>1000008658</v>
      </c>
      <c r="J180">
        <v>29449885</v>
      </c>
      <c r="K180" t="s">
        <v>1802</v>
      </c>
      <c r="L180" t="s">
        <v>752</v>
      </c>
      <c r="M180" t="s">
        <v>88</v>
      </c>
      <c r="N180">
        <v>156.5</v>
      </c>
      <c r="O180">
        <v>14.22</v>
      </c>
      <c r="P180">
        <v>2.2799999999999998</v>
      </c>
      <c r="Q180">
        <v>4.2561999999999998</v>
      </c>
      <c r="R180">
        <v>0.68100000000000005</v>
      </c>
      <c r="S180" t="s">
        <v>664</v>
      </c>
      <c r="T180">
        <v>6</v>
      </c>
      <c r="U180" t="s">
        <v>89</v>
      </c>
      <c r="W180" t="s">
        <v>754</v>
      </c>
    </row>
    <row r="181" spans="1:23" outlineLevel="2" x14ac:dyDescent="0.25">
      <c r="A181" t="s">
        <v>82</v>
      </c>
      <c r="B181" t="s">
        <v>83</v>
      </c>
      <c r="C181">
        <v>30</v>
      </c>
      <c r="D181" t="s">
        <v>84</v>
      </c>
      <c r="E181">
        <v>184</v>
      </c>
      <c r="F181" t="s">
        <v>85</v>
      </c>
      <c r="G181">
        <v>8658</v>
      </c>
      <c r="H181" t="s">
        <v>33</v>
      </c>
      <c r="I181">
        <v>1000008658</v>
      </c>
      <c r="J181">
        <v>29450614</v>
      </c>
      <c r="K181" t="s">
        <v>1813</v>
      </c>
      <c r="L181" t="s">
        <v>752</v>
      </c>
      <c r="M181" t="s">
        <v>88</v>
      </c>
      <c r="N181">
        <v>190.5</v>
      </c>
      <c r="O181">
        <v>14.22</v>
      </c>
      <c r="P181">
        <v>2.2799999999999998</v>
      </c>
      <c r="Q181">
        <v>4.2561999999999998</v>
      </c>
      <c r="R181">
        <v>0.68100000000000005</v>
      </c>
      <c r="S181" t="s">
        <v>1081</v>
      </c>
      <c r="T181">
        <v>6</v>
      </c>
      <c r="U181" t="s">
        <v>89</v>
      </c>
      <c r="W181" t="s">
        <v>754</v>
      </c>
    </row>
    <row r="182" spans="1:23" outlineLevel="2" x14ac:dyDescent="0.25">
      <c r="A182" t="s">
        <v>82</v>
      </c>
      <c r="B182" t="s">
        <v>83</v>
      </c>
      <c r="C182">
        <v>30</v>
      </c>
      <c r="D182" t="s">
        <v>84</v>
      </c>
      <c r="E182">
        <v>184</v>
      </c>
      <c r="F182" t="s">
        <v>85</v>
      </c>
      <c r="G182">
        <v>8658</v>
      </c>
      <c r="H182" t="s">
        <v>33</v>
      </c>
      <c r="I182">
        <v>1000008658</v>
      </c>
      <c r="J182">
        <v>29450639</v>
      </c>
      <c r="K182" t="s">
        <v>1814</v>
      </c>
      <c r="L182" t="s">
        <v>752</v>
      </c>
      <c r="M182" t="s">
        <v>88</v>
      </c>
      <c r="N182">
        <v>94.5</v>
      </c>
      <c r="O182">
        <v>14.22</v>
      </c>
      <c r="P182">
        <v>2.2799999999999998</v>
      </c>
      <c r="Q182">
        <v>4.2561999999999998</v>
      </c>
      <c r="R182">
        <v>0.68100000000000005</v>
      </c>
      <c r="S182" t="s">
        <v>1083</v>
      </c>
      <c r="T182">
        <v>6</v>
      </c>
      <c r="U182" t="s">
        <v>89</v>
      </c>
      <c r="W182" t="s">
        <v>754</v>
      </c>
    </row>
    <row r="183" spans="1:23" outlineLevel="2" x14ac:dyDescent="0.25">
      <c r="A183" t="s">
        <v>82</v>
      </c>
      <c r="B183" t="s">
        <v>83</v>
      </c>
      <c r="C183">
        <v>30</v>
      </c>
      <c r="D183" t="s">
        <v>84</v>
      </c>
      <c r="E183">
        <v>184</v>
      </c>
      <c r="F183" t="s">
        <v>85</v>
      </c>
      <c r="G183">
        <v>8658</v>
      </c>
      <c r="H183" t="s">
        <v>33</v>
      </c>
      <c r="I183">
        <v>1000008658</v>
      </c>
      <c r="J183">
        <v>29450669</v>
      </c>
      <c r="K183" t="s">
        <v>1815</v>
      </c>
      <c r="L183" t="s">
        <v>752</v>
      </c>
      <c r="M183" t="s">
        <v>88</v>
      </c>
      <c r="N183">
        <v>104.5</v>
      </c>
      <c r="O183">
        <v>14.22</v>
      </c>
      <c r="P183">
        <v>2.2799999999999998</v>
      </c>
      <c r="Q183">
        <v>4.2561999999999998</v>
      </c>
      <c r="R183">
        <v>0.68100000000000005</v>
      </c>
      <c r="S183" t="s">
        <v>1085</v>
      </c>
      <c r="T183">
        <v>6</v>
      </c>
      <c r="U183" t="s">
        <v>89</v>
      </c>
      <c r="W183" t="s">
        <v>754</v>
      </c>
    </row>
    <row r="184" spans="1:23" outlineLevel="2" x14ac:dyDescent="0.25">
      <c r="A184" t="s">
        <v>82</v>
      </c>
      <c r="B184" t="s">
        <v>83</v>
      </c>
      <c r="C184">
        <v>30</v>
      </c>
      <c r="D184" t="s">
        <v>84</v>
      </c>
      <c r="E184">
        <v>184</v>
      </c>
      <c r="F184" t="s">
        <v>85</v>
      </c>
      <c r="G184">
        <v>8658</v>
      </c>
      <c r="H184" t="s">
        <v>33</v>
      </c>
      <c r="I184">
        <v>1000008658</v>
      </c>
      <c r="J184">
        <v>29453426</v>
      </c>
      <c r="K184" t="s">
        <v>1826</v>
      </c>
      <c r="L184" t="s">
        <v>752</v>
      </c>
      <c r="M184" t="s">
        <v>88</v>
      </c>
      <c r="N184">
        <v>89.5</v>
      </c>
      <c r="O184">
        <v>14.22</v>
      </c>
      <c r="P184">
        <v>2.2799999999999998</v>
      </c>
      <c r="Q184">
        <v>4.2561999999999998</v>
      </c>
      <c r="R184">
        <v>0.68100000000000005</v>
      </c>
      <c r="S184" t="s">
        <v>1087</v>
      </c>
      <c r="T184">
        <v>6</v>
      </c>
      <c r="U184" t="s">
        <v>89</v>
      </c>
      <c r="W184" t="s">
        <v>754</v>
      </c>
    </row>
    <row r="185" spans="1:23" outlineLevel="2" x14ac:dyDescent="0.25">
      <c r="A185" t="s">
        <v>82</v>
      </c>
      <c r="B185" t="s">
        <v>83</v>
      </c>
      <c r="C185">
        <v>30</v>
      </c>
      <c r="D185" t="s">
        <v>84</v>
      </c>
      <c r="E185">
        <v>184</v>
      </c>
      <c r="F185" t="s">
        <v>85</v>
      </c>
      <c r="G185">
        <v>8658</v>
      </c>
      <c r="H185" t="s">
        <v>33</v>
      </c>
      <c r="I185">
        <v>1000008658</v>
      </c>
      <c r="J185">
        <v>29453499</v>
      </c>
      <c r="K185" t="s">
        <v>1827</v>
      </c>
      <c r="L185" t="s">
        <v>752</v>
      </c>
      <c r="M185" t="s">
        <v>88</v>
      </c>
      <c r="N185">
        <v>178.5</v>
      </c>
      <c r="O185">
        <v>14.22</v>
      </c>
      <c r="P185">
        <v>2.2799999999999998</v>
      </c>
      <c r="Q185">
        <v>4.2561999999999998</v>
      </c>
      <c r="R185">
        <v>0.68100000000000005</v>
      </c>
      <c r="S185" t="s">
        <v>1089</v>
      </c>
      <c r="T185">
        <v>6</v>
      </c>
      <c r="U185" t="s">
        <v>89</v>
      </c>
      <c r="W185" t="s">
        <v>754</v>
      </c>
    </row>
    <row r="186" spans="1:23" outlineLevel="2" x14ac:dyDescent="0.25">
      <c r="A186" t="s">
        <v>82</v>
      </c>
      <c r="B186" t="s">
        <v>83</v>
      </c>
      <c r="C186">
        <v>30</v>
      </c>
      <c r="D186" t="s">
        <v>84</v>
      </c>
      <c r="E186">
        <v>184</v>
      </c>
      <c r="F186" t="s">
        <v>85</v>
      </c>
      <c r="G186">
        <v>8658</v>
      </c>
      <c r="H186" t="s">
        <v>33</v>
      </c>
      <c r="I186">
        <v>1000008658</v>
      </c>
      <c r="J186">
        <v>29459222</v>
      </c>
      <c r="K186" t="s">
        <v>1848</v>
      </c>
      <c r="L186" t="s">
        <v>752</v>
      </c>
      <c r="M186" t="s">
        <v>88</v>
      </c>
      <c r="N186">
        <v>83.5</v>
      </c>
      <c r="O186">
        <v>14.22</v>
      </c>
      <c r="P186">
        <v>2.2799999999999998</v>
      </c>
      <c r="Q186">
        <v>4.2561999999999998</v>
      </c>
      <c r="R186">
        <v>0.68100000000000005</v>
      </c>
      <c r="S186" t="s">
        <v>1091</v>
      </c>
      <c r="T186">
        <v>6</v>
      </c>
      <c r="U186" t="s">
        <v>89</v>
      </c>
      <c r="W186" t="s">
        <v>754</v>
      </c>
    </row>
    <row r="187" spans="1:23" outlineLevel="2" x14ac:dyDescent="0.25">
      <c r="A187" t="s">
        <v>82</v>
      </c>
      <c r="B187" t="s">
        <v>83</v>
      </c>
      <c r="C187">
        <v>30</v>
      </c>
      <c r="D187" t="s">
        <v>84</v>
      </c>
      <c r="E187">
        <v>184</v>
      </c>
      <c r="F187" t="s">
        <v>85</v>
      </c>
      <c r="G187">
        <v>8658</v>
      </c>
      <c r="H187" t="s">
        <v>33</v>
      </c>
      <c r="I187">
        <v>1000008658</v>
      </c>
      <c r="J187">
        <v>29459265</v>
      </c>
      <c r="K187" t="s">
        <v>1849</v>
      </c>
      <c r="L187" t="s">
        <v>752</v>
      </c>
      <c r="M187" t="s">
        <v>88</v>
      </c>
      <c r="N187">
        <v>166.5</v>
      </c>
      <c r="O187">
        <v>14.22</v>
      </c>
      <c r="P187">
        <v>2.2799999999999998</v>
      </c>
      <c r="Q187">
        <v>4.2561999999999998</v>
      </c>
      <c r="R187">
        <v>0.68100000000000005</v>
      </c>
      <c r="S187" t="s">
        <v>1093</v>
      </c>
      <c r="T187">
        <v>6</v>
      </c>
      <c r="U187" t="s">
        <v>89</v>
      </c>
      <c r="W187" t="s">
        <v>754</v>
      </c>
    </row>
    <row r="188" spans="1:23" outlineLevel="2" x14ac:dyDescent="0.25">
      <c r="A188" t="s">
        <v>82</v>
      </c>
      <c r="B188" t="s">
        <v>83</v>
      </c>
      <c r="C188">
        <v>30</v>
      </c>
      <c r="D188" t="s">
        <v>84</v>
      </c>
      <c r="E188">
        <v>184</v>
      </c>
      <c r="F188" t="s">
        <v>85</v>
      </c>
      <c r="G188">
        <v>8658</v>
      </c>
      <c r="H188" t="s">
        <v>33</v>
      </c>
      <c r="I188">
        <v>1000008658</v>
      </c>
      <c r="J188">
        <v>29459335</v>
      </c>
      <c r="K188" t="s">
        <v>1851</v>
      </c>
      <c r="L188" t="s">
        <v>752</v>
      </c>
      <c r="M188" t="s">
        <v>88</v>
      </c>
      <c r="N188">
        <v>130.5</v>
      </c>
      <c r="O188">
        <v>14.22</v>
      </c>
      <c r="P188">
        <v>2.2799999999999998</v>
      </c>
      <c r="Q188">
        <v>4.2561999999999998</v>
      </c>
      <c r="R188">
        <v>0.68100000000000005</v>
      </c>
      <c r="S188" t="s">
        <v>1095</v>
      </c>
      <c r="T188">
        <v>6</v>
      </c>
      <c r="U188" t="s">
        <v>89</v>
      </c>
      <c r="W188" t="s">
        <v>754</v>
      </c>
    </row>
    <row r="189" spans="1:23" outlineLevel="2" x14ac:dyDescent="0.25">
      <c r="A189" t="s">
        <v>82</v>
      </c>
      <c r="B189" t="s">
        <v>83</v>
      </c>
      <c r="C189">
        <v>30</v>
      </c>
      <c r="D189" t="s">
        <v>84</v>
      </c>
      <c r="E189">
        <v>184</v>
      </c>
      <c r="F189" t="s">
        <v>85</v>
      </c>
      <c r="G189">
        <v>8658</v>
      </c>
      <c r="H189" t="s">
        <v>33</v>
      </c>
      <c r="I189">
        <v>1000008658</v>
      </c>
      <c r="J189">
        <v>29459944</v>
      </c>
      <c r="K189" t="s">
        <v>1855</v>
      </c>
      <c r="L189" t="s">
        <v>752</v>
      </c>
      <c r="M189" t="s">
        <v>88</v>
      </c>
      <c r="N189">
        <v>82.5</v>
      </c>
      <c r="O189">
        <v>14.22</v>
      </c>
      <c r="P189">
        <v>2.2799999999999998</v>
      </c>
      <c r="Q189">
        <v>4.2561999999999998</v>
      </c>
      <c r="R189">
        <v>0.68100000000000005</v>
      </c>
      <c r="S189" t="s">
        <v>1097</v>
      </c>
      <c r="T189">
        <v>6</v>
      </c>
      <c r="U189" t="s">
        <v>89</v>
      </c>
      <c r="W189" t="s">
        <v>754</v>
      </c>
    </row>
    <row r="190" spans="1:23" outlineLevel="2" x14ac:dyDescent="0.25">
      <c r="A190" t="s">
        <v>82</v>
      </c>
      <c r="B190" t="s">
        <v>83</v>
      </c>
      <c r="C190">
        <v>30</v>
      </c>
      <c r="D190" t="s">
        <v>84</v>
      </c>
      <c r="E190">
        <v>184</v>
      </c>
      <c r="F190" t="s">
        <v>85</v>
      </c>
      <c r="G190">
        <v>8658</v>
      </c>
      <c r="H190" t="s">
        <v>33</v>
      </c>
      <c r="I190">
        <v>1000008658</v>
      </c>
      <c r="J190">
        <v>29465468</v>
      </c>
      <c r="K190" t="s">
        <v>1885</v>
      </c>
      <c r="L190" t="s">
        <v>752</v>
      </c>
      <c r="M190" t="s">
        <v>88</v>
      </c>
      <c r="N190">
        <v>132.5</v>
      </c>
      <c r="O190">
        <v>14.22</v>
      </c>
      <c r="P190">
        <v>2.2799999999999998</v>
      </c>
      <c r="Q190">
        <v>4.2561999999999998</v>
      </c>
      <c r="R190">
        <v>0.68100000000000005</v>
      </c>
      <c r="S190" t="s">
        <v>1099</v>
      </c>
      <c r="T190">
        <v>6</v>
      </c>
      <c r="U190" t="s">
        <v>89</v>
      </c>
      <c r="W190" t="s">
        <v>754</v>
      </c>
    </row>
    <row r="191" spans="1:23" outlineLevel="2" x14ac:dyDescent="0.25">
      <c r="A191" t="s">
        <v>82</v>
      </c>
      <c r="B191" t="s">
        <v>83</v>
      </c>
      <c r="C191">
        <v>30</v>
      </c>
      <c r="D191" t="s">
        <v>84</v>
      </c>
      <c r="E191">
        <v>184</v>
      </c>
      <c r="F191" t="s">
        <v>85</v>
      </c>
      <c r="G191">
        <v>8658</v>
      </c>
      <c r="H191" t="s">
        <v>33</v>
      </c>
      <c r="I191">
        <v>1000008658</v>
      </c>
      <c r="J191">
        <v>29466571</v>
      </c>
      <c r="K191" t="s">
        <v>1890</v>
      </c>
      <c r="L191" t="s">
        <v>752</v>
      </c>
      <c r="M191" t="s">
        <v>88</v>
      </c>
      <c r="N191">
        <v>175.5</v>
      </c>
      <c r="O191">
        <v>14.22</v>
      </c>
      <c r="P191">
        <v>2.2799999999999998</v>
      </c>
      <c r="Q191">
        <v>4.2561999999999998</v>
      </c>
      <c r="R191">
        <v>0.68100000000000005</v>
      </c>
      <c r="S191" t="s">
        <v>1101</v>
      </c>
      <c r="T191">
        <v>6</v>
      </c>
      <c r="U191" t="s">
        <v>89</v>
      </c>
      <c r="W191" t="s">
        <v>754</v>
      </c>
    </row>
    <row r="192" spans="1:23" outlineLevel="2" x14ac:dyDescent="0.25">
      <c r="A192" t="s">
        <v>82</v>
      </c>
      <c r="B192" t="s">
        <v>83</v>
      </c>
      <c r="C192">
        <v>30</v>
      </c>
      <c r="D192" t="s">
        <v>84</v>
      </c>
      <c r="E192">
        <v>184</v>
      </c>
      <c r="F192" t="s">
        <v>85</v>
      </c>
      <c r="G192">
        <v>8658</v>
      </c>
      <c r="H192" t="s">
        <v>33</v>
      </c>
      <c r="I192">
        <v>1000008658</v>
      </c>
      <c r="J192">
        <v>29469903</v>
      </c>
      <c r="K192" t="s">
        <v>1933</v>
      </c>
      <c r="L192" t="s">
        <v>752</v>
      </c>
      <c r="M192" t="s">
        <v>88</v>
      </c>
      <c r="N192">
        <v>364.5</v>
      </c>
      <c r="O192">
        <v>14.22</v>
      </c>
      <c r="P192">
        <v>2.2799999999999998</v>
      </c>
      <c r="Q192">
        <v>4.2561999999999998</v>
      </c>
      <c r="R192">
        <v>0.68100000000000005</v>
      </c>
      <c r="S192" t="s">
        <v>2912</v>
      </c>
      <c r="T192">
        <v>6</v>
      </c>
      <c r="U192" t="s">
        <v>89</v>
      </c>
      <c r="W192" t="s">
        <v>754</v>
      </c>
    </row>
    <row r="193" spans="1:23" outlineLevel="2" x14ac:dyDescent="0.25">
      <c r="A193" s="13" t="s">
        <v>82</v>
      </c>
      <c r="B193" s="13" t="s">
        <v>83</v>
      </c>
      <c r="C193" s="13">
        <v>30</v>
      </c>
      <c r="D193" s="13" t="s">
        <v>84</v>
      </c>
      <c r="E193" s="13">
        <v>184</v>
      </c>
      <c r="F193" s="13" t="s">
        <v>85</v>
      </c>
      <c r="G193" s="13">
        <v>8658</v>
      </c>
      <c r="H193" s="13" t="s">
        <v>33</v>
      </c>
      <c r="I193" s="13">
        <v>1000008658</v>
      </c>
      <c r="J193" s="13">
        <v>29471529</v>
      </c>
      <c r="K193" s="13" t="s">
        <v>1962</v>
      </c>
      <c r="L193" s="13" t="s">
        <v>752</v>
      </c>
      <c r="M193" s="13" t="s">
        <v>88</v>
      </c>
      <c r="N193" s="13">
        <v>157.5</v>
      </c>
      <c r="O193" s="13">
        <v>14.22</v>
      </c>
      <c r="P193" s="13">
        <v>2.2799999999999998</v>
      </c>
      <c r="Q193" s="13">
        <v>4.2561999999999998</v>
      </c>
      <c r="R193" s="13">
        <v>0.68100000000000005</v>
      </c>
      <c r="S193" s="13" t="s">
        <v>2915</v>
      </c>
      <c r="T193" s="13">
        <v>6</v>
      </c>
      <c r="U193" s="13" t="s">
        <v>89</v>
      </c>
      <c r="V193" s="13"/>
      <c r="W193" t="s">
        <v>754</v>
      </c>
    </row>
    <row r="194" spans="1:23" outlineLevel="2" x14ac:dyDescent="0.25">
      <c r="A194" t="s">
        <v>82</v>
      </c>
      <c r="B194" t="s">
        <v>83</v>
      </c>
      <c r="C194">
        <v>30</v>
      </c>
      <c r="D194" t="s">
        <v>84</v>
      </c>
      <c r="E194">
        <v>184</v>
      </c>
      <c r="F194" t="s">
        <v>85</v>
      </c>
      <c r="G194">
        <v>8658</v>
      </c>
      <c r="H194" t="s">
        <v>33</v>
      </c>
      <c r="I194">
        <v>1000008658</v>
      </c>
      <c r="J194">
        <v>29471744</v>
      </c>
      <c r="K194" t="s">
        <v>1965</v>
      </c>
      <c r="L194" t="s">
        <v>752</v>
      </c>
      <c r="M194" t="s">
        <v>88</v>
      </c>
      <c r="N194">
        <v>189.5</v>
      </c>
      <c r="O194">
        <v>14.22</v>
      </c>
      <c r="P194">
        <v>2.2799999999999998</v>
      </c>
      <c r="Q194">
        <v>4.2561999999999998</v>
      </c>
      <c r="R194">
        <v>0.68100000000000005</v>
      </c>
      <c r="S194" t="s">
        <v>2917</v>
      </c>
      <c r="T194">
        <v>6</v>
      </c>
      <c r="U194" t="s">
        <v>89</v>
      </c>
      <c r="W194" t="s">
        <v>754</v>
      </c>
    </row>
    <row r="195" spans="1:23" outlineLevel="2" x14ac:dyDescent="0.25">
      <c r="A195" t="s">
        <v>82</v>
      </c>
      <c r="B195" t="s">
        <v>83</v>
      </c>
      <c r="C195">
        <v>30</v>
      </c>
      <c r="D195" t="s">
        <v>84</v>
      </c>
      <c r="E195">
        <v>184</v>
      </c>
      <c r="F195" t="s">
        <v>85</v>
      </c>
      <c r="G195">
        <v>8658</v>
      </c>
      <c r="H195" t="s">
        <v>33</v>
      </c>
      <c r="I195">
        <v>1000008658</v>
      </c>
      <c r="J195">
        <v>29472387</v>
      </c>
      <c r="K195" t="s">
        <v>1975</v>
      </c>
      <c r="L195" t="s">
        <v>752</v>
      </c>
      <c r="M195" t="s">
        <v>88</v>
      </c>
      <c r="N195">
        <v>157.5</v>
      </c>
      <c r="O195">
        <v>14.22</v>
      </c>
      <c r="P195">
        <v>2.2799999999999998</v>
      </c>
      <c r="Q195">
        <v>4.2561999999999998</v>
      </c>
      <c r="R195">
        <v>0.68100000000000005</v>
      </c>
      <c r="S195" t="s">
        <v>2919</v>
      </c>
      <c r="T195">
        <v>6</v>
      </c>
      <c r="U195" t="s">
        <v>89</v>
      </c>
      <c r="W195" t="s">
        <v>754</v>
      </c>
    </row>
    <row r="196" spans="1:23" outlineLevel="2" x14ac:dyDescent="0.25">
      <c r="A196" t="s">
        <v>82</v>
      </c>
      <c r="B196" t="s">
        <v>83</v>
      </c>
      <c r="C196">
        <v>30</v>
      </c>
      <c r="D196" t="s">
        <v>84</v>
      </c>
      <c r="E196">
        <v>184</v>
      </c>
      <c r="F196" t="s">
        <v>85</v>
      </c>
      <c r="G196">
        <v>8658</v>
      </c>
      <c r="H196" t="s">
        <v>33</v>
      </c>
      <c r="I196">
        <v>1000008658</v>
      </c>
      <c r="J196">
        <v>29472721</v>
      </c>
      <c r="K196" t="s">
        <v>1980</v>
      </c>
      <c r="L196" t="s">
        <v>752</v>
      </c>
      <c r="M196" t="s">
        <v>88</v>
      </c>
      <c r="N196">
        <v>76.5</v>
      </c>
      <c r="O196">
        <v>14.22</v>
      </c>
      <c r="P196">
        <v>2.2799999999999998</v>
      </c>
      <c r="Q196">
        <v>4.2561999999999998</v>
      </c>
      <c r="R196">
        <v>0.68100000000000005</v>
      </c>
      <c r="S196" t="s">
        <v>2921</v>
      </c>
      <c r="T196">
        <v>6</v>
      </c>
      <c r="U196" t="s">
        <v>89</v>
      </c>
      <c r="W196" t="s">
        <v>754</v>
      </c>
    </row>
    <row r="197" spans="1:23" outlineLevel="2" x14ac:dyDescent="0.25">
      <c r="A197" t="s">
        <v>82</v>
      </c>
      <c r="B197" t="s">
        <v>83</v>
      </c>
      <c r="C197">
        <v>30</v>
      </c>
      <c r="D197" t="s">
        <v>84</v>
      </c>
      <c r="E197">
        <v>184</v>
      </c>
      <c r="F197" t="s">
        <v>85</v>
      </c>
      <c r="G197">
        <v>8658</v>
      </c>
      <c r="H197" t="s">
        <v>33</v>
      </c>
      <c r="I197">
        <v>1000008658</v>
      </c>
      <c r="J197">
        <v>29472997</v>
      </c>
      <c r="K197" t="s">
        <v>1990</v>
      </c>
      <c r="L197" t="s">
        <v>752</v>
      </c>
      <c r="M197" t="s">
        <v>88</v>
      </c>
      <c r="N197">
        <v>103.5</v>
      </c>
      <c r="O197">
        <v>14.22</v>
      </c>
      <c r="P197">
        <v>2.2799999999999998</v>
      </c>
      <c r="Q197">
        <v>4.2561999999999998</v>
      </c>
      <c r="R197">
        <v>0.68100000000000005</v>
      </c>
      <c r="S197" t="s">
        <v>2923</v>
      </c>
      <c r="T197">
        <v>6</v>
      </c>
      <c r="U197" t="s">
        <v>89</v>
      </c>
      <c r="W197" t="s">
        <v>754</v>
      </c>
    </row>
    <row r="198" spans="1:23" outlineLevel="2" x14ac:dyDescent="0.25">
      <c r="A198" t="s">
        <v>82</v>
      </c>
      <c r="B198" t="s">
        <v>83</v>
      </c>
      <c r="C198">
        <v>30</v>
      </c>
      <c r="D198" t="s">
        <v>84</v>
      </c>
      <c r="E198">
        <v>184</v>
      </c>
      <c r="F198" t="s">
        <v>85</v>
      </c>
      <c r="G198">
        <v>8658</v>
      </c>
      <c r="H198" t="s">
        <v>33</v>
      </c>
      <c r="I198">
        <v>1000008658</v>
      </c>
      <c r="J198">
        <v>29473193</v>
      </c>
      <c r="K198" t="s">
        <v>1994</v>
      </c>
      <c r="L198" t="s">
        <v>752</v>
      </c>
      <c r="M198" t="s">
        <v>88</v>
      </c>
      <c r="N198">
        <v>299.5</v>
      </c>
      <c r="O198">
        <v>14.22</v>
      </c>
      <c r="P198">
        <v>2.2799999999999998</v>
      </c>
      <c r="Q198">
        <v>4.2561999999999998</v>
      </c>
      <c r="R198">
        <v>0.68100000000000005</v>
      </c>
      <c r="S198" t="s">
        <v>2925</v>
      </c>
      <c r="T198">
        <v>6</v>
      </c>
      <c r="U198" t="s">
        <v>89</v>
      </c>
      <c r="W198" t="s">
        <v>754</v>
      </c>
    </row>
    <row r="199" spans="1:23" outlineLevel="2" x14ac:dyDescent="0.25">
      <c r="A199" t="s">
        <v>82</v>
      </c>
      <c r="B199" t="s">
        <v>83</v>
      </c>
      <c r="C199">
        <v>30</v>
      </c>
      <c r="D199" t="s">
        <v>84</v>
      </c>
      <c r="E199">
        <v>184</v>
      </c>
      <c r="F199" t="s">
        <v>85</v>
      </c>
      <c r="G199">
        <v>8658</v>
      </c>
      <c r="H199" t="s">
        <v>33</v>
      </c>
      <c r="I199">
        <v>1000008658</v>
      </c>
      <c r="J199">
        <v>29473807</v>
      </c>
      <c r="K199" t="s">
        <v>2008</v>
      </c>
      <c r="L199" t="s">
        <v>752</v>
      </c>
      <c r="M199" t="s">
        <v>88</v>
      </c>
      <c r="N199">
        <v>137.5</v>
      </c>
      <c r="O199">
        <v>14.22</v>
      </c>
      <c r="P199">
        <v>2.2799999999999998</v>
      </c>
      <c r="Q199">
        <v>4.2561999999999998</v>
      </c>
      <c r="R199">
        <v>0.68100000000000005</v>
      </c>
      <c r="S199" t="s">
        <v>2927</v>
      </c>
      <c r="T199">
        <v>6</v>
      </c>
      <c r="U199" t="s">
        <v>89</v>
      </c>
      <c r="W199" t="s">
        <v>754</v>
      </c>
    </row>
    <row r="200" spans="1:23" outlineLevel="2" x14ac:dyDescent="0.25">
      <c r="A200" t="s">
        <v>82</v>
      </c>
      <c r="B200" t="s">
        <v>83</v>
      </c>
      <c r="C200">
        <v>30</v>
      </c>
      <c r="D200" t="s">
        <v>84</v>
      </c>
      <c r="E200">
        <v>184</v>
      </c>
      <c r="F200" t="s">
        <v>85</v>
      </c>
      <c r="G200">
        <v>8658</v>
      </c>
      <c r="H200" t="s">
        <v>33</v>
      </c>
      <c r="I200">
        <v>1000008658</v>
      </c>
      <c r="J200">
        <v>29474441</v>
      </c>
      <c r="K200" t="s">
        <v>2017</v>
      </c>
      <c r="L200" t="s">
        <v>752</v>
      </c>
      <c r="M200" t="s">
        <v>88</v>
      </c>
      <c r="N200">
        <v>152.5</v>
      </c>
      <c r="O200">
        <v>14.22</v>
      </c>
      <c r="P200">
        <v>2.2799999999999998</v>
      </c>
      <c r="Q200">
        <v>4.2561999999999998</v>
      </c>
      <c r="R200">
        <v>0.68100000000000005</v>
      </c>
      <c r="S200" t="s">
        <v>2929</v>
      </c>
      <c r="T200">
        <v>6</v>
      </c>
      <c r="U200" t="s">
        <v>89</v>
      </c>
      <c r="W200" t="s">
        <v>754</v>
      </c>
    </row>
    <row r="201" spans="1:23" outlineLevel="2" x14ac:dyDescent="0.25">
      <c r="A201" t="s">
        <v>82</v>
      </c>
      <c r="B201" t="s">
        <v>83</v>
      </c>
      <c r="C201">
        <v>30</v>
      </c>
      <c r="D201" t="s">
        <v>84</v>
      </c>
      <c r="E201">
        <v>184</v>
      </c>
      <c r="F201" t="s">
        <v>85</v>
      </c>
      <c r="G201">
        <v>8658</v>
      </c>
      <c r="H201" t="s">
        <v>33</v>
      </c>
      <c r="I201">
        <v>1000008658</v>
      </c>
      <c r="J201">
        <v>29474726</v>
      </c>
      <c r="K201" t="s">
        <v>2022</v>
      </c>
      <c r="L201" t="s">
        <v>752</v>
      </c>
      <c r="M201" t="s">
        <v>88</v>
      </c>
      <c r="N201">
        <v>163.5</v>
      </c>
      <c r="O201">
        <v>14.22</v>
      </c>
      <c r="P201">
        <v>2.2799999999999998</v>
      </c>
      <c r="Q201">
        <v>4.2561999999999998</v>
      </c>
      <c r="R201">
        <v>0.68100000000000005</v>
      </c>
      <c r="S201" t="s">
        <v>2931</v>
      </c>
      <c r="T201">
        <v>6</v>
      </c>
      <c r="U201" t="s">
        <v>89</v>
      </c>
      <c r="W201" t="s">
        <v>754</v>
      </c>
    </row>
    <row r="202" spans="1:23" outlineLevel="2" x14ac:dyDescent="0.25">
      <c r="A202" t="s">
        <v>82</v>
      </c>
      <c r="B202" t="s">
        <v>83</v>
      </c>
      <c r="C202">
        <v>30</v>
      </c>
      <c r="D202" t="s">
        <v>84</v>
      </c>
      <c r="E202">
        <v>184</v>
      </c>
      <c r="F202" t="s">
        <v>85</v>
      </c>
      <c r="G202">
        <v>8658</v>
      </c>
      <c r="H202" t="s">
        <v>33</v>
      </c>
      <c r="I202">
        <v>1000008658</v>
      </c>
      <c r="J202">
        <v>29475525</v>
      </c>
      <c r="K202" t="s">
        <v>2032</v>
      </c>
      <c r="L202" t="s">
        <v>752</v>
      </c>
      <c r="M202" t="s">
        <v>88</v>
      </c>
      <c r="N202">
        <v>247.5</v>
      </c>
      <c r="O202">
        <v>14.22</v>
      </c>
      <c r="P202">
        <v>2.2799999999999998</v>
      </c>
      <c r="Q202">
        <v>4.2561999999999998</v>
      </c>
      <c r="R202">
        <v>0.68100000000000005</v>
      </c>
      <c r="S202" t="s">
        <v>2933</v>
      </c>
      <c r="T202">
        <v>6</v>
      </c>
      <c r="U202" t="s">
        <v>89</v>
      </c>
      <c r="W202" t="s">
        <v>754</v>
      </c>
    </row>
    <row r="203" spans="1:23" outlineLevel="2" x14ac:dyDescent="0.25">
      <c r="A203" t="s">
        <v>82</v>
      </c>
      <c r="B203" t="s">
        <v>83</v>
      </c>
      <c r="C203">
        <v>30</v>
      </c>
      <c r="D203" t="s">
        <v>84</v>
      </c>
      <c r="E203">
        <v>184</v>
      </c>
      <c r="F203" t="s">
        <v>85</v>
      </c>
      <c r="G203">
        <v>8658</v>
      </c>
      <c r="H203" t="s">
        <v>33</v>
      </c>
      <c r="I203">
        <v>1000008658</v>
      </c>
      <c r="J203">
        <v>29476137</v>
      </c>
      <c r="K203" t="s">
        <v>2041</v>
      </c>
      <c r="L203" t="s">
        <v>752</v>
      </c>
      <c r="M203" t="s">
        <v>88</v>
      </c>
      <c r="N203">
        <v>303.5</v>
      </c>
      <c r="O203">
        <v>14.22</v>
      </c>
      <c r="P203">
        <v>2.2799999999999998</v>
      </c>
      <c r="Q203">
        <v>4.2561999999999998</v>
      </c>
      <c r="R203">
        <v>0.68100000000000005</v>
      </c>
      <c r="S203" t="s">
        <v>2935</v>
      </c>
      <c r="T203">
        <v>6</v>
      </c>
      <c r="U203" t="s">
        <v>89</v>
      </c>
      <c r="W203" t="s">
        <v>754</v>
      </c>
    </row>
    <row r="204" spans="1:23" outlineLevel="2" x14ac:dyDescent="0.25">
      <c r="A204" t="s">
        <v>82</v>
      </c>
      <c r="B204" t="s">
        <v>83</v>
      </c>
      <c r="C204">
        <v>30</v>
      </c>
      <c r="D204" t="s">
        <v>84</v>
      </c>
      <c r="E204">
        <v>184</v>
      </c>
      <c r="F204" t="s">
        <v>85</v>
      </c>
      <c r="G204">
        <v>8658</v>
      </c>
      <c r="H204" t="s">
        <v>33</v>
      </c>
      <c r="I204">
        <v>1000008658</v>
      </c>
      <c r="J204">
        <v>29476443</v>
      </c>
      <c r="K204" t="s">
        <v>2046</v>
      </c>
      <c r="L204" t="s">
        <v>752</v>
      </c>
      <c r="M204" t="s">
        <v>88</v>
      </c>
      <c r="N204">
        <v>65.5</v>
      </c>
      <c r="O204">
        <v>14.22</v>
      </c>
      <c r="P204">
        <v>2.2799999999999998</v>
      </c>
      <c r="Q204">
        <v>4.2561999999999998</v>
      </c>
      <c r="R204">
        <v>0.68100000000000005</v>
      </c>
      <c r="S204" t="s">
        <v>2937</v>
      </c>
      <c r="T204">
        <v>6</v>
      </c>
      <c r="U204" t="s">
        <v>89</v>
      </c>
      <c r="W204" t="s">
        <v>754</v>
      </c>
    </row>
    <row r="205" spans="1:23" outlineLevel="2" x14ac:dyDescent="0.25">
      <c r="A205" t="s">
        <v>82</v>
      </c>
      <c r="B205" t="s">
        <v>83</v>
      </c>
      <c r="C205">
        <v>30</v>
      </c>
      <c r="D205" t="s">
        <v>84</v>
      </c>
      <c r="E205">
        <v>184</v>
      </c>
      <c r="F205" t="s">
        <v>85</v>
      </c>
      <c r="G205">
        <v>8658</v>
      </c>
      <c r="H205" t="s">
        <v>33</v>
      </c>
      <c r="I205">
        <v>1000008658</v>
      </c>
      <c r="J205">
        <v>29477149</v>
      </c>
      <c r="K205" t="s">
        <v>2058</v>
      </c>
      <c r="L205" t="s">
        <v>752</v>
      </c>
      <c r="M205" t="s">
        <v>88</v>
      </c>
      <c r="N205">
        <v>144.5</v>
      </c>
      <c r="O205">
        <v>14.22</v>
      </c>
      <c r="P205">
        <v>2.2799999999999998</v>
      </c>
      <c r="Q205">
        <v>4.2561999999999998</v>
      </c>
      <c r="R205">
        <v>0.68100000000000005</v>
      </c>
      <c r="S205" t="s">
        <v>2939</v>
      </c>
      <c r="T205">
        <v>6</v>
      </c>
      <c r="U205" t="s">
        <v>89</v>
      </c>
      <c r="W205" t="s">
        <v>754</v>
      </c>
    </row>
    <row r="206" spans="1:23" outlineLevel="2" x14ac:dyDescent="0.25">
      <c r="A206" t="s">
        <v>82</v>
      </c>
      <c r="B206" t="s">
        <v>83</v>
      </c>
      <c r="C206">
        <v>30</v>
      </c>
      <c r="D206" t="s">
        <v>84</v>
      </c>
      <c r="E206">
        <v>184</v>
      </c>
      <c r="F206" t="s">
        <v>85</v>
      </c>
      <c r="G206">
        <v>8658</v>
      </c>
      <c r="H206" t="s">
        <v>33</v>
      </c>
      <c r="I206">
        <v>1000008658</v>
      </c>
      <c r="J206">
        <v>29477388</v>
      </c>
      <c r="K206" t="s">
        <v>2061</v>
      </c>
      <c r="L206" t="s">
        <v>752</v>
      </c>
      <c r="M206" t="s">
        <v>88</v>
      </c>
      <c r="N206">
        <v>45.5</v>
      </c>
      <c r="O206">
        <v>14.22</v>
      </c>
      <c r="P206">
        <v>2.2799999999999998</v>
      </c>
      <c r="Q206">
        <v>4.2561999999999998</v>
      </c>
      <c r="R206">
        <v>0.68100000000000005</v>
      </c>
      <c r="S206" t="s">
        <v>2941</v>
      </c>
      <c r="T206">
        <v>6</v>
      </c>
      <c r="U206" t="s">
        <v>89</v>
      </c>
      <c r="W206" t="s">
        <v>754</v>
      </c>
    </row>
    <row r="207" spans="1:23" outlineLevel="2" x14ac:dyDescent="0.25">
      <c r="A207" t="s">
        <v>82</v>
      </c>
      <c r="B207" t="s">
        <v>83</v>
      </c>
      <c r="C207">
        <v>30</v>
      </c>
      <c r="D207" t="s">
        <v>84</v>
      </c>
      <c r="E207">
        <v>184</v>
      </c>
      <c r="F207" t="s">
        <v>85</v>
      </c>
      <c r="G207">
        <v>8658</v>
      </c>
      <c r="H207" t="s">
        <v>33</v>
      </c>
      <c r="I207">
        <v>1000008658</v>
      </c>
      <c r="J207">
        <v>29479471</v>
      </c>
      <c r="K207" t="s">
        <v>2081</v>
      </c>
      <c r="L207" t="s">
        <v>752</v>
      </c>
      <c r="M207" t="s">
        <v>88</v>
      </c>
      <c r="N207">
        <v>132.5</v>
      </c>
      <c r="O207">
        <v>14.22</v>
      </c>
      <c r="P207">
        <v>2.2799999999999998</v>
      </c>
      <c r="Q207">
        <v>4.2561999999999998</v>
      </c>
      <c r="R207">
        <v>0.68100000000000005</v>
      </c>
      <c r="S207" t="s">
        <v>2943</v>
      </c>
      <c r="T207">
        <v>6</v>
      </c>
      <c r="U207" t="s">
        <v>89</v>
      </c>
      <c r="W207" t="s">
        <v>754</v>
      </c>
    </row>
    <row r="208" spans="1:23" outlineLevel="2" x14ac:dyDescent="0.25">
      <c r="A208" t="s">
        <v>82</v>
      </c>
      <c r="B208" t="s">
        <v>83</v>
      </c>
      <c r="C208">
        <v>30</v>
      </c>
      <c r="D208" t="s">
        <v>84</v>
      </c>
      <c r="E208">
        <v>184</v>
      </c>
      <c r="F208" t="s">
        <v>85</v>
      </c>
      <c r="G208">
        <v>8658</v>
      </c>
      <c r="H208" t="s">
        <v>33</v>
      </c>
      <c r="I208">
        <v>1000008658</v>
      </c>
      <c r="J208">
        <v>29479806</v>
      </c>
      <c r="K208" t="s">
        <v>2086</v>
      </c>
      <c r="L208" t="s">
        <v>752</v>
      </c>
      <c r="M208" t="s">
        <v>88</v>
      </c>
      <c r="N208">
        <v>113.5</v>
      </c>
      <c r="O208">
        <v>14.22</v>
      </c>
      <c r="P208">
        <v>2.2799999999999998</v>
      </c>
      <c r="Q208">
        <v>4.2561999999999998</v>
      </c>
      <c r="R208">
        <v>0.68100000000000005</v>
      </c>
      <c r="S208" t="s">
        <v>2945</v>
      </c>
      <c r="T208">
        <v>6</v>
      </c>
      <c r="U208" t="s">
        <v>89</v>
      </c>
      <c r="W208" t="s">
        <v>754</v>
      </c>
    </row>
    <row r="209" spans="1:23" outlineLevel="2" x14ac:dyDescent="0.25">
      <c r="A209" t="s">
        <v>82</v>
      </c>
      <c r="B209" t="s">
        <v>83</v>
      </c>
      <c r="C209">
        <v>30</v>
      </c>
      <c r="D209" t="s">
        <v>84</v>
      </c>
      <c r="E209">
        <v>184</v>
      </c>
      <c r="F209" t="s">
        <v>85</v>
      </c>
      <c r="G209">
        <v>8658</v>
      </c>
      <c r="H209" t="s">
        <v>33</v>
      </c>
      <c r="I209">
        <v>1000008658</v>
      </c>
      <c r="J209">
        <v>29480134</v>
      </c>
      <c r="K209" t="s">
        <v>2093</v>
      </c>
      <c r="L209" t="s">
        <v>752</v>
      </c>
      <c r="M209" t="s">
        <v>88</v>
      </c>
      <c r="N209">
        <v>166.5</v>
      </c>
      <c r="O209">
        <v>14.22</v>
      </c>
      <c r="P209">
        <v>2.2799999999999998</v>
      </c>
      <c r="Q209">
        <v>4.2561999999999998</v>
      </c>
      <c r="R209">
        <v>0.68100000000000005</v>
      </c>
      <c r="S209" t="s">
        <v>2947</v>
      </c>
      <c r="T209">
        <v>6</v>
      </c>
      <c r="U209" t="s">
        <v>89</v>
      </c>
      <c r="W209" t="s">
        <v>754</v>
      </c>
    </row>
    <row r="210" spans="1:23" outlineLevel="2" x14ac:dyDescent="0.25">
      <c r="A210" t="s">
        <v>82</v>
      </c>
      <c r="B210" t="s">
        <v>83</v>
      </c>
      <c r="C210">
        <v>30</v>
      </c>
      <c r="D210" t="s">
        <v>84</v>
      </c>
      <c r="E210">
        <v>184</v>
      </c>
      <c r="F210" t="s">
        <v>85</v>
      </c>
      <c r="G210">
        <v>8658</v>
      </c>
      <c r="H210" t="s">
        <v>33</v>
      </c>
      <c r="I210">
        <v>1000008658</v>
      </c>
      <c r="J210">
        <v>29482507</v>
      </c>
      <c r="K210" t="s">
        <v>2125</v>
      </c>
      <c r="L210" t="s">
        <v>752</v>
      </c>
      <c r="M210" t="s">
        <v>88</v>
      </c>
      <c r="N210">
        <v>177.5</v>
      </c>
      <c r="O210">
        <v>14.22</v>
      </c>
      <c r="P210">
        <v>2.2799999999999998</v>
      </c>
      <c r="Q210">
        <v>4.2561999999999998</v>
      </c>
      <c r="R210">
        <v>0.68100000000000005</v>
      </c>
      <c r="S210" t="s">
        <v>2949</v>
      </c>
      <c r="T210">
        <v>6</v>
      </c>
      <c r="U210" t="s">
        <v>89</v>
      </c>
      <c r="W210" t="s">
        <v>754</v>
      </c>
    </row>
    <row r="211" spans="1:23" outlineLevel="2" x14ac:dyDescent="0.25">
      <c r="A211" t="s">
        <v>82</v>
      </c>
      <c r="B211" t="s">
        <v>83</v>
      </c>
      <c r="C211">
        <v>30</v>
      </c>
      <c r="D211" t="s">
        <v>84</v>
      </c>
      <c r="E211">
        <v>184</v>
      </c>
      <c r="F211" t="s">
        <v>85</v>
      </c>
      <c r="G211">
        <v>8658</v>
      </c>
      <c r="H211" t="s">
        <v>33</v>
      </c>
      <c r="I211">
        <v>1000008658</v>
      </c>
      <c r="J211">
        <v>29482926</v>
      </c>
      <c r="K211" t="s">
        <v>2131</v>
      </c>
      <c r="L211" t="s">
        <v>752</v>
      </c>
      <c r="M211" t="s">
        <v>88</v>
      </c>
      <c r="N211">
        <v>806.5</v>
      </c>
      <c r="O211">
        <v>14.22</v>
      </c>
      <c r="P211">
        <v>2.2799999999999998</v>
      </c>
      <c r="Q211">
        <v>4.2561999999999998</v>
      </c>
      <c r="R211">
        <v>0.68100000000000005</v>
      </c>
      <c r="S211" t="s">
        <v>2951</v>
      </c>
      <c r="T211">
        <v>6</v>
      </c>
      <c r="U211" t="s">
        <v>89</v>
      </c>
      <c r="W211" t="s">
        <v>754</v>
      </c>
    </row>
    <row r="212" spans="1:23" outlineLevel="2" x14ac:dyDescent="0.25">
      <c r="A212" t="s">
        <v>82</v>
      </c>
      <c r="B212" t="s">
        <v>83</v>
      </c>
      <c r="C212">
        <v>30</v>
      </c>
      <c r="D212" t="s">
        <v>84</v>
      </c>
      <c r="E212">
        <v>184</v>
      </c>
      <c r="F212" t="s">
        <v>85</v>
      </c>
      <c r="G212">
        <v>8658</v>
      </c>
      <c r="H212" t="s">
        <v>33</v>
      </c>
      <c r="I212">
        <v>1000008658</v>
      </c>
      <c r="J212">
        <v>29485244</v>
      </c>
      <c r="K212" t="s">
        <v>2143</v>
      </c>
      <c r="L212" t="s">
        <v>752</v>
      </c>
      <c r="M212" t="s">
        <v>88</v>
      </c>
      <c r="N212">
        <v>89.5</v>
      </c>
      <c r="O212">
        <v>14.22</v>
      </c>
      <c r="P212">
        <v>2.2799999999999998</v>
      </c>
      <c r="Q212">
        <v>4.2561999999999998</v>
      </c>
      <c r="R212">
        <v>0.68100000000000005</v>
      </c>
      <c r="S212" t="s">
        <v>2953</v>
      </c>
      <c r="T212">
        <v>6</v>
      </c>
      <c r="U212" t="s">
        <v>89</v>
      </c>
      <c r="W212" t="s">
        <v>754</v>
      </c>
    </row>
    <row r="213" spans="1:23" outlineLevel="2" x14ac:dyDescent="0.25">
      <c r="A213" t="s">
        <v>82</v>
      </c>
      <c r="B213" t="s">
        <v>83</v>
      </c>
      <c r="C213">
        <v>30</v>
      </c>
      <c r="D213" t="s">
        <v>84</v>
      </c>
      <c r="E213">
        <v>184</v>
      </c>
      <c r="F213" t="s">
        <v>85</v>
      </c>
      <c r="G213">
        <v>8658</v>
      </c>
      <c r="H213" t="s">
        <v>33</v>
      </c>
      <c r="I213">
        <v>1000008658</v>
      </c>
      <c r="J213">
        <v>29487227</v>
      </c>
      <c r="K213" t="s">
        <v>2154</v>
      </c>
      <c r="L213" t="s">
        <v>752</v>
      </c>
      <c r="M213" t="s">
        <v>88</v>
      </c>
      <c r="N213">
        <v>251.5</v>
      </c>
      <c r="O213">
        <v>14.22</v>
      </c>
      <c r="P213">
        <v>2.2799999999999998</v>
      </c>
      <c r="Q213">
        <v>4.2561999999999998</v>
      </c>
      <c r="R213">
        <v>0.68100000000000005</v>
      </c>
      <c r="S213" t="s">
        <v>2955</v>
      </c>
      <c r="T213">
        <v>6</v>
      </c>
      <c r="U213" t="s">
        <v>89</v>
      </c>
      <c r="W213" t="s">
        <v>754</v>
      </c>
    </row>
    <row r="214" spans="1:23" outlineLevel="2" x14ac:dyDescent="0.25">
      <c r="A214" t="s">
        <v>82</v>
      </c>
      <c r="B214" t="s">
        <v>83</v>
      </c>
      <c r="C214">
        <v>30</v>
      </c>
      <c r="D214" t="s">
        <v>84</v>
      </c>
      <c r="E214">
        <v>184</v>
      </c>
      <c r="F214" t="s">
        <v>85</v>
      </c>
      <c r="G214">
        <v>8658</v>
      </c>
      <c r="H214" t="s">
        <v>33</v>
      </c>
      <c r="I214">
        <v>1000008658</v>
      </c>
      <c r="J214">
        <v>29488205</v>
      </c>
      <c r="K214" t="s">
        <v>2161</v>
      </c>
      <c r="L214" t="s">
        <v>752</v>
      </c>
      <c r="M214" t="s">
        <v>88</v>
      </c>
      <c r="N214">
        <v>160.5</v>
      </c>
      <c r="O214">
        <v>14.22</v>
      </c>
      <c r="P214">
        <v>2.2799999999999998</v>
      </c>
      <c r="Q214">
        <v>4.2561999999999998</v>
      </c>
      <c r="R214">
        <v>0.68100000000000005</v>
      </c>
      <c r="S214" t="s">
        <v>2957</v>
      </c>
      <c r="T214">
        <v>6</v>
      </c>
      <c r="U214" t="s">
        <v>89</v>
      </c>
      <c r="W214" t="s">
        <v>754</v>
      </c>
    </row>
    <row r="215" spans="1:23" outlineLevel="2" x14ac:dyDescent="0.25">
      <c r="A215" t="s">
        <v>82</v>
      </c>
      <c r="B215" t="s">
        <v>83</v>
      </c>
      <c r="C215">
        <v>30</v>
      </c>
      <c r="D215" t="s">
        <v>84</v>
      </c>
      <c r="E215">
        <v>184</v>
      </c>
      <c r="F215" t="s">
        <v>85</v>
      </c>
      <c r="G215">
        <v>8658</v>
      </c>
      <c r="H215" t="s">
        <v>33</v>
      </c>
      <c r="I215">
        <v>1000008658</v>
      </c>
      <c r="J215">
        <v>29489545</v>
      </c>
      <c r="K215" t="s">
        <v>2173</v>
      </c>
      <c r="L215" t="s">
        <v>752</v>
      </c>
      <c r="M215" t="s">
        <v>88</v>
      </c>
      <c r="N215">
        <v>106.5</v>
      </c>
      <c r="O215">
        <v>14.22</v>
      </c>
      <c r="P215">
        <v>2.2799999999999998</v>
      </c>
      <c r="Q215">
        <v>4.2561999999999998</v>
      </c>
      <c r="R215">
        <v>0.68100000000000005</v>
      </c>
      <c r="S215" t="s">
        <v>2959</v>
      </c>
      <c r="T215">
        <v>6</v>
      </c>
      <c r="U215" t="s">
        <v>89</v>
      </c>
      <c r="W215" t="s">
        <v>754</v>
      </c>
    </row>
    <row r="216" spans="1:23" outlineLevel="2" x14ac:dyDescent="0.25">
      <c r="A216" t="s">
        <v>82</v>
      </c>
      <c r="B216" t="s">
        <v>83</v>
      </c>
      <c r="C216">
        <v>30</v>
      </c>
      <c r="D216" t="s">
        <v>84</v>
      </c>
      <c r="E216">
        <v>184</v>
      </c>
      <c r="F216" t="s">
        <v>85</v>
      </c>
      <c r="G216">
        <v>8658</v>
      </c>
      <c r="H216" t="s">
        <v>33</v>
      </c>
      <c r="I216">
        <v>1000008658</v>
      </c>
      <c r="J216">
        <v>29490371</v>
      </c>
      <c r="K216" t="s">
        <v>2180</v>
      </c>
      <c r="L216" t="s">
        <v>752</v>
      </c>
      <c r="M216" t="s">
        <v>88</v>
      </c>
      <c r="N216">
        <v>145.5</v>
      </c>
      <c r="O216">
        <v>14.22</v>
      </c>
      <c r="P216">
        <v>2.2799999999999998</v>
      </c>
      <c r="Q216">
        <v>4.2561999999999998</v>
      </c>
      <c r="R216">
        <v>0.68100000000000005</v>
      </c>
      <c r="S216" t="s">
        <v>2961</v>
      </c>
      <c r="T216">
        <v>6</v>
      </c>
      <c r="U216" t="s">
        <v>89</v>
      </c>
      <c r="W216" t="s">
        <v>754</v>
      </c>
    </row>
    <row r="217" spans="1:23" outlineLevel="2" x14ac:dyDescent="0.25">
      <c r="A217" t="s">
        <v>82</v>
      </c>
      <c r="B217" t="s">
        <v>83</v>
      </c>
      <c r="C217">
        <v>30</v>
      </c>
      <c r="D217" t="s">
        <v>84</v>
      </c>
      <c r="E217">
        <v>184</v>
      </c>
      <c r="F217" t="s">
        <v>85</v>
      </c>
      <c r="G217">
        <v>8658</v>
      </c>
      <c r="H217" t="s">
        <v>33</v>
      </c>
      <c r="I217">
        <v>1000008658</v>
      </c>
      <c r="J217">
        <v>29495792</v>
      </c>
      <c r="K217" t="s">
        <v>2226</v>
      </c>
      <c r="L217" t="s">
        <v>752</v>
      </c>
      <c r="M217" t="s">
        <v>88</v>
      </c>
      <c r="N217">
        <v>283.5</v>
      </c>
      <c r="O217">
        <v>14.22</v>
      </c>
      <c r="P217">
        <v>2.2799999999999998</v>
      </c>
      <c r="Q217">
        <v>4.2561999999999998</v>
      </c>
      <c r="R217">
        <v>0.68100000000000005</v>
      </c>
      <c r="S217" t="s">
        <v>2963</v>
      </c>
      <c r="T217">
        <v>6</v>
      </c>
      <c r="U217" t="s">
        <v>89</v>
      </c>
      <c r="W217" t="s">
        <v>754</v>
      </c>
    </row>
    <row r="218" spans="1:23" outlineLevel="2" x14ac:dyDescent="0.25">
      <c r="A218" t="s">
        <v>82</v>
      </c>
      <c r="B218" t="s">
        <v>83</v>
      </c>
      <c r="C218">
        <v>30</v>
      </c>
      <c r="D218" t="s">
        <v>84</v>
      </c>
      <c r="E218">
        <v>184</v>
      </c>
      <c r="F218" t="s">
        <v>85</v>
      </c>
      <c r="G218">
        <v>8658</v>
      </c>
      <c r="H218" t="s">
        <v>33</v>
      </c>
      <c r="I218">
        <v>1000008658</v>
      </c>
      <c r="J218">
        <v>29496309</v>
      </c>
      <c r="K218" t="s">
        <v>2230</v>
      </c>
      <c r="L218" t="s">
        <v>752</v>
      </c>
      <c r="M218" t="s">
        <v>88</v>
      </c>
      <c r="N218">
        <v>112.5</v>
      </c>
      <c r="O218">
        <v>14.22</v>
      </c>
      <c r="P218">
        <v>2.2799999999999998</v>
      </c>
      <c r="Q218">
        <v>4.2561999999999998</v>
      </c>
      <c r="R218">
        <v>0.68100000000000005</v>
      </c>
      <c r="S218" t="s">
        <v>2965</v>
      </c>
      <c r="T218">
        <v>6</v>
      </c>
      <c r="U218" t="s">
        <v>89</v>
      </c>
      <c r="W218" t="s">
        <v>754</v>
      </c>
    </row>
    <row r="219" spans="1:23" outlineLevel="2" x14ac:dyDescent="0.25">
      <c r="A219" t="s">
        <v>82</v>
      </c>
      <c r="B219" t="s">
        <v>83</v>
      </c>
      <c r="C219">
        <v>30</v>
      </c>
      <c r="D219" t="s">
        <v>84</v>
      </c>
      <c r="E219">
        <v>184</v>
      </c>
      <c r="F219" t="s">
        <v>85</v>
      </c>
      <c r="G219">
        <v>8658</v>
      </c>
      <c r="H219" t="s">
        <v>33</v>
      </c>
      <c r="I219">
        <v>1000008658</v>
      </c>
      <c r="J219">
        <v>29497727</v>
      </c>
      <c r="K219" t="s">
        <v>2238</v>
      </c>
      <c r="L219" t="s">
        <v>752</v>
      </c>
      <c r="M219" t="s">
        <v>88</v>
      </c>
      <c r="N219">
        <v>139.5</v>
      </c>
      <c r="O219">
        <v>14.22</v>
      </c>
      <c r="P219">
        <v>2.2799999999999998</v>
      </c>
      <c r="Q219">
        <v>4.2561999999999998</v>
      </c>
      <c r="R219">
        <v>0.68100000000000005</v>
      </c>
      <c r="S219" t="s">
        <v>2967</v>
      </c>
      <c r="T219">
        <v>6</v>
      </c>
      <c r="U219" t="s">
        <v>89</v>
      </c>
      <c r="W219" t="s">
        <v>754</v>
      </c>
    </row>
    <row r="220" spans="1:23" outlineLevel="2" x14ac:dyDescent="0.25">
      <c r="A220" t="s">
        <v>82</v>
      </c>
      <c r="B220" t="s">
        <v>83</v>
      </c>
      <c r="C220">
        <v>30</v>
      </c>
      <c r="D220" t="s">
        <v>84</v>
      </c>
      <c r="E220">
        <v>184</v>
      </c>
      <c r="F220" t="s">
        <v>85</v>
      </c>
      <c r="G220">
        <v>8658</v>
      </c>
      <c r="H220" t="s">
        <v>33</v>
      </c>
      <c r="I220">
        <v>1000008658</v>
      </c>
      <c r="J220">
        <v>29498135</v>
      </c>
      <c r="K220" t="s">
        <v>2241</v>
      </c>
      <c r="L220" t="s">
        <v>752</v>
      </c>
      <c r="M220" t="s">
        <v>88</v>
      </c>
      <c r="N220">
        <v>22.5</v>
      </c>
      <c r="O220">
        <v>14.22</v>
      </c>
      <c r="P220">
        <v>2.2799999999999998</v>
      </c>
      <c r="Q220">
        <v>4.2561999999999998</v>
      </c>
      <c r="R220">
        <v>0.68100000000000005</v>
      </c>
      <c r="S220" t="s">
        <v>2969</v>
      </c>
      <c r="T220">
        <v>6</v>
      </c>
      <c r="U220" t="s">
        <v>89</v>
      </c>
      <c r="W220" t="s">
        <v>754</v>
      </c>
    </row>
    <row r="221" spans="1:23" outlineLevel="2" x14ac:dyDescent="0.25">
      <c r="A221" t="s">
        <v>82</v>
      </c>
      <c r="B221" t="s">
        <v>83</v>
      </c>
      <c r="C221">
        <v>30</v>
      </c>
      <c r="D221" t="s">
        <v>84</v>
      </c>
      <c r="E221">
        <v>184</v>
      </c>
      <c r="F221" t="s">
        <v>85</v>
      </c>
      <c r="G221">
        <v>8658</v>
      </c>
      <c r="H221" t="s">
        <v>33</v>
      </c>
      <c r="I221">
        <v>1000008658</v>
      </c>
      <c r="J221">
        <v>29498254</v>
      </c>
      <c r="K221" t="s">
        <v>2242</v>
      </c>
      <c r="L221" t="s">
        <v>752</v>
      </c>
      <c r="M221" t="s">
        <v>88</v>
      </c>
      <c r="N221">
        <v>247.5</v>
      </c>
      <c r="O221">
        <v>14.22</v>
      </c>
      <c r="P221">
        <v>2.2799999999999998</v>
      </c>
      <c r="Q221">
        <v>4.2561999999999998</v>
      </c>
      <c r="R221">
        <v>0.68100000000000005</v>
      </c>
      <c r="S221" t="s">
        <v>2971</v>
      </c>
      <c r="T221">
        <v>6</v>
      </c>
      <c r="U221" t="s">
        <v>89</v>
      </c>
      <c r="W221" t="s">
        <v>754</v>
      </c>
    </row>
    <row r="222" spans="1:23" outlineLevel="2" x14ac:dyDescent="0.25">
      <c r="A222" t="s">
        <v>82</v>
      </c>
      <c r="B222" t="s">
        <v>83</v>
      </c>
      <c r="C222">
        <v>30</v>
      </c>
      <c r="D222" t="s">
        <v>84</v>
      </c>
      <c r="E222">
        <v>184</v>
      </c>
      <c r="F222" t="s">
        <v>85</v>
      </c>
      <c r="G222">
        <v>8658</v>
      </c>
      <c r="H222" t="s">
        <v>33</v>
      </c>
      <c r="I222">
        <v>1000008658</v>
      </c>
      <c r="J222">
        <v>29499406</v>
      </c>
      <c r="K222" t="s">
        <v>2248</v>
      </c>
      <c r="L222" t="s">
        <v>752</v>
      </c>
      <c r="M222" t="s">
        <v>88</v>
      </c>
      <c r="N222">
        <v>315.5</v>
      </c>
      <c r="O222">
        <v>14.22</v>
      </c>
      <c r="P222">
        <v>2.2799999999999998</v>
      </c>
      <c r="Q222">
        <v>4.2561999999999998</v>
      </c>
      <c r="R222">
        <v>0.68100000000000005</v>
      </c>
      <c r="S222" t="s">
        <v>2973</v>
      </c>
      <c r="T222">
        <v>6</v>
      </c>
      <c r="U222" t="s">
        <v>89</v>
      </c>
      <c r="W222" t="s">
        <v>754</v>
      </c>
    </row>
    <row r="223" spans="1:23" outlineLevel="2" x14ac:dyDescent="0.25">
      <c r="A223" t="s">
        <v>82</v>
      </c>
      <c r="B223" t="s">
        <v>83</v>
      </c>
      <c r="C223">
        <v>30</v>
      </c>
      <c r="D223" t="s">
        <v>84</v>
      </c>
      <c r="E223">
        <v>184</v>
      </c>
      <c r="F223" t="s">
        <v>85</v>
      </c>
      <c r="G223">
        <v>8658</v>
      </c>
      <c r="H223" t="s">
        <v>33</v>
      </c>
      <c r="I223">
        <v>1000008658</v>
      </c>
      <c r="J223">
        <v>29501205</v>
      </c>
      <c r="K223" t="s">
        <v>2261</v>
      </c>
      <c r="L223" t="s">
        <v>752</v>
      </c>
      <c r="M223" t="s">
        <v>88</v>
      </c>
      <c r="N223">
        <v>83.5</v>
      </c>
      <c r="O223">
        <v>14.22</v>
      </c>
      <c r="P223">
        <v>2.2799999999999998</v>
      </c>
      <c r="Q223">
        <v>4.2561999999999998</v>
      </c>
      <c r="R223">
        <v>0.68100000000000005</v>
      </c>
      <c r="S223" t="s">
        <v>2975</v>
      </c>
      <c r="T223">
        <v>6</v>
      </c>
      <c r="U223" t="s">
        <v>89</v>
      </c>
      <c r="W223" t="s">
        <v>754</v>
      </c>
    </row>
    <row r="224" spans="1:23" outlineLevel="2" x14ac:dyDescent="0.25">
      <c r="A224" t="s">
        <v>82</v>
      </c>
      <c r="B224" t="s">
        <v>83</v>
      </c>
      <c r="C224">
        <v>30</v>
      </c>
      <c r="D224" t="s">
        <v>84</v>
      </c>
      <c r="E224">
        <v>184</v>
      </c>
      <c r="F224" t="s">
        <v>85</v>
      </c>
      <c r="G224">
        <v>8658</v>
      </c>
      <c r="H224" t="s">
        <v>33</v>
      </c>
      <c r="I224">
        <v>1000008658</v>
      </c>
      <c r="J224">
        <v>29502170</v>
      </c>
      <c r="K224" t="s">
        <v>2268</v>
      </c>
      <c r="L224" t="s">
        <v>752</v>
      </c>
      <c r="M224" t="s">
        <v>88</v>
      </c>
      <c r="N224">
        <v>116.5</v>
      </c>
      <c r="O224">
        <v>14.22</v>
      </c>
      <c r="P224">
        <v>2.2799999999999998</v>
      </c>
      <c r="Q224">
        <v>4.2561999999999998</v>
      </c>
      <c r="R224">
        <v>0.68100000000000005</v>
      </c>
      <c r="S224" t="s">
        <v>2977</v>
      </c>
      <c r="T224">
        <v>6</v>
      </c>
      <c r="U224" t="s">
        <v>89</v>
      </c>
      <c r="W224" t="s">
        <v>754</v>
      </c>
    </row>
    <row r="225" spans="1:23" outlineLevel="2" x14ac:dyDescent="0.25">
      <c r="A225" t="s">
        <v>82</v>
      </c>
      <c r="B225" t="s">
        <v>83</v>
      </c>
      <c r="C225">
        <v>30</v>
      </c>
      <c r="D225" t="s">
        <v>84</v>
      </c>
      <c r="E225">
        <v>184</v>
      </c>
      <c r="F225" t="s">
        <v>85</v>
      </c>
      <c r="G225">
        <v>8658</v>
      </c>
      <c r="H225" t="s">
        <v>33</v>
      </c>
      <c r="I225">
        <v>1000008658</v>
      </c>
      <c r="J225">
        <v>29505283</v>
      </c>
      <c r="K225" t="s">
        <v>2287</v>
      </c>
      <c r="L225" t="s">
        <v>752</v>
      </c>
      <c r="M225" t="s">
        <v>88</v>
      </c>
      <c r="N225">
        <v>50.5</v>
      </c>
      <c r="O225">
        <v>14.22</v>
      </c>
      <c r="P225">
        <v>2.2799999999999998</v>
      </c>
      <c r="Q225">
        <v>4.2561999999999998</v>
      </c>
      <c r="R225">
        <v>0.68100000000000005</v>
      </c>
      <c r="S225" t="s">
        <v>2979</v>
      </c>
      <c r="T225">
        <v>6</v>
      </c>
      <c r="U225" t="s">
        <v>89</v>
      </c>
      <c r="W225" t="s">
        <v>754</v>
      </c>
    </row>
    <row r="226" spans="1:23" outlineLevel="2" x14ac:dyDescent="0.25">
      <c r="A226" t="s">
        <v>82</v>
      </c>
      <c r="B226" t="s">
        <v>83</v>
      </c>
      <c r="C226">
        <v>30</v>
      </c>
      <c r="D226" t="s">
        <v>84</v>
      </c>
      <c r="E226">
        <v>184</v>
      </c>
      <c r="F226" t="s">
        <v>85</v>
      </c>
      <c r="G226">
        <v>8658</v>
      </c>
      <c r="H226" t="s">
        <v>33</v>
      </c>
      <c r="I226">
        <v>1000008658</v>
      </c>
      <c r="J226">
        <v>29505459</v>
      </c>
      <c r="K226" t="s">
        <v>2291</v>
      </c>
      <c r="L226" t="s">
        <v>752</v>
      </c>
      <c r="M226" t="s">
        <v>88</v>
      </c>
      <c r="N226">
        <v>186.5</v>
      </c>
      <c r="O226">
        <v>14.22</v>
      </c>
      <c r="P226">
        <v>2.2799999999999998</v>
      </c>
      <c r="Q226">
        <v>4.2561999999999998</v>
      </c>
      <c r="R226">
        <v>0.68100000000000005</v>
      </c>
      <c r="S226" t="s">
        <v>2981</v>
      </c>
      <c r="T226">
        <v>6</v>
      </c>
      <c r="U226" t="s">
        <v>89</v>
      </c>
      <c r="W226" t="s">
        <v>754</v>
      </c>
    </row>
    <row r="227" spans="1:23" outlineLevel="2" x14ac:dyDescent="0.25">
      <c r="A227" t="s">
        <v>82</v>
      </c>
      <c r="B227" t="s">
        <v>83</v>
      </c>
      <c r="C227">
        <v>30</v>
      </c>
      <c r="D227" t="s">
        <v>84</v>
      </c>
      <c r="E227">
        <v>184</v>
      </c>
      <c r="F227" t="s">
        <v>85</v>
      </c>
      <c r="G227">
        <v>8658</v>
      </c>
      <c r="H227" t="s">
        <v>33</v>
      </c>
      <c r="I227">
        <v>1000008658</v>
      </c>
      <c r="J227">
        <v>29508370</v>
      </c>
      <c r="K227" t="s">
        <v>2304</v>
      </c>
      <c r="L227" t="s">
        <v>753</v>
      </c>
      <c r="M227" t="s">
        <v>88</v>
      </c>
      <c r="N227">
        <v>97.5</v>
      </c>
      <c r="O227">
        <v>14.22</v>
      </c>
      <c r="P227">
        <v>2.2799999999999998</v>
      </c>
      <c r="Q227">
        <v>4.2561999999999998</v>
      </c>
      <c r="R227">
        <v>0.68100000000000005</v>
      </c>
      <c r="S227" t="s">
        <v>2983</v>
      </c>
      <c r="T227">
        <v>6</v>
      </c>
      <c r="U227" t="s">
        <v>89</v>
      </c>
      <c r="W227" t="s">
        <v>754</v>
      </c>
    </row>
    <row r="228" spans="1:23" outlineLevel="2" x14ac:dyDescent="0.25">
      <c r="A228" t="s">
        <v>82</v>
      </c>
      <c r="B228" t="s">
        <v>83</v>
      </c>
      <c r="C228">
        <v>30</v>
      </c>
      <c r="D228" t="s">
        <v>84</v>
      </c>
      <c r="E228">
        <v>184</v>
      </c>
      <c r="F228" t="s">
        <v>85</v>
      </c>
      <c r="G228">
        <v>8658</v>
      </c>
      <c r="H228" t="s">
        <v>33</v>
      </c>
      <c r="I228">
        <v>1000008658</v>
      </c>
      <c r="J228">
        <v>29512461</v>
      </c>
      <c r="K228" t="s">
        <v>2314</v>
      </c>
      <c r="L228" t="s">
        <v>753</v>
      </c>
      <c r="M228" t="s">
        <v>88</v>
      </c>
      <c r="N228">
        <v>97.5</v>
      </c>
      <c r="O228">
        <v>14.22</v>
      </c>
      <c r="P228">
        <v>2.2799999999999998</v>
      </c>
      <c r="Q228">
        <v>4.2561999999999998</v>
      </c>
      <c r="R228">
        <v>0.68100000000000005</v>
      </c>
      <c r="S228" t="s">
        <v>2985</v>
      </c>
      <c r="T228">
        <v>6</v>
      </c>
      <c r="U228" t="s">
        <v>89</v>
      </c>
      <c r="W228" t="s">
        <v>754</v>
      </c>
    </row>
    <row r="229" spans="1:23" outlineLevel="2" x14ac:dyDescent="0.25">
      <c r="A229" t="s">
        <v>82</v>
      </c>
      <c r="B229" t="s">
        <v>83</v>
      </c>
      <c r="C229">
        <v>30</v>
      </c>
      <c r="D229" t="s">
        <v>84</v>
      </c>
      <c r="E229">
        <v>184</v>
      </c>
      <c r="F229" t="s">
        <v>85</v>
      </c>
      <c r="G229">
        <v>8659</v>
      </c>
      <c r="H229" t="s">
        <v>32</v>
      </c>
      <c r="I229">
        <v>1000008659</v>
      </c>
      <c r="J229">
        <v>29427858</v>
      </c>
      <c r="K229" t="s">
        <v>1652</v>
      </c>
      <c r="L229" t="s">
        <v>752</v>
      </c>
      <c r="M229" t="s">
        <v>88</v>
      </c>
      <c r="N229">
        <v>106.5</v>
      </c>
      <c r="O229">
        <v>14.22</v>
      </c>
      <c r="P229">
        <v>2.2799999999999998</v>
      </c>
      <c r="Q229">
        <v>4.2561999999999998</v>
      </c>
      <c r="R229">
        <v>0.68100000000000005</v>
      </c>
      <c r="S229" t="s">
        <v>1556</v>
      </c>
      <c r="T229">
        <v>6</v>
      </c>
      <c r="U229" t="s">
        <v>89</v>
      </c>
      <c r="W229" t="s">
        <v>754</v>
      </c>
    </row>
    <row r="230" spans="1:23" outlineLevel="2" x14ac:dyDescent="0.25">
      <c r="A230" t="s">
        <v>82</v>
      </c>
      <c r="B230" t="s">
        <v>83</v>
      </c>
      <c r="C230">
        <v>30</v>
      </c>
      <c r="D230" t="s">
        <v>84</v>
      </c>
      <c r="E230">
        <v>184</v>
      </c>
      <c r="F230" t="s">
        <v>85</v>
      </c>
      <c r="G230">
        <v>8659</v>
      </c>
      <c r="H230" t="s">
        <v>32</v>
      </c>
      <c r="I230">
        <v>1000008659</v>
      </c>
      <c r="J230">
        <v>29427884</v>
      </c>
      <c r="K230" t="s">
        <v>1653</v>
      </c>
      <c r="L230" t="s">
        <v>752</v>
      </c>
      <c r="M230" t="s">
        <v>88</v>
      </c>
      <c r="N230">
        <v>44.5</v>
      </c>
      <c r="O230">
        <v>14.22</v>
      </c>
      <c r="P230">
        <v>2.2799999999999998</v>
      </c>
      <c r="Q230">
        <v>4.2561999999999998</v>
      </c>
      <c r="R230">
        <v>0.68100000000000005</v>
      </c>
      <c r="S230" t="s">
        <v>1558</v>
      </c>
      <c r="T230">
        <v>6</v>
      </c>
      <c r="U230" t="s">
        <v>89</v>
      </c>
      <c r="W230" t="s">
        <v>754</v>
      </c>
    </row>
    <row r="231" spans="1:23" outlineLevel="2" x14ac:dyDescent="0.25">
      <c r="A231" s="7" t="s">
        <v>82</v>
      </c>
      <c r="B231" s="7" t="s">
        <v>83</v>
      </c>
      <c r="C231" s="7">
        <v>30</v>
      </c>
      <c r="D231" s="7" t="s">
        <v>84</v>
      </c>
      <c r="E231" s="7">
        <v>184</v>
      </c>
      <c r="F231" s="7" t="s">
        <v>85</v>
      </c>
      <c r="G231" s="7">
        <v>8659</v>
      </c>
      <c r="H231" s="7" t="s">
        <v>32</v>
      </c>
      <c r="I231" s="7">
        <v>1000008659</v>
      </c>
      <c r="J231" s="7">
        <v>29433734</v>
      </c>
      <c r="K231" s="7" t="s">
        <v>1696</v>
      </c>
      <c r="L231" s="7" t="s">
        <v>752</v>
      </c>
      <c r="M231" s="7" t="s">
        <v>88</v>
      </c>
      <c r="N231" s="7">
        <v>206.5</v>
      </c>
      <c r="O231" s="7">
        <v>14.22</v>
      </c>
      <c r="P231" s="7">
        <v>2.2799999999999998</v>
      </c>
      <c r="Q231" s="7">
        <v>4.2561999999999998</v>
      </c>
      <c r="R231" s="7">
        <v>0.68100000000000005</v>
      </c>
      <c r="S231" s="7" t="s">
        <v>1560</v>
      </c>
      <c r="T231" s="7">
        <v>6</v>
      </c>
      <c r="U231" s="7" t="s">
        <v>89</v>
      </c>
      <c r="V231" s="7"/>
      <c r="W231" t="s">
        <v>754</v>
      </c>
    </row>
    <row r="232" spans="1:23" outlineLevel="2" x14ac:dyDescent="0.25">
      <c r="A232" t="s">
        <v>82</v>
      </c>
      <c r="B232" t="s">
        <v>83</v>
      </c>
      <c r="C232">
        <v>30</v>
      </c>
      <c r="D232" t="s">
        <v>84</v>
      </c>
      <c r="E232">
        <v>184</v>
      </c>
      <c r="F232" t="s">
        <v>85</v>
      </c>
      <c r="G232">
        <v>8659</v>
      </c>
      <c r="H232" t="s">
        <v>32</v>
      </c>
      <c r="I232">
        <v>1000008659</v>
      </c>
      <c r="J232">
        <v>29437386</v>
      </c>
      <c r="K232" t="s">
        <v>1716</v>
      </c>
      <c r="L232" t="s">
        <v>752</v>
      </c>
      <c r="M232" t="s">
        <v>88</v>
      </c>
      <c r="N232">
        <v>156.5</v>
      </c>
      <c r="O232">
        <v>14.22</v>
      </c>
      <c r="P232">
        <v>2.2799999999999998</v>
      </c>
      <c r="Q232">
        <v>4.2561999999999998</v>
      </c>
      <c r="R232">
        <v>0.68100000000000005</v>
      </c>
      <c r="S232" t="s">
        <v>374</v>
      </c>
      <c r="T232">
        <v>6</v>
      </c>
      <c r="U232" t="s">
        <v>89</v>
      </c>
      <c r="W232" t="s">
        <v>754</v>
      </c>
    </row>
    <row r="233" spans="1:23" outlineLevel="2" x14ac:dyDescent="0.25">
      <c r="A233" t="s">
        <v>82</v>
      </c>
      <c r="B233" t="s">
        <v>83</v>
      </c>
      <c r="C233">
        <v>30</v>
      </c>
      <c r="D233" t="s">
        <v>84</v>
      </c>
      <c r="E233">
        <v>184</v>
      </c>
      <c r="F233" t="s">
        <v>85</v>
      </c>
      <c r="G233">
        <v>8659</v>
      </c>
      <c r="H233" t="s">
        <v>32</v>
      </c>
      <c r="I233">
        <v>1000008659</v>
      </c>
      <c r="J233">
        <v>29439589</v>
      </c>
      <c r="K233" t="s">
        <v>1730</v>
      </c>
      <c r="L233" t="s">
        <v>752</v>
      </c>
      <c r="M233" t="s">
        <v>88</v>
      </c>
      <c r="N233">
        <v>139.5</v>
      </c>
      <c r="O233">
        <v>14.22</v>
      </c>
      <c r="P233">
        <v>2.2799999999999998</v>
      </c>
      <c r="Q233">
        <v>4.2561999999999998</v>
      </c>
      <c r="R233">
        <v>0.68100000000000005</v>
      </c>
      <c r="S233" t="s">
        <v>774</v>
      </c>
      <c r="T233">
        <v>6</v>
      </c>
      <c r="U233" t="s">
        <v>89</v>
      </c>
      <c r="W233" t="s">
        <v>754</v>
      </c>
    </row>
    <row r="234" spans="1:23" outlineLevel="2" x14ac:dyDescent="0.25">
      <c r="A234" t="s">
        <v>82</v>
      </c>
      <c r="B234" t="s">
        <v>83</v>
      </c>
      <c r="C234">
        <v>30</v>
      </c>
      <c r="D234" t="s">
        <v>84</v>
      </c>
      <c r="E234">
        <v>184</v>
      </c>
      <c r="F234" t="s">
        <v>85</v>
      </c>
      <c r="G234">
        <v>8659</v>
      </c>
      <c r="H234" t="s">
        <v>32</v>
      </c>
      <c r="I234">
        <v>1000008659</v>
      </c>
      <c r="J234">
        <v>29440689</v>
      </c>
      <c r="K234" t="s">
        <v>1734</v>
      </c>
      <c r="L234" t="s">
        <v>752</v>
      </c>
      <c r="M234" t="s">
        <v>88</v>
      </c>
      <c r="N234">
        <v>152.5</v>
      </c>
      <c r="O234">
        <v>14.22</v>
      </c>
      <c r="P234">
        <v>2.2799999999999998</v>
      </c>
      <c r="Q234">
        <v>4.2561999999999998</v>
      </c>
      <c r="R234">
        <v>0.68100000000000005</v>
      </c>
      <c r="S234" t="s">
        <v>776</v>
      </c>
      <c r="T234">
        <v>6</v>
      </c>
      <c r="U234" t="s">
        <v>89</v>
      </c>
      <c r="W234" t="s">
        <v>754</v>
      </c>
    </row>
    <row r="235" spans="1:23" outlineLevel="2" x14ac:dyDescent="0.25">
      <c r="A235" t="s">
        <v>82</v>
      </c>
      <c r="B235" t="s">
        <v>83</v>
      </c>
      <c r="C235">
        <v>30</v>
      </c>
      <c r="D235" t="s">
        <v>84</v>
      </c>
      <c r="E235">
        <v>184</v>
      </c>
      <c r="F235" t="s">
        <v>85</v>
      </c>
      <c r="G235">
        <v>8659</v>
      </c>
      <c r="H235" t="s">
        <v>32</v>
      </c>
      <c r="I235">
        <v>1000008659</v>
      </c>
      <c r="J235">
        <v>29440702</v>
      </c>
      <c r="K235" t="s">
        <v>1735</v>
      </c>
      <c r="L235" t="s">
        <v>752</v>
      </c>
      <c r="M235" t="s">
        <v>88</v>
      </c>
      <c r="N235">
        <v>77.5</v>
      </c>
      <c r="O235">
        <v>14.22</v>
      </c>
      <c r="P235">
        <v>2.2799999999999998</v>
      </c>
      <c r="Q235">
        <v>4.2561999999999998</v>
      </c>
      <c r="R235">
        <v>0.68100000000000005</v>
      </c>
      <c r="S235" t="s">
        <v>778</v>
      </c>
      <c r="T235">
        <v>6</v>
      </c>
      <c r="U235" t="s">
        <v>89</v>
      </c>
      <c r="W235" t="s">
        <v>754</v>
      </c>
    </row>
    <row r="236" spans="1:23" outlineLevel="2" x14ac:dyDescent="0.25">
      <c r="A236" t="s">
        <v>82</v>
      </c>
      <c r="B236" t="s">
        <v>83</v>
      </c>
      <c r="C236">
        <v>30</v>
      </c>
      <c r="D236" t="s">
        <v>84</v>
      </c>
      <c r="E236">
        <v>184</v>
      </c>
      <c r="F236" t="s">
        <v>85</v>
      </c>
      <c r="G236">
        <v>8659</v>
      </c>
      <c r="H236" t="s">
        <v>32</v>
      </c>
      <c r="I236">
        <v>1000008659</v>
      </c>
      <c r="J236">
        <v>29440721</v>
      </c>
      <c r="K236" t="s">
        <v>1736</v>
      </c>
      <c r="L236" t="s">
        <v>752</v>
      </c>
      <c r="M236" t="s">
        <v>88</v>
      </c>
      <c r="N236">
        <v>86.5</v>
      </c>
      <c r="O236">
        <v>14.22</v>
      </c>
      <c r="P236">
        <v>2.2799999999999998</v>
      </c>
      <c r="Q236">
        <v>4.2561999999999998</v>
      </c>
      <c r="R236">
        <v>0.68100000000000005</v>
      </c>
      <c r="S236" t="s">
        <v>780</v>
      </c>
      <c r="T236">
        <v>6</v>
      </c>
      <c r="U236" t="s">
        <v>89</v>
      </c>
      <c r="W236" t="s">
        <v>754</v>
      </c>
    </row>
    <row r="237" spans="1:23" outlineLevel="2" x14ac:dyDescent="0.25">
      <c r="A237" t="s">
        <v>82</v>
      </c>
      <c r="B237" t="s">
        <v>83</v>
      </c>
      <c r="C237">
        <v>30</v>
      </c>
      <c r="D237" t="s">
        <v>84</v>
      </c>
      <c r="E237">
        <v>184</v>
      </c>
      <c r="F237" t="s">
        <v>85</v>
      </c>
      <c r="G237">
        <v>8659</v>
      </c>
      <c r="H237" t="s">
        <v>32</v>
      </c>
      <c r="I237">
        <v>1000008659</v>
      </c>
      <c r="J237">
        <v>29441157</v>
      </c>
      <c r="K237" t="s">
        <v>1741</v>
      </c>
      <c r="L237" t="s">
        <v>752</v>
      </c>
      <c r="M237" t="s">
        <v>88</v>
      </c>
      <c r="N237">
        <v>211.5</v>
      </c>
      <c r="O237">
        <v>14.22</v>
      </c>
      <c r="P237">
        <v>2.2799999999999998</v>
      </c>
      <c r="Q237">
        <v>4.2561999999999998</v>
      </c>
      <c r="R237">
        <v>0.68100000000000005</v>
      </c>
      <c r="S237" t="s">
        <v>668</v>
      </c>
      <c r="T237">
        <v>6</v>
      </c>
      <c r="U237" t="s">
        <v>89</v>
      </c>
      <c r="W237" t="s">
        <v>754</v>
      </c>
    </row>
    <row r="238" spans="1:23" outlineLevel="2" x14ac:dyDescent="0.25">
      <c r="A238" t="s">
        <v>82</v>
      </c>
      <c r="B238" t="s">
        <v>83</v>
      </c>
      <c r="C238">
        <v>30</v>
      </c>
      <c r="D238" t="s">
        <v>84</v>
      </c>
      <c r="E238">
        <v>184</v>
      </c>
      <c r="F238" t="s">
        <v>85</v>
      </c>
      <c r="G238">
        <v>8659</v>
      </c>
      <c r="H238" t="s">
        <v>32</v>
      </c>
      <c r="I238">
        <v>1000008659</v>
      </c>
      <c r="J238">
        <v>29444462</v>
      </c>
      <c r="K238" t="s">
        <v>1764</v>
      </c>
      <c r="L238" t="s">
        <v>752</v>
      </c>
      <c r="M238" t="s">
        <v>88</v>
      </c>
      <c r="N238">
        <v>166.5</v>
      </c>
      <c r="O238">
        <v>14.22</v>
      </c>
      <c r="P238">
        <v>2.2799999999999998</v>
      </c>
      <c r="Q238">
        <v>4.2561999999999998</v>
      </c>
      <c r="R238">
        <v>0.68100000000000005</v>
      </c>
      <c r="S238" t="s">
        <v>1378</v>
      </c>
      <c r="T238">
        <v>6</v>
      </c>
      <c r="U238" t="s">
        <v>89</v>
      </c>
      <c r="W238" t="s">
        <v>754</v>
      </c>
    </row>
    <row r="239" spans="1:23" outlineLevel="2" x14ac:dyDescent="0.25">
      <c r="A239" t="s">
        <v>82</v>
      </c>
      <c r="B239" t="s">
        <v>83</v>
      </c>
      <c r="C239">
        <v>30</v>
      </c>
      <c r="D239" t="s">
        <v>84</v>
      </c>
      <c r="E239">
        <v>184</v>
      </c>
      <c r="F239" t="s">
        <v>85</v>
      </c>
      <c r="G239">
        <v>8659</v>
      </c>
      <c r="H239" t="s">
        <v>32</v>
      </c>
      <c r="I239">
        <v>1000008659</v>
      </c>
      <c r="J239">
        <v>29444712</v>
      </c>
      <c r="K239" t="s">
        <v>1770</v>
      </c>
      <c r="L239" t="s">
        <v>752</v>
      </c>
      <c r="M239" t="s">
        <v>88</v>
      </c>
      <c r="N239">
        <v>166.5</v>
      </c>
      <c r="O239">
        <v>14.22</v>
      </c>
      <c r="P239">
        <v>2.2799999999999998</v>
      </c>
      <c r="Q239">
        <v>4.2561999999999998</v>
      </c>
      <c r="R239">
        <v>0.68100000000000005</v>
      </c>
      <c r="S239" t="s">
        <v>1380</v>
      </c>
      <c r="T239">
        <v>6</v>
      </c>
      <c r="U239" t="s">
        <v>89</v>
      </c>
      <c r="W239" t="s">
        <v>754</v>
      </c>
    </row>
    <row r="240" spans="1:23" outlineLevel="2" x14ac:dyDescent="0.25">
      <c r="A240" s="13" t="s">
        <v>82</v>
      </c>
      <c r="B240" s="13" t="s">
        <v>83</v>
      </c>
      <c r="C240" s="13">
        <v>30</v>
      </c>
      <c r="D240" s="13" t="s">
        <v>84</v>
      </c>
      <c r="E240" s="13">
        <v>184</v>
      </c>
      <c r="F240" s="13" t="s">
        <v>85</v>
      </c>
      <c r="G240" s="13">
        <v>8659</v>
      </c>
      <c r="H240" s="13" t="s">
        <v>32</v>
      </c>
      <c r="I240" s="13">
        <v>1000008659</v>
      </c>
      <c r="J240" s="13">
        <v>29446044</v>
      </c>
      <c r="K240" s="13" t="s">
        <v>1781</v>
      </c>
      <c r="L240" s="13" t="s">
        <v>752</v>
      </c>
      <c r="M240" s="13" t="s">
        <v>88</v>
      </c>
      <c r="N240" s="13">
        <v>44.5</v>
      </c>
      <c r="O240" s="13">
        <v>14.22</v>
      </c>
      <c r="P240" s="13">
        <v>2.2799999999999998</v>
      </c>
      <c r="Q240" s="13">
        <v>4.2561999999999998</v>
      </c>
      <c r="R240" s="13">
        <v>0.68100000000000005</v>
      </c>
      <c r="S240" s="13" t="s">
        <v>1382</v>
      </c>
      <c r="T240" s="13">
        <v>6</v>
      </c>
      <c r="U240" s="13" t="s">
        <v>89</v>
      </c>
      <c r="V240" s="13"/>
      <c r="W240" t="s">
        <v>754</v>
      </c>
    </row>
    <row r="241" spans="1:23" outlineLevel="2" x14ac:dyDescent="0.25">
      <c r="A241" t="s">
        <v>82</v>
      </c>
      <c r="B241" t="s">
        <v>83</v>
      </c>
      <c r="C241">
        <v>30</v>
      </c>
      <c r="D241" t="s">
        <v>84</v>
      </c>
      <c r="E241">
        <v>184</v>
      </c>
      <c r="F241" t="s">
        <v>85</v>
      </c>
      <c r="G241">
        <v>8659</v>
      </c>
      <c r="H241" t="s">
        <v>32</v>
      </c>
      <c r="I241">
        <v>1000008659</v>
      </c>
      <c r="J241">
        <v>29449818</v>
      </c>
      <c r="K241" t="s">
        <v>1801</v>
      </c>
      <c r="L241" t="s">
        <v>752</v>
      </c>
      <c r="M241" t="s">
        <v>88</v>
      </c>
      <c r="N241">
        <v>131.5</v>
      </c>
      <c r="O241">
        <v>14.22</v>
      </c>
      <c r="P241">
        <v>2.2799999999999998</v>
      </c>
      <c r="Q241">
        <v>4.2561999999999998</v>
      </c>
      <c r="R241">
        <v>0.68100000000000005</v>
      </c>
      <c r="S241" t="s">
        <v>1103</v>
      </c>
      <c r="T241">
        <v>6</v>
      </c>
      <c r="U241" t="s">
        <v>89</v>
      </c>
      <c r="W241" t="s">
        <v>754</v>
      </c>
    </row>
    <row r="242" spans="1:23" outlineLevel="2" x14ac:dyDescent="0.25">
      <c r="A242" t="s">
        <v>82</v>
      </c>
      <c r="B242" t="s">
        <v>83</v>
      </c>
      <c r="C242">
        <v>30</v>
      </c>
      <c r="D242" t="s">
        <v>84</v>
      </c>
      <c r="E242">
        <v>184</v>
      </c>
      <c r="F242" t="s">
        <v>85</v>
      </c>
      <c r="G242">
        <v>8659</v>
      </c>
      <c r="H242" t="s">
        <v>32</v>
      </c>
      <c r="I242">
        <v>1000008659</v>
      </c>
      <c r="J242">
        <v>29450130</v>
      </c>
      <c r="K242" t="s">
        <v>1804</v>
      </c>
      <c r="L242" t="s">
        <v>752</v>
      </c>
      <c r="M242" t="s">
        <v>88</v>
      </c>
      <c r="N242">
        <v>420.5</v>
      </c>
      <c r="O242">
        <v>14.22</v>
      </c>
      <c r="P242">
        <v>2.2799999999999998</v>
      </c>
      <c r="Q242">
        <v>4.2561999999999998</v>
      </c>
      <c r="R242">
        <v>0.68100000000000005</v>
      </c>
      <c r="S242" t="s">
        <v>1105</v>
      </c>
      <c r="T242">
        <v>6</v>
      </c>
      <c r="U242" t="s">
        <v>89</v>
      </c>
      <c r="W242" t="s">
        <v>754</v>
      </c>
    </row>
    <row r="243" spans="1:23" outlineLevel="2" x14ac:dyDescent="0.25">
      <c r="A243" t="s">
        <v>82</v>
      </c>
      <c r="B243" t="s">
        <v>83</v>
      </c>
      <c r="C243">
        <v>30</v>
      </c>
      <c r="D243" t="s">
        <v>84</v>
      </c>
      <c r="E243">
        <v>184</v>
      </c>
      <c r="F243" t="s">
        <v>85</v>
      </c>
      <c r="G243">
        <v>8659</v>
      </c>
      <c r="H243" t="s">
        <v>32</v>
      </c>
      <c r="I243">
        <v>1000008659</v>
      </c>
      <c r="J243">
        <v>29450515</v>
      </c>
      <c r="K243" t="s">
        <v>1810</v>
      </c>
      <c r="L243" t="s">
        <v>752</v>
      </c>
      <c r="M243" t="s">
        <v>88</v>
      </c>
      <c r="N243">
        <v>148.5</v>
      </c>
      <c r="O243">
        <v>14.22</v>
      </c>
      <c r="P243">
        <v>2.2799999999999998</v>
      </c>
      <c r="Q243">
        <v>4.2561999999999998</v>
      </c>
      <c r="R243">
        <v>0.68100000000000005</v>
      </c>
      <c r="S243" t="s">
        <v>1107</v>
      </c>
      <c r="T243">
        <v>6</v>
      </c>
      <c r="U243" t="s">
        <v>89</v>
      </c>
      <c r="W243" t="s">
        <v>754</v>
      </c>
    </row>
    <row r="244" spans="1:23" outlineLevel="2" x14ac:dyDescent="0.25">
      <c r="A244" s="8" t="s">
        <v>82</v>
      </c>
      <c r="B244" s="8" t="s">
        <v>83</v>
      </c>
      <c r="C244" s="8">
        <v>30</v>
      </c>
      <c r="D244" s="8" t="s">
        <v>84</v>
      </c>
      <c r="E244" s="8">
        <v>184</v>
      </c>
      <c r="F244" s="8" t="s">
        <v>85</v>
      </c>
      <c r="G244" s="8">
        <v>8659</v>
      </c>
      <c r="H244" s="8" t="s">
        <v>32</v>
      </c>
      <c r="I244" s="8">
        <v>1000008659</v>
      </c>
      <c r="J244" s="8">
        <v>29458106</v>
      </c>
      <c r="K244" s="8" t="s">
        <v>1843</v>
      </c>
      <c r="L244" s="8" t="s">
        <v>752</v>
      </c>
      <c r="M244" s="8" t="s">
        <v>88</v>
      </c>
      <c r="N244" s="8">
        <v>637.5</v>
      </c>
      <c r="O244" s="8">
        <v>14.22</v>
      </c>
      <c r="P244" s="8">
        <v>2.2799999999999998</v>
      </c>
      <c r="Q244" s="8">
        <v>4.2561999999999998</v>
      </c>
      <c r="R244" s="8">
        <v>0.68100000000000005</v>
      </c>
      <c r="S244" s="8" t="s">
        <v>666</v>
      </c>
      <c r="T244" s="8">
        <v>6</v>
      </c>
      <c r="U244" s="8" t="s">
        <v>89</v>
      </c>
      <c r="V244" s="8"/>
      <c r="W244" t="s">
        <v>754</v>
      </c>
    </row>
    <row r="245" spans="1:23" outlineLevel="2" x14ac:dyDescent="0.25">
      <c r="A245" t="s">
        <v>82</v>
      </c>
      <c r="B245" t="s">
        <v>83</v>
      </c>
      <c r="C245">
        <v>30</v>
      </c>
      <c r="D245" t="s">
        <v>84</v>
      </c>
      <c r="E245">
        <v>184</v>
      </c>
      <c r="F245" t="s">
        <v>85</v>
      </c>
      <c r="G245">
        <v>8659</v>
      </c>
      <c r="H245" t="s">
        <v>32</v>
      </c>
      <c r="I245">
        <v>1000008659</v>
      </c>
      <c r="J245">
        <v>29458134</v>
      </c>
      <c r="K245" t="s">
        <v>1844</v>
      </c>
      <c r="L245" t="s">
        <v>752</v>
      </c>
      <c r="M245" t="s">
        <v>88</v>
      </c>
      <c r="N245">
        <v>404.5</v>
      </c>
      <c r="O245">
        <v>14.22</v>
      </c>
      <c r="P245">
        <v>2.2799999999999998</v>
      </c>
      <c r="Q245">
        <v>4.2561999999999998</v>
      </c>
      <c r="R245">
        <v>0.68100000000000005</v>
      </c>
      <c r="S245" t="s">
        <v>665</v>
      </c>
      <c r="T245">
        <v>6</v>
      </c>
      <c r="U245" t="s">
        <v>89</v>
      </c>
      <c r="W245" t="s">
        <v>754</v>
      </c>
    </row>
    <row r="246" spans="1:23" outlineLevel="2" x14ac:dyDescent="0.25">
      <c r="A246" t="s">
        <v>82</v>
      </c>
      <c r="B246" t="s">
        <v>83</v>
      </c>
      <c r="C246">
        <v>30</v>
      </c>
      <c r="D246" t="s">
        <v>84</v>
      </c>
      <c r="E246">
        <v>184</v>
      </c>
      <c r="F246" t="s">
        <v>85</v>
      </c>
      <c r="G246">
        <v>8659</v>
      </c>
      <c r="H246" t="s">
        <v>32</v>
      </c>
      <c r="I246">
        <v>1000008659</v>
      </c>
      <c r="J246">
        <v>29459294</v>
      </c>
      <c r="K246" t="s">
        <v>1850</v>
      </c>
      <c r="L246" t="s">
        <v>753</v>
      </c>
      <c r="M246" t="s">
        <v>88</v>
      </c>
      <c r="N246">
        <v>187.5</v>
      </c>
      <c r="O246">
        <v>14.22</v>
      </c>
      <c r="P246">
        <v>2.2799999999999998</v>
      </c>
      <c r="Q246">
        <v>4.2561999999999998</v>
      </c>
      <c r="R246">
        <v>0.68100000000000005</v>
      </c>
      <c r="S246" t="s">
        <v>1110</v>
      </c>
      <c r="T246">
        <v>6</v>
      </c>
      <c r="U246" t="s">
        <v>89</v>
      </c>
      <c r="W246" t="s">
        <v>754</v>
      </c>
    </row>
    <row r="247" spans="1:23" outlineLevel="2" x14ac:dyDescent="0.25">
      <c r="A247" t="s">
        <v>82</v>
      </c>
      <c r="B247" t="s">
        <v>83</v>
      </c>
      <c r="C247">
        <v>30</v>
      </c>
      <c r="D247" t="s">
        <v>84</v>
      </c>
      <c r="E247">
        <v>184</v>
      </c>
      <c r="F247" t="s">
        <v>85</v>
      </c>
      <c r="G247">
        <v>8659</v>
      </c>
      <c r="H247" t="s">
        <v>32</v>
      </c>
      <c r="I247">
        <v>1000008659</v>
      </c>
      <c r="J247">
        <v>29461249</v>
      </c>
      <c r="K247" t="s">
        <v>1865</v>
      </c>
      <c r="L247" t="s">
        <v>752</v>
      </c>
      <c r="M247" t="s">
        <v>88</v>
      </c>
      <c r="N247">
        <v>110.5</v>
      </c>
      <c r="O247">
        <v>14.22</v>
      </c>
      <c r="P247">
        <v>2.2799999999999998</v>
      </c>
      <c r="Q247">
        <v>4.2561999999999998</v>
      </c>
      <c r="R247">
        <v>0.68100000000000005</v>
      </c>
      <c r="S247" t="s">
        <v>1112</v>
      </c>
      <c r="T247">
        <v>6</v>
      </c>
      <c r="U247" t="s">
        <v>89</v>
      </c>
      <c r="W247" t="s">
        <v>754</v>
      </c>
    </row>
    <row r="248" spans="1:23" outlineLevel="2" x14ac:dyDescent="0.25">
      <c r="A248" t="s">
        <v>82</v>
      </c>
      <c r="B248" t="s">
        <v>83</v>
      </c>
      <c r="C248">
        <v>30</v>
      </c>
      <c r="D248" t="s">
        <v>84</v>
      </c>
      <c r="E248">
        <v>184</v>
      </c>
      <c r="F248" t="s">
        <v>85</v>
      </c>
      <c r="G248">
        <v>8659</v>
      </c>
      <c r="H248" t="s">
        <v>32</v>
      </c>
      <c r="I248">
        <v>1000008659</v>
      </c>
      <c r="J248">
        <v>29461362</v>
      </c>
      <c r="K248" t="s">
        <v>1866</v>
      </c>
      <c r="L248" t="s">
        <v>752</v>
      </c>
      <c r="M248" t="s">
        <v>88</v>
      </c>
      <c r="N248">
        <v>121.5</v>
      </c>
      <c r="O248">
        <v>14.22</v>
      </c>
      <c r="P248">
        <v>2.2799999999999998</v>
      </c>
      <c r="Q248">
        <v>4.2561999999999998</v>
      </c>
      <c r="R248">
        <v>0.68100000000000005</v>
      </c>
      <c r="S248" t="s">
        <v>1114</v>
      </c>
      <c r="T248">
        <v>6</v>
      </c>
      <c r="U248" t="s">
        <v>89</v>
      </c>
      <c r="W248" t="s">
        <v>754</v>
      </c>
    </row>
    <row r="249" spans="1:23" outlineLevel="2" x14ac:dyDescent="0.25">
      <c r="A249" s="8" t="s">
        <v>82</v>
      </c>
      <c r="B249" s="8" t="s">
        <v>83</v>
      </c>
      <c r="C249" s="8">
        <v>30</v>
      </c>
      <c r="D249" s="8" t="s">
        <v>84</v>
      </c>
      <c r="E249" s="8">
        <v>184</v>
      </c>
      <c r="F249" s="8" t="s">
        <v>85</v>
      </c>
      <c r="G249" s="8">
        <v>8659</v>
      </c>
      <c r="H249" s="8" t="s">
        <v>32</v>
      </c>
      <c r="I249" s="8">
        <v>1000008659</v>
      </c>
      <c r="J249" s="8">
        <v>29461910</v>
      </c>
      <c r="K249" s="8" t="s">
        <v>1868</v>
      </c>
      <c r="L249" s="8" t="s">
        <v>752</v>
      </c>
      <c r="M249" s="8" t="s">
        <v>88</v>
      </c>
      <c r="N249" s="8">
        <v>85.5</v>
      </c>
      <c r="O249" s="8">
        <v>14.22</v>
      </c>
      <c r="P249" s="8">
        <v>2.2799999999999998</v>
      </c>
      <c r="Q249" s="8">
        <v>4.2561999999999998</v>
      </c>
      <c r="R249" s="8">
        <v>0.68100000000000005</v>
      </c>
      <c r="S249" s="8" t="s">
        <v>1261</v>
      </c>
      <c r="T249" s="8">
        <v>6</v>
      </c>
      <c r="U249" s="8" t="s">
        <v>89</v>
      </c>
      <c r="V249" s="8"/>
      <c r="W249" t="s">
        <v>754</v>
      </c>
    </row>
    <row r="250" spans="1:23" outlineLevel="2" x14ac:dyDescent="0.25">
      <c r="A250" t="s">
        <v>82</v>
      </c>
      <c r="B250" t="s">
        <v>83</v>
      </c>
      <c r="C250">
        <v>30</v>
      </c>
      <c r="D250" t="s">
        <v>84</v>
      </c>
      <c r="E250">
        <v>184</v>
      </c>
      <c r="F250" t="s">
        <v>85</v>
      </c>
      <c r="G250">
        <v>8659</v>
      </c>
      <c r="H250" t="s">
        <v>32</v>
      </c>
      <c r="I250">
        <v>1000008659</v>
      </c>
      <c r="J250">
        <v>29462013</v>
      </c>
      <c r="K250" t="s">
        <v>1869</v>
      </c>
      <c r="L250" t="s">
        <v>752</v>
      </c>
      <c r="M250" t="s">
        <v>88</v>
      </c>
      <c r="N250">
        <v>102.5</v>
      </c>
      <c r="O250">
        <v>14.22</v>
      </c>
      <c r="P250">
        <v>2.2799999999999998</v>
      </c>
      <c r="Q250">
        <v>4.2561999999999998</v>
      </c>
      <c r="R250">
        <v>0.68100000000000005</v>
      </c>
      <c r="S250" t="s">
        <v>1116</v>
      </c>
      <c r="T250">
        <v>6</v>
      </c>
      <c r="U250" t="s">
        <v>89</v>
      </c>
      <c r="W250" t="s">
        <v>754</v>
      </c>
    </row>
    <row r="251" spans="1:23" outlineLevel="2" x14ac:dyDescent="0.25">
      <c r="A251" t="s">
        <v>82</v>
      </c>
      <c r="B251" t="s">
        <v>83</v>
      </c>
      <c r="C251">
        <v>30</v>
      </c>
      <c r="D251" t="s">
        <v>84</v>
      </c>
      <c r="E251">
        <v>184</v>
      </c>
      <c r="F251" t="s">
        <v>85</v>
      </c>
      <c r="G251">
        <v>8659</v>
      </c>
      <c r="H251" t="s">
        <v>32</v>
      </c>
      <c r="I251">
        <v>1000008659</v>
      </c>
      <c r="J251">
        <v>29462125</v>
      </c>
      <c r="K251" t="s">
        <v>1870</v>
      </c>
      <c r="L251" t="s">
        <v>752</v>
      </c>
      <c r="M251" t="s">
        <v>88</v>
      </c>
      <c r="N251">
        <v>127.5</v>
      </c>
      <c r="O251">
        <v>14.22</v>
      </c>
      <c r="P251">
        <v>2.2799999999999998</v>
      </c>
      <c r="Q251">
        <v>4.2561999999999998</v>
      </c>
      <c r="R251">
        <v>0.68100000000000005</v>
      </c>
      <c r="S251" t="s">
        <v>1118</v>
      </c>
      <c r="T251">
        <v>6</v>
      </c>
      <c r="U251" t="s">
        <v>89</v>
      </c>
      <c r="W251" t="s">
        <v>754</v>
      </c>
    </row>
    <row r="252" spans="1:23" outlineLevel="2" x14ac:dyDescent="0.25">
      <c r="A252" t="s">
        <v>82</v>
      </c>
      <c r="B252" t="s">
        <v>83</v>
      </c>
      <c r="C252">
        <v>30</v>
      </c>
      <c r="D252" t="s">
        <v>84</v>
      </c>
      <c r="E252">
        <v>184</v>
      </c>
      <c r="F252" t="s">
        <v>85</v>
      </c>
      <c r="G252">
        <v>8659</v>
      </c>
      <c r="H252" t="s">
        <v>32</v>
      </c>
      <c r="I252">
        <v>1000008659</v>
      </c>
      <c r="J252">
        <v>29467459</v>
      </c>
      <c r="K252" t="s">
        <v>1895</v>
      </c>
      <c r="L252" t="s">
        <v>752</v>
      </c>
      <c r="M252" t="s">
        <v>88</v>
      </c>
      <c r="N252">
        <v>166.5</v>
      </c>
      <c r="O252">
        <v>14.22</v>
      </c>
      <c r="P252">
        <v>2.2799999999999998</v>
      </c>
      <c r="Q252">
        <v>4.2561999999999998</v>
      </c>
      <c r="R252">
        <v>0.68100000000000005</v>
      </c>
      <c r="S252" t="s">
        <v>1120</v>
      </c>
      <c r="T252">
        <v>6</v>
      </c>
      <c r="U252" t="s">
        <v>89</v>
      </c>
      <c r="W252" t="s">
        <v>754</v>
      </c>
    </row>
    <row r="253" spans="1:23" outlineLevel="2" x14ac:dyDescent="0.25">
      <c r="A253" t="s">
        <v>82</v>
      </c>
      <c r="B253" t="s">
        <v>83</v>
      </c>
      <c r="C253">
        <v>30</v>
      </c>
      <c r="D253" t="s">
        <v>84</v>
      </c>
      <c r="E253">
        <v>184</v>
      </c>
      <c r="F253" t="s">
        <v>85</v>
      </c>
      <c r="G253">
        <v>8659</v>
      </c>
      <c r="H253" t="s">
        <v>32</v>
      </c>
      <c r="I253">
        <v>1000008659</v>
      </c>
      <c r="J253">
        <v>29467900</v>
      </c>
      <c r="K253" t="s">
        <v>1898</v>
      </c>
      <c r="L253" t="s">
        <v>752</v>
      </c>
      <c r="M253" t="s">
        <v>88</v>
      </c>
      <c r="N253">
        <v>408.5</v>
      </c>
      <c r="O253">
        <v>14.22</v>
      </c>
      <c r="P253">
        <v>2.2799999999999998</v>
      </c>
      <c r="Q253">
        <v>4.2561999999999998</v>
      </c>
      <c r="R253">
        <v>0.68100000000000005</v>
      </c>
      <c r="S253" t="s">
        <v>1122</v>
      </c>
      <c r="T253">
        <v>6</v>
      </c>
      <c r="U253" t="s">
        <v>89</v>
      </c>
      <c r="W253" t="s">
        <v>754</v>
      </c>
    </row>
    <row r="254" spans="1:23" outlineLevel="2" x14ac:dyDescent="0.25">
      <c r="A254" s="7" t="s">
        <v>82</v>
      </c>
      <c r="B254" s="7" t="s">
        <v>83</v>
      </c>
      <c r="C254" s="7">
        <v>30</v>
      </c>
      <c r="D254" s="7" t="s">
        <v>84</v>
      </c>
      <c r="E254" s="7">
        <v>184</v>
      </c>
      <c r="F254" s="7" t="s">
        <v>85</v>
      </c>
      <c r="G254" s="7">
        <v>8659</v>
      </c>
      <c r="H254" s="7" t="s">
        <v>32</v>
      </c>
      <c r="I254" s="7">
        <v>1000008659</v>
      </c>
      <c r="J254" s="7">
        <v>29468377</v>
      </c>
      <c r="K254" s="7" t="s">
        <v>1903</v>
      </c>
      <c r="L254" s="7" t="s">
        <v>752</v>
      </c>
      <c r="M254" s="7" t="s">
        <v>88</v>
      </c>
      <c r="N254" s="7">
        <v>88.5</v>
      </c>
      <c r="O254" s="7">
        <v>14.22</v>
      </c>
      <c r="P254" s="7">
        <v>2.2799999999999998</v>
      </c>
      <c r="Q254" s="7">
        <v>4.2561999999999998</v>
      </c>
      <c r="R254" s="7">
        <v>0.68100000000000005</v>
      </c>
      <c r="S254" s="7" t="s">
        <v>1124</v>
      </c>
      <c r="T254" s="7">
        <v>6</v>
      </c>
      <c r="U254" s="7" t="s">
        <v>89</v>
      </c>
      <c r="V254" s="7"/>
      <c r="W254" t="s">
        <v>754</v>
      </c>
    </row>
    <row r="255" spans="1:23" outlineLevel="2" x14ac:dyDescent="0.25">
      <c r="A255" t="s">
        <v>82</v>
      </c>
      <c r="B255" t="s">
        <v>83</v>
      </c>
      <c r="C255">
        <v>30</v>
      </c>
      <c r="D255" t="s">
        <v>84</v>
      </c>
      <c r="E255">
        <v>184</v>
      </c>
      <c r="F255" t="s">
        <v>85</v>
      </c>
      <c r="G255">
        <v>8659</v>
      </c>
      <c r="H255" t="s">
        <v>32</v>
      </c>
      <c r="I255">
        <v>1000008659</v>
      </c>
      <c r="J255">
        <v>29468428</v>
      </c>
      <c r="K255" t="s">
        <v>1904</v>
      </c>
      <c r="L255" t="s">
        <v>752</v>
      </c>
      <c r="M255" t="s">
        <v>88</v>
      </c>
      <c r="N255">
        <v>355.5</v>
      </c>
      <c r="O255">
        <v>14.22</v>
      </c>
      <c r="P255">
        <v>2.2799999999999998</v>
      </c>
      <c r="Q255">
        <v>4.2561999999999998</v>
      </c>
      <c r="R255">
        <v>0.68100000000000005</v>
      </c>
      <c r="S255" t="s">
        <v>1126</v>
      </c>
      <c r="T255">
        <v>6</v>
      </c>
      <c r="U255" t="s">
        <v>89</v>
      </c>
      <c r="W255" t="s">
        <v>754</v>
      </c>
    </row>
    <row r="256" spans="1:23" outlineLevel="2" x14ac:dyDescent="0.25">
      <c r="A256" t="s">
        <v>82</v>
      </c>
      <c r="B256" t="s">
        <v>83</v>
      </c>
      <c r="C256">
        <v>30</v>
      </c>
      <c r="D256" t="s">
        <v>84</v>
      </c>
      <c r="E256">
        <v>184</v>
      </c>
      <c r="F256" t="s">
        <v>85</v>
      </c>
      <c r="G256">
        <v>8659</v>
      </c>
      <c r="H256" t="s">
        <v>32</v>
      </c>
      <c r="I256">
        <v>1000008659</v>
      </c>
      <c r="J256">
        <v>29468563</v>
      </c>
      <c r="K256" t="s">
        <v>1907</v>
      </c>
      <c r="L256" t="s">
        <v>752</v>
      </c>
      <c r="M256" t="s">
        <v>88</v>
      </c>
      <c r="N256">
        <v>184.5</v>
      </c>
      <c r="O256">
        <v>14.22</v>
      </c>
      <c r="P256">
        <v>2.2799999999999998</v>
      </c>
      <c r="Q256">
        <v>4.2561999999999998</v>
      </c>
      <c r="R256">
        <v>0.68100000000000005</v>
      </c>
      <c r="S256" t="s">
        <v>1128</v>
      </c>
      <c r="T256">
        <v>6</v>
      </c>
      <c r="U256" t="s">
        <v>89</v>
      </c>
      <c r="W256" t="s">
        <v>754</v>
      </c>
    </row>
    <row r="257" spans="1:23" outlineLevel="2" x14ac:dyDescent="0.25">
      <c r="A257" t="s">
        <v>82</v>
      </c>
      <c r="B257" t="s">
        <v>83</v>
      </c>
      <c r="C257">
        <v>30</v>
      </c>
      <c r="D257" t="s">
        <v>84</v>
      </c>
      <c r="E257">
        <v>184</v>
      </c>
      <c r="F257" t="s">
        <v>85</v>
      </c>
      <c r="G257">
        <v>8659</v>
      </c>
      <c r="H257" t="s">
        <v>32</v>
      </c>
      <c r="I257">
        <v>1000008659</v>
      </c>
      <c r="J257">
        <v>29468835</v>
      </c>
      <c r="K257" t="s">
        <v>1912</v>
      </c>
      <c r="L257" t="s">
        <v>752</v>
      </c>
      <c r="M257" t="s">
        <v>88</v>
      </c>
      <c r="N257">
        <v>186.5</v>
      </c>
      <c r="O257">
        <v>14.22</v>
      </c>
      <c r="P257">
        <v>2.2799999999999998</v>
      </c>
      <c r="Q257">
        <v>4.2561999999999998</v>
      </c>
      <c r="R257">
        <v>0.68100000000000005</v>
      </c>
      <c r="S257" t="s">
        <v>1130</v>
      </c>
      <c r="T257">
        <v>6</v>
      </c>
      <c r="U257" t="s">
        <v>89</v>
      </c>
      <c r="W257" t="s">
        <v>754</v>
      </c>
    </row>
    <row r="258" spans="1:23" outlineLevel="2" x14ac:dyDescent="0.25">
      <c r="A258" t="s">
        <v>82</v>
      </c>
      <c r="B258" t="s">
        <v>83</v>
      </c>
      <c r="C258">
        <v>30</v>
      </c>
      <c r="D258" t="s">
        <v>84</v>
      </c>
      <c r="E258">
        <v>184</v>
      </c>
      <c r="F258" t="s">
        <v>85</v>
      </c>
      <c r="G258">
        <v>8659</v>
      </c>
      <c r="H258" t="s">
        <v>32</v>
      </c>
      <c r="I258">
        <v>1000008659</v>
      </c>
      <c r="J258">
        <v>29469356</v>
      </c>
      <c r="K258" t="s">
        <v>1917</v>
      </c>
      <c r="L258" t="s">
        <v>752</v>
      </c>
      <c r="M258" t="s">
        <v>88</v>
      </c>
      <c r="N258">
        <v>714.5</v>
      </c>
      <c r="O258">
        <v>14.22</v>
      </c>
      <c r="P258">
        <v>2.2799999999999998</v>
      </c>
      <c r="Q258">
        <v>4.2561999999999998</v>
      </c>
      <c r="R258">
        <v>0.68100000000000005</v>
      </c>
      <c r="S258" t="s">
        <v>1132</v>
      </c>
      <c r="T258">
        <v>6</v>
      </c>
      <c r="U258" t="s">
        <v>89</v>
      </c>
      <c r="W258" t="s">
        <v>754</v>
      </c>
    </row>
    <row r="259" spans="1:23" outlineLevel="2" x14ac:dyDescent="0.25">
      <c r="A259" t="s">
        <v>82</v>
      </c>
      <c r="B259" t="s">
        <v>83</v>
      </c>
      <c r="C259">
        <v>30</v>
      </c>
      <c r="D259" t="s">
        <v>84</v>
      </c>
      <c r="E259">
        <v>184</v>
      </c>
      <c r="F259" t="s">
        <v>85</v>
      </c>
      <c r="G259">
        <v>8659</v>
      </c>
      <c r="H259" t="s">
        <v>32</v>
      </c>
      <c r="I259">
        <v>1000008659</v>
      </c>
      <c r="J259">
        <v>29469725</v>
      </c>
      <c r="K259" t="s">
        <v>1928</v>
      </c>
      <c r="L259" t="s">
        <v>752</v>
      </c>
      <c r="M259" t="s">
        <v>88</v>
      </c>
      <c r="N259">
        <v>109.5</v>
      </c>
      <c r="O259">
        <v>14.22</v>
      </c>
      <c r="P259">
        <v>2.2799999999999998</v>
      </c>
      <c r="Q259">
        <v>4.2561999999999998</v>
      </c>
      <c r="R259">
        <v>0.68100000000000005</v>
      </c>
      <c r="S259" t="s">
        <v>653</v>
      </c>
      <c r="T259">
        <v>6</v>
      </c>
      <c r="U259" t="s">
        <v>89</v>
      </c>
      <c r="W259" t="s">
        <v>754</v>
      </c>
    </row>
    <row r="260" spans="1:23" outlineLevel="2" x14ac:dyDescent="0.25">
      <c r="A260" s="8" t="s">
        <v>82</v>
      </c>
      <c r="B260" s="8" t="s">
        <v>83</v>
      </c>
      <c r="C260" s="8">
        <v>30</v>
      </c>
      <c r="D260" s="8" t="s">
        <v>84</v>
      </c>
      <c r="E260" s="8">
        <v>184</v>
      </c>
      <c r="F260" s="8" t="s">
        <v>85</v>
      </c>
      <c r="G260" s="8">
        <v>8659</v>
      </c>
      <c r="H260" s="8" t="s">
        <v>32</v>
      </c>
      <c r="I260" s="8">
        <v>1000008659</v>
      </c>
      <c r="J260" s="8">
        <v>29469901</v>
      </c>
      <c r="K260" s="8" t="s">
        <v>1932</v>
      </c>
      <c r="L260" s="8" t="s">
        <v>752</v>
      </c>
      <c r="M260" s="8" t="s">
        <v>88</v>
      </c>
      <c r="N260" s="8">
        <v>100.5</v>
      </c>
      <c r="O260" s="8">
        <v>14.22</v>
      </c>
      <c r="P260" s="8">
        <v>2.2799999999999998</v>
      </c>
      <c r="Q260" s="8">
        <v>4.2561999999999998</v>
      </c>
      <c r="R260" s="8">
        <v>0.68100000000000005</v>
      </c>
      <c r="S260" s="8" t="s">
        <v>3501</v>
      </c>
      <c r="T260" s="8">
        <v>6</v>
      </c>
      <c r="U260" s="8" t="s">
        <v>89</v>
      </c>
      <c r="V260" s="8"/>
      <c r="W260" t="s">
        <v>754</v>
      </c>
    </row>
    <row r="261" spans="1:23" outlineLevel="2" x14ac:dyDescent="0.25">
      <c r="A261" t="s">
        <v>82</v>
      </c>
      <c r="B261" t="s">
        <v>83</v>
      </c>
      <c r="C261">
        <v>30</v>
      </c>
      <c r="D261" t="s">
        <v>84</v>
      </c>
      <c r="E261">
        <v>184</v>
      </c>
      <c r="F261" t="s">
        <v>85</v>
      </c>
      <c r="G261">
        <v>8659</v>
      </c>
      <c r="H261" t="s">
        <v>32</v>
      </c>
      <c r="I261">
        <v>1000008659</v>
      </c>
      <c r="J261">
        <v>29470562</v>
      </c>
      <c r="K261" t="s">
        <v>1945</v>
      </c>
      <c r="L261" t="s">
        <v>752</v>
      </c>
      <c r="M261" t="s">
        <v>88</v>
      </c>
      <c r="N261">
        <v>44.5</v>
      </c>
      <c r="O261">
        <v>14.22</v>
      </c>
      <c r="P261">
        <v>2.2799999999999998</v>
      </c>
      <c r="Q261">
        <v>4.2561999999999998</v>
      </c>
      <c r="R261">
        <v>0.68100000000000005</v>
      </c>
      <c r="S261" t="s">
        <v>2988</v>
      </c>
      <c r="T261">
        <v>6</v>
      </c>
      <c r="U261" t="s">
        <v>89</v>
      </c>
      <c r="W261" t="s">
        <v>754</v>
      </c>
    </row>
    <row r="262" spans="1:23" outlineLevel="2" x14ac:dyDescent="0.25">
      <c r="A262" t="s">
        <v>82</v>
      </c>
      <c r="B262" t="s">
        <v>83</v>
      </c>
      <c r="C262">
        <v>30</v>
      </c>
      <c r="D262" t="s">
        <v>84</v>
      </c>
      <c r="E262">
        <v>184</v>
      </c>
      <c r="F262" t="s">
        <v>85</v>
      </c>
      <c r="G262">
        <v>8659</v>
      </c>
      <c r="H262" t="s">
        <v>32</v>
      </c>
      <c r="I262">
        <v>1000008659</v>
      </c>
      <c r="J262">
        <v>29470602</v>
      </c>
      <c r="K262" t="s">
        <v>1947</v>
      </c>
      <c r="L262" t="s">
        <v>752</v>
      </c>
      <c r="M262" t="s">
        <v>88</v>
      </c>
      <c r="N262">
        <v>114.5</v>
      </c>
      <c r="O262">
        <v>14.22</v>
      </c>
      <c r="P262">
        <v>2.2799999999999998</v>
      </c>
      <c r="Q262">
        <v>4.2561999999999998</v>
      </c>
      <c r="R262">
        <v>0.68100000000000005</v>
      </c>
      <c r="S262" t="s">
        <v>2990</v>
      </c>
      <c r="T262">
        <v>6</v>
      </c>
      <c r="U262" t="s">
        <v>89</v>
      </c>
      <c r="W262" t="s">
        <v>754</v>
      </c>
    </row>
    <row r="263" spans="1:23" outlineLevel="2" x14ac:dyDescent="0.25">
      <c r="A263" t="s">
        <v>82</v>
      </c>
      <c r="B263" t="s">
        <v>83</v>
      </c>
      <c r="C263">
        <v>30</v>
      </c>
      <c r="D263" t="s">
        <v>84</v>
      </c>
      <c r="E263">
        <v>184</v>
      </c>
      <c r="F263" t="s">
        <v>85</v>
      </c>
      <c r="G263">
        <v>8659</v>
      </c>
      <c r="H263" t="s">
        <v>32</v>
      </c>
      <c r="I263">
        <v>1000008659</v>
      </c>
      <c r="J263">
        <v>29471970</v>
      </c>
      <c r="K263" t="s">
        <v>1969</v>
      </c>
      <c r="L263" t="s">
        <v>752</v>
      </c>
      <c r="M263" t="s">
        <v>88</v>
      </c>
      <c r="N263">
        <v>111.5</v>
      </c>
      <c r="O263">
        <v>14.22</v>
      </c>
      <c r="P263">
        <v>2.2799999999999998</v>
      </c>
      <c r="Q263">
        <v>4.2561999999999998</v>
      </c>
      <c r="R263">
        <v>0.68100000000000005</v>
      </c>
      <c r="S263" t="s">
        <v>2992</v>
      </c>
      <c r="T263">
        <v>6</v>
      </c>
      <c r="U263" t="s">
        <v>89</v>
      </c>
      <c r="W263" t="s">
        <v>754</v>
      </c>
    </row>
    <row r="264" spans="1:23" outlineLevel="2" x14ac:dyDescent="0.25">
      <c r="A264" t="s">
        <v>82</v>
      </c>
      <c r="B264" t="s">
        <v>83</v>
      </c>
      <c r="C264">
        <v>30</v>
      </c>
      <c r="D264" t="s">
        <v>84</v>
      </c>
      <c r="E264">
        <v>184</v>
      </c>
      <c r="F264" t="s">
        <v>85</v>
      </c>
      <c r="G264">
        <v>8659</v>
      </c>
      <c r="H264" t="s">
        <v>32</v>
      </c>
      <c r="I264">
        <v>1000008659</v>
      </c>
      <c r="J264">
        <v>29476043</v>
      </c>
      <c r="K264" t="s">
        <v>2040</v>
      </c>
      <c r="L264" t="s">
        <v>752</v>
      </c>
      <c r="M264" t="s">
        <v>88</v>
      </c>
      <c r="N264">
        <v>565.5</v>
      </c>
      <c r="O264">
        <v>14.22</v>
      </c>
      <c r="P264">
        <v>2.2799999999999998</v>
      </c>
      <c r="Q264">
        <v>4.2561999999999998</v>
      </c>
      <c r="R264">
        <v>0.68100000000000005</v>
      </c>
      <c r="S264" t="s">
        <v>2994</v>
      </c>
      <c r="T264">
        <v>6</v>
      </c>
      <c r="U264" t="s">
        <v>89</v>
      </c>
      <c r="W264" t="s">
        <v>754</v>
      </c>
    </row>
    <row r="265" spans="1:23" outlineLevel="2" x14ac:dyDescent="0.25">
      <c r="A265" t="s">
        <v>82</v>
      </c>
      <c r="B265" t="s">
        <v>83</v>
      </c>
      <c r="C265">
        <v>30</v>
      </c>
      <c r="D265" t="s">
        <v>84</v>
      </c>
      <c r="E265">
        <v>184</v>
      </c>
      <c r="F265" t="s">
        <v>85</v>
      </c>
      <c r="G265">
        <v>8659</v>
      </c>
      <c r="H265" t="s">
        <v>32</v>
      </c>
      <c r="I265">
        <v>1000008659</v>
      </c>
      <c r="J265">
        <v>29479663</v>
      </c>
      <c r="K265" t="s">
        <v>2084</v>
      </c>
      <c r="L265" t="s">
        <v>752</v>
      </c>
      <c r="M265" t="s">
        <v>88</v>
      </c>
      <c r="N265">
        <v>149.5</v>
      </c>
      <c r="O265">
        <v>14.22</v>
      </c>
      <c r="P265">
        <v>2.2799999999999998</v>
      </c>
      <c r="Q265">
        <v>4.2561999999999998</v>
      </c>
      <c r="R265">
        <v>0.68100000000000005</v>
      </c>
      <c r="S265" t="s">
        <v>2996</v>
      </c>
      <c r="T265">
        <v>6</v>
      </c>
      <c r="U265" t="s">
        <v>89</v>
      </c>
      <c r="W265" t="s">
        <v>754</v>
      </c>
    </row>
    <row r="266" spans="1:23" outlineLevel="2" x14ac:dyDescent="0.25">
      <c r="A266" t="s">
        <v>82</v>
      </c>
      <c r="B266" t="s">
        <v>83</v>
      </c>
      <c r="C266">
        <v>30</v>
      </c>
      <c r="D266" t="s">
        <v>84</v>
      </c>
      <c r="E266">
        <v>184</v>
      </c>
      <c r="F266" t="s">
        <v>85</v>
      </c>
      <c r="G266">
        <v>8659</v>
      </c>
      <c r="H266" t="s">
        <v>32</v>
      </c>
      <c r="I266">
        <v>1000008659</v>
      </c>
      <c r="J266">
        <v>29480014</v>
      </c>
      <c r="K266" t="s">
        <v>2091</v>
      </c>
      <c r="L266" t="s">
        <v>752</v>
      </c>
      <c r="M266" t="s">
        <v>88</v>
      </c>
      <c r="N266">
        <v>44.5</v>
      </c>
      <c r="O266">
        <v>14.22</v>
      </c>
      <c r="P266">
        <v>2.2799999999999998</v>
      </c>
      <c r="Q266">
        <v>4.2561999999999998</v>
      </c>
      <c r="R266">
        <v>0.68100000000000005</v>
      </c>
      <c r="S266" t="s">
        <v>593</v>
      </c>
      <c r="T266">
        <v>6</v>
      </c>
      <c r="U266" t="s">
        <v>89</v>
      </c>
      <c r="W266" t="s">
        <v>754</v>
      </c>
    </row>
    <row r="267" spans="1:23" outlineLevel="2" x14ac:dyDescent="0.25">
      <c r="A267" t="s">
        <v>82</v>
      </c>
      <c r="B267" t="s">
        <v>83</v>
      </c>
      <c r="C267">
        <v>30</v>
      </c>
      <c r="D267" t="s">
        <v>84</v>
      </c>
      <c r="E267">
        <v>184</v>
      </c>
      <c r="F267" t="s">
        <v>85</v>
      </c>
      <c r="G267">
        <v>8659</v>
      </c>
      <c r="H267" t="s">
        <v>32</v>
      </c>
      <c r="I267">
        <v>1000008659</v>
      </c>
      <c r="J267">
        <v>29480286</v>
      </c>
      <c r="K267" t="s">
        <v>2095</v>
      </c>
      <c r="L267" t="s">
        <v>752</v>
      </c>
      <c r="M267" t="s">
        <v>88</v>
      </c>
      <c r="N267">
        <v>44.5</v>
      </c>
      <c r="O267">
        <v>14.22</v>
      </c>
      <c r="P267">
        <v>2.2799999999999998</v>
      </c>
      <c r="Q267">
        <v>4.2561999999999998</v>
      </c>
      <c r="R267">
        <v>0.68100000000000005</v>
      </c>
      <c r="S267" t="s">
        <v>2999</v>
      </c>
      <c r="T267">
        <v>6</v>
      </c>
      <c r="U267" t="s">
        <v>89</v>
      </c>
      <c r="W267" t="s">
        <v>754</v>
      </c>
    </row>
    <row r="268" spans="1:23" outlineLevel="2" x14ac:dyDescent="0.25">
      <c r="A268" t="s">
        <v>82</v>
      </c>
      <c r="B268" t="s">
        <v>83</v>
      </c>
      <c r="C268">
        <v>30</v>
      </c>
      <c r="D268" t="s">
        <v>84</v>
      </c>
      <c r="E268">
        <v>184</v>
      </c>
      <c r="F268" t="s">
        <v>85</v>
      </c>
      <c r="G268">
        <v>8659</v>
      </c>
      <c r="H268" t="s">
        <v>32</v>
      </c>
      <c r="I268">
        <v>1000008659</v>
      </c>
      <c r="J268">
        <v>29480581</v>
      </c>
      <c r="K268" t="s">
        <v>2098</v>
      </c>
      <c r="L268" t="s">
        <v>752</v>
      </c>
      <c r="M268" t="s">
        <v>88</v>
      </c>
      <c r="N268">
        <v>85.5</v>
      </c>
      <c r="O268">
        <v>14.22</v>
      </c>
      <c r="P268">
        <v>2.2799999999999998</v>
      </c>
      <c r="Q268">
        <v>4.2561999999999998</v>
      </c>
      <c r="R268">
        <v>0.68100000000000005</v>
      </c>
      <c r="S268" t="s">
        <v>3001</v>
      </c>
      <c r="T268">
        <v>6</v>
      </c>
      <c r="U268" t="s">
        <v>89</v>
      </c>
      <c r="W268" t="s">
        <v>754</v>
      </c>
    </row>
    <row r="269" spans="1:23" outlineLevel="2" x14ac:dyDescent="0.25">
      <c r="A269" t="s">
        <v>82</v>
      </c>
      <c r="B269" t="s">
        <v>83</v>
      </c>
      <c r="C269">
        <v>30</v>
      </c>
      <c r="D269" t="s">
        <v>84</v>
      </c>
      <c r="E269">
        <v>184</v>
      </c>
      <c r="F269" t="s">
        <v>85</v>
      </c>
      <c r="G269">
        <v>8659</v>
      </c>
      <c r="H269" t="s">
        <v>32</v>
      </c>
      <c r="I269">
        <v>1000008659</v>
      </c>
      <c r="J269">
        <v>29481026</v>
      </c>
      <c r="K269" t="s">
        <v>2103</v>
      </c>
      <c r="L269" t="s">
        <v>752</v>
      </c>
      <c r="M269" t="s">
        <v>88</v>
      </c>
      <c r="N269">
        <v>154.5</v>
      </c>
      <c r="O269">
        <v>14.22</v>
      </c>
      <c r="P269">
        <v>2.2799999999999998</v>
      </c>
      <c r="Q269">
        <v>4.2561999999999998</v>
      </c>
      <c r="R269">
        <v>0.68100000000000005</v>
      </c>
      <c r="S269" t="s">
        <v>3003</v>
      </c>
      <c r="T269">
        <v>6</v>
      </c>
      <c r="U269" t="s">
        <v>89</v>
      </c>
      <c r="W269" t="s">
        <v>754</v>
      </c>
    </row>
    <row r="270" spans="1:23" outlineLevel="2" x14ac:dyDescent="0.25">
      <c r="A270" t="s">
        <v>82</v>
      </c>
      <c r="B270" t="s">
        <v>83</v>
      </c>
      <c r="C270">
        <v>30</v>
      </c>
      <c r="D270" t="s">
        <v>84</v>
      </c>
      <c r="E270">
        <v>184</v>
      </c>
      <c r="F270" t="s">
        <v>85</v>
      </c>
      <c r="G270">
        <v>8659</v>
      </c>
      <c r="H270" t="s">
        <v>32</v>
      </c>
      <c r="I270">
        <v>1000008659</v>
      </c>
      <c r="J270">
        <v>29481308</v>
      </c>
      <c r="K270" t="s">
        <v>2108</v>
      </c>
      <c r="L270" t="s">
        <v>752</v>
      </c>
      <c r="M270" t="s">
        <v>88</v>
      </c>
      <c r="N270">
        <v>196.5</v>
      </c>
      <c r="O270">
        <v>14.22</v>
      </c>
      <c r="P270">
        <v>2.2799999999999998</v>
      </c>
      <c r="Q270">
        <v>4.2561999999999998</v>
      </c>
      <c r="R270">
        <v>0.68100000000000005</v>
      </c>
      <c r="S270" t="s">
        <v>3005</v>
      </c>
      <c r="T270">
        <v>6</v>
      </c>
      <c r="U270" t="s">
        <v>89</v>
      </c>
      <c r="W270" t="s">
        <v>754</v>
      </c>
    </row>
    <row r="271" spans="1:23" outlineLevel="2" x14ac:dyDescent="0.25">
      <c r="A271" t="s">
        <v>82</v>
      </c>
      <c r="B271" t="s">
        <v>83</v>
      </c>
      <c r="C271">
        <v>30</v>
      </c>
      <c r="D271" t="s">
        <v>84</v>
      </c>
      <c r="E271">
        <v>184</v>
      </c>
      <c r="F271" t="s">
        <v>85</v>
      </c>
      <c r="G271">
        <v>8659</v>
      </c>
      <c r="H271" t="s">
        <v>32</v>
      </c>
      <c r="I271">
        <v>1000008659</v>
      </c>
      <c r="J271">
        <v>29483123</v>
      </c>
      <c r="K271" t="s">
        <v>2132</v>
      </c>
      <c r="L271" t="s">
        <v>752</v>
      </c>
      <c r="M271" t="s">
        <v>88</v>
      </c>
      <c r="N271">
        <v>135.5</v>
      </c>
      <c r="O271">
        <v>14.22</v>
      </c>
      <c r="P271">
        <v>2.2799999999999998</v>
      </c>
      <c r="Q271">
        <v>4.2561999999999998</v>
      </c>
      <c r="R271">
        <v>0.68100000000000005</v>
      </c>
      <c r="S271" t="s">
        <v>3007</v>
      </c>
      <c r="T271">
        <v>6</v>
      </c>
      <c r="U271" t="s">
        <v>89</v>
      </c>
      <c r="W271" t="s">
        <v>754</v>
      </c>
    </row>
    <row r="272" spans="1:23" outlineLevel="2" x14ac:dyDescent="0.25">
      <c r="A272" t="s">
        <v>82</v>
      </c>
      <c r="B272" t="s">
        <v>83</v>
      </c>
      <c r="C272">
        <v>30</v>
      </c>
      <c r="D272" t="s">
        <v>84</v>
      </c>
      <c r="E272">
        <v>184</v>
      </c>
      <c r="F272" t="s">
        <v>85</v>
      </c>
      <c r="G272">
        <v>8659</v>
      </c>
      <c r="H272" t="s">
        <v>32</v>
      </c>
      <c r="I272">
        <v>1000008659</v>
      </c>
      <c r="J272">
        <v>29484538</v>
      </c>
      <c r="K272" t="s">
        <v>2139</v>
      </c>
      <c r="L272" t="s">
        <v>752</v>
      </c>
      <c r="M272" t="s">
        <v>88</v>
      </c>
      <c r="N272">
        <v>134.5</v>
      </c>
      <c r="O272">
        <v>14.22</v>
      </c>
      <c r="P272">
        <v>2.2799999999999998</v>
      </c>
      <c r="Q272">
        <v>4.2561999999999998</v>
      </c>
      <c r="R272">
        <v>0.68100000000000005</v>
      </c>
      <c r="S272" t="s">
        <v>587</v>
      </c>
      <c r="T272">
        <v>6</v>
      </c>
      <c r="U272" t="s">
        <v>89</v>
      </c>
      <c r="W272" t="s">
        <v>754</v>
      </c>
    </row>
    <row r="273" spans="1:23" outlineLevel="2" x14ac:dyDescent="0.25">
      <c r="A273" t="s">
        <v>82</v>
      </c>
      <c r="B273" t="s">
        <v>83</v>
      </c>
      <c r="C273">
        <v>30</v>
      </c>
      <c r="D273" t="s">
        <v>84</v>
      </c>
      <c r="E273">
        <v>184</v>
      </c>
      <c r="F273" t="s">
        <v>85</v>
      </c>
      <c r="G273">
        <v>8659</v>
      </c>
      <c r="H273" t="s">
        <v>32</v>
      </c>
      <c r="I273">
        <v>1000008659</v>
      </c>
      <c r="J273">
        <v>29487410</v>
      </c>
      <c r="K273" t="s">
        <v>2156</v>
      </c>
      <c r="L273" t="s">
        <v>752</v>
      </c>
      <c r="M273" t="s">
        <v>88</v>
      </c>
      <c r="N273">
        <v>119.5</v>
      </c>
      <c r="O273">
        <v>14.22</v>
      </c>
      <c r="P273">
        <v>2.2799999999999998</v>
      </c>
      <c r="Q273">
        <v>4.2561999999999998</v>
      </c>
      <c r="R273">
        <v>0.68100000000000005</v>
      </c>
      <c r="S273" t="s">
        <v>3010</v>
      </c>
      <c r="T273">
        <v>6</v>
      </c>
      <c r="U273" t="s">
        <v>89</v>
      </c>
      <c r="W273" t="s">
        <v>754</v>
      </c>
    </row>
    <row r="274" spans="1:23" outlineLevel="2" x14ac:dyDescent="0.25">
      <c r="A274" t="s">
        <v>82</v>
      </c>
      <c r="B274" t="s">
        <v>83</v>
      </c>
      <c r="C274">
        <v>30</v>
      </c>
      <c r="D274" t="s">
        <v>84</v>
      </c>
      <c r="E274">
        <v>184</v>
      </c>
      <c r="F274" t="s">
        <v>85</v>
      </c>
      <c r="G274">
        <v>8659</v>
      </c>
      <c r="H274" t="s">
        <v>32</v>
      </c>
      <c r="I274">
        <v>1000008659</v>
      </c>
      <c r="J274">
        <v>29491241</v>
      </c>
      <c r="K274" t="s">
        <v>2184</v>
      </c>
      <c r="L274" t="s">
        <v>752</v>
      </c>
      <c r="M274" t="s">
        <v>88</v>
      </c>
      <c r="N274">
        <v>364.5</v>
      </c>
      <c r="O274">
        <v>14.22</v>
      </c>
      <c r="P274">
        <v>2.2799999999999998</v>
      </c>
      <c r="Q274">
        <v>4.2561999999999998</v>
      </c>
      <c r="R274">
        <v>0.68100000000000005</v>
      </c>
      <c r="S274" t="s">
        <v>3012</v>
      </c>
      <c r="T274">
        <v>6</v>
      </c>
      <c r="U274" t="s">
        <v>89</v>
      </c>
      <c r="W274" t="s">
        <v>754</v>
      </c>
    </row>
    <row r="275" spans="1:23" outlineLevel="2" x14ac:dyDescent="0.25">
      <c r="A275" t="s">
        <v>82</v>
      </c>
      <c r="B275" t="s">
        <v>83</v>
      </c>
      <c r="C275">
        <v>30</v>
      </c>
      <c r="D275" t="s">
        <v>84</v>
      </c>
      <c r="E275">
        <v>184</v>
      </c>
      <c r="F275" t="s">
        <v>85</v>
      </c>
      <c r="G275">
        <v>8659</v>
      </c>
      <c r="H275" t="s">
        <v>32</v>
      </c>
      <c r="I275">
        <v>1000008659</v>
      </c>
      <c r="J275">
        <v>29492331</v>
      </c>
      <c r="K275" t="s">
        <v>2195</v>
      </c>
      <c r="L275" t="s">
        <v>752</v>
      </c>
      <c r="M275" t="s">
        <v>88</v>
      </c>
      <c r="N275">
        <v>149.5</v>
      </c>
      <c r="O275">
        <v>14.22</v>
      </c>
      <c r="P275">
        <v>2.2799999999999998</v>
      </c>
      <c r="Q275">
        <v>4.2561999999999998</v>
      </c>
      <c r="R275">
        <v>0.68100000000000005</v>
      </c>
      <c r="S275" t="s">
        <v>3014</v>
      </c>
      <c r="T275">
        <v>6</v>
      </c>
      <c r="U275" t="s">
        <v>89</v>
      </c>
      <c r="W275" t="s">
        <v>754</v>
      </c>
    </row>
    <row r="276" spans="1:23" outlineLevel="2" x14ac:dyDescent="0.25">
      <c r="A276" t="s">
        <v>82</v>
      </c>
      <c r="B276" t="s">
        <v>83</v>
      </c>
      <c r="C276">
        <v>30</v>
      </c>
      <c r="D276" t="s">
        <v>84</v>
      </c>
      <c r="E276">
        <v>184</v>
      </c>
      <c r="F276" t="s">
        <v>85</v>
      </c>
      <c r="G276">
        <v>8659</v>
      </c>
      <c r="H276" t="s">
        <v>32</v>
      </c>
      <c r="I276">
        <v>1000008659</v>
      </c>
      <c r="J276">
        <v>29493418</v>
      </c>
      <c r="K276" t="s">
        <v>2204</v>
      </c>
      <c r="L276" t="s">
        <v>752</v>
      </c>
      <c r="M276" t="s">
        <v>88</v>
      </c>
      <c r="N276">
        <v>112.5</v>
      </c>
      <c r="O276">
        <v>14.22</v>
      </c>
      <c r="P276">
        <v>2.2799999999999998</v>
      </c>
      <c r="Q276">
        <v>4.2561999999999998</v>
      </c>
      <c r="R276">
        <v>0.68100000000000005</v>
      </c>
      <c r="S276" t="s">
        <v>3016</v>
      </c>
      <c r="T276">
        <v>6</v>
      </c>
      <c r="U276" t="s">
        <v>89</v>
      </c>
      <c r="W276" t="s">
        <v>754</v>
      </c>
    </row>
    <row r="277" spans="1:23" outlineLevel="2" x14ac:dyDescent="0.25">
      <c r="A277" t="s">
        <v>82</v>
      </c>
      <c r="B277" t="s">
        <v>83</v>
      </c>
      <c r="C277">
        <v>30</v>
      </c>
      <c r="D277" t="s">
        <v>84</v>
      </c>
      <c r="E277">
        <v>184</v>
      </c>
      <c r="F277" t="s">
        <v>85</v>
      </c>
      <c r="G277">
        <v>8659</v>
      </c>
      <c r="H277" t="s">
        <v>32</v>
      </c>
      <c r="I277">
        <v>1000008659</v>
      </c>
      <c r="J277">
        <v>29497682</v>
      </c>
      <c r="K277" t="s">
        <v>2237</v>
      </c>
      <c r="L277" t="s">
        <v>752</v>
      </c>
      <c r="M277" t="s">
        <v>88</v>
      </c>
      <c r="N277">
        <v>115.5</v>
      </c>
      <c r="O277">
        <v>14.22</v>
      </c>
      <c r="P277">
        <v>2.2799999999999998</v>
      </c>
      <c r="Q277">
        <v>4.2561999999999998</v>
      </c>
      <c r="R277">
        <v>0.68100000000000005</v>
      </c>
      <c r="S277" t="s">
        <v>3018</v>
      </c>
      <c r="T277">
        <v>6</v>
      </c>
      <c r="U277" t="s">
        <v>89</v>
      </c>
      <c r="W277" t="s">
        <v>754</v>
      </c>
    </row>
    <row r="278" spans="1:23" outlineLevel="2" x14ac:dyDescent="0.25">
      <c r="A278" t="s">
        <v>82</v>
      </c>
      <c r="B278" t="s">
        <v>83</v>
      </c>
      <c r="C278">
        <v>30</v>
      </c>
      <c r="D278" t="s">
        <v>84</v>
      </c>
      <c r="E278">
        <v>184</v>
      </c>
      <c r="F278" t="s">
        <v>85</v>
      </c>
      <c r="G278">
        <v>8659</v>
      </c>
      <c r="H278" t="s">
        <v>32</v>
      </c>
      <c r="I278">
        <v>1000008659</v>
      </c>
      <c r="J278">
        <v>29499171</v>
      </c>
      <c r="K278" t="s">
        <v>2247</v>
      </c>
      <c r="L278" t="s">
        <v>752</v>
      </c>
      <c r="M278" t="s">
        <v>88</v>
      </c>
      <c r="N278">
        <v>48.5</v>
      </c>
      <c r="O278">
        <v>14.22</v>
      </c>
      <c r="P278">
        <v>2.2799999999999998</v>
      </c>
      <c r="Q278">
        <v>4.2561999999999998</v>
      </c>
      <c r="R278">
        <v>0.68100000000000005</v>
      </c>
      <c r="S278" t="s">
        <v>3020</v>
      </c>
      <c r="T278">
        <v>6</v>
      </c>
      <c r="U278" t="s">
        <v>89</v>
      </c>
      <c r="W278" t="s">
        <v>754</v>
      </c>
    </row>
    <row r="279" spans="1:23" outlineLevel="2" x14ac:dyDescent="0.25">
      <c r="A279" t="s">
        <v>82</v>
      </c>
      <c r="B279" t="s">
        <v>83</v>
      </c>
      <c r="C279">
        <v>30</v>
      </c>
      <c r="D279" t="s">
        <v>84</v>
      </c>
      <c r="E279">
        <v>184</v>
      </c>
      <c r="F279" t="s">
        <v>85</v>
      </c>
      <c r="G279">
        <v>8659</v>
      </c>
      <c r="H279" t="s">
        <v>32</v>
      </c>
      <c r="I279">
        <v>1000008659</v>
      </c>
      <c r="J279">
        <v>29504820</v>
      </c>
      <c r="K279" t="s">
        <v>2285</v>
      </c>
      <c r="L279" t="s">
        <v>752</v>
      </c>
      <c r="M279" t="s">
        <v>88</v>
      </c>
      <c r="N279">
        <v>85.5</v>
      </c>
      <c r="O279">
        <v>14.22</v>
      </c>
      <c r="P279">
        <v>2.2799999999999998</v>
      </c>
      <c r="Q279">
        <v>4.2561999999999998</v>
      </c>
      <c r="R279">
        <v>0.68100000000000005</v>
      </c>
      <c r="S279" t="s">
        <v>3022</v>
      </c>
      <c r="T279">
        <v>6</v>
      </c>
      <c r="U279" t="s">
        <v>89</v>
      </c>
      <c r="W279" t="s">
        <v>754</v>
      </c>
    </row>
    <row r="280" spans="1:23" outlineLevel="2" x14ac:dyDescent="0.25">
      <c r="A280" t="s">
        <v>82</v>
      </c>
      <c r="B280" t="s">
        <v>83</v>
      </c>
      <c r="C280">
        <v>30</v>
      </c>
      <c r="D280" t="s">
        <v>84</v>
      </c>
      <c r="E280">
        <v>184</v>
      </c>
      <c r="F280" t="s">
        <v>85</v>
      </c>
      <c r="G280">
        <v>8659</v>
      </c>
      <c r="H280" t="s">
        <v>32</v>
      </c>
      <c r="I280">
        <v>1000008659</v>
      </c>
      <c r="J280">
        <v>29505013</v>
      </c>
      <c r="K280" t="s">
        <v>2286</v>
      </c>
      <c r="L280" t="s">
        <v>752</v>
      </c>
      <c r="M280" t="s">
        <v>88</v>
      </c>
      <c r="N280">
        <v>215.5</v>
      </c>
      <c r="O280">
        <v>14.22</v>
      </c>
      <c r="P280">
        <v>2.2799999999999998</v>
      </c>
      <c r="Q280">
        <v>4.2561999999999998</v>
      </c>
      <c r="R280">
        <v>0.68100000000000005</v>
      </c>
      <c r="S280" t="s">
        <v>3024</v>
      </c>
      <c r="T280">
        <v>6</v>
      </c>
      <c r="U280" t="s">
        <v>89</v>
      </c>
      <c r="W280" t="s">
        <v>754</v>
      </c>
    </row>
    <row r="281" spans="1:23" outlineLevel="2" x14ac:dyDescent="0.25">
      <c r="A281" t="s">
        <v>82</v>
      </c>
      <c r="B281" t="s">
        <v>83</v>
      </c>
      <c r="C281">
        <v>30</v>
      </c>
      <c r="D281" t="s">
        <v>84</v>
      </c>
      <c r="E281">
        <v>184</v>
      </c>
      <c r="F281" t="s">
        <v>85</v>
      </c>
      <c r="G281">
        <v>8659</v>
      </c>
      <c r="H281" t="s">
        <v>32</v>
      </c>
      <c r="I281">
        <v>1000008659</v>
      </c>
      <c r="J281">
        <v>29509369</v>
      </c>
      <c r="K281" t="s">
        <v>2307</v>
      </c>
      <c r="L281" t="s">
        <v>753</v>
      </c>
      <c r="M281" t="s">
        <v>88</v>
      </c>
      <c r="N281">
        <v>267.5</v>
      </c>
      <c r="O281">
        <v>14.22</v>
      </c>
      <c r="P281">
        <v>2.2799999999999998</v>
      </c>
      <c r="Q281">
        <v>4.2561999999999998</v>
      </c>
      <c r="R281">
        <v>0.68100000000000005</v>
      </c>
      <c r="S281" t="s">
        <v>3026</v>
      </c>
      <c r="T281">
        <v>6</v>
      </c>
      <c r="U281" t="s">
        <v>89</v>
      </c>
      <c r="W281" t="s">
        <v>754</v>
      </c>
    </row>
    <row r="282" spans="1:23" outlineLevel="2" x14ac:dyDescent="0.25">
      <c r="A282" t="s">
        <v>82</v>
      </c>
      <c r="B282" t="s">
        <v>83</v>
      </c>
      <c r="C282">
        <v>30</v>
      </c>
      <c r="D282" t="s">
        <v>84</v>
      </c>
      <c r="E282">
        <v>184</v>
      </c>
      <c r="F282" t="s">
        <v>85</v>
      </c>
      <c r="G282">
        <v>8660</v>
      </c>
      <c r="H282" t="s">
        <v>35</v>
      </c>
      <c r="I282">
        <v>1000008660</v>
      </c>
      <c r="J282">
        <v>29426656</v>
      </c>
      <c r="K282" t="s">
        <v>1639</v>
      </c>
      <c r="L282" t="s">
        <v>752</v>
      </c>
      <c r="M282" t="s">
        <v>88</v>
      </c>
      <c r="N282">
        <v>71.5</v>
      </c>
      <c r="O282">
        <v>14.22</v>
      </c>
      <c r="P282">
        <v>2.2799999999999998</v>
      </c>
      <c r="Q282">
        <v>4.2561999999999998</v>
      </c>
      <c r="R282">
        <v>0.68100000000000005</v>
      </c>
      <c r="S282" t="s">
        <v>520</v>
      </c>
      <c r="T282">
        <v>6</v>
      </c>
      <c r="U282" t="s">
        <v>89</v>
      </c>
      <c r="W282" t="s">
        <v>754</v>
      </c>
    </row>
    <row r="283" spans="1:23" outlineLevel="2" x14ac:dyDescent="0.25">
      <c r="A283" t="s">
        <v>82</v>
      </c>
      <c r="B283" t="s">
        <v>83</v>
      </c>
      <c r="C283">
        <v>30</v>
      </c>
      <c r="D283" t="s">
        <v>84</v>
      </c>
      <c r="E283">
        <v>184</v>
      </c>
      <c r="F283" t="s">
        <v>85</v>
      </c>
      <c r="G283">
        <v>8660</v>
      </c>
      <c r="H283" t="s">
        <v>35</v>
      </c>
      <c r="I283">
        <v>1000008660</v>
      </c>
      <c r="J283">
        <v>29428574</v>
      </c>
      <c r="K283" t="s">
        <v>1655</v>
      </c>
      <c r="L283" t="s">
        <v>753</v>
      </c>
      <c r="M283" t="s">
        <v>88</v>
      </c>
      <c r="N283">
        <v>50.5</v>
      </c>
      <c r="O283">
        <v>14.22</v>
      </c>
      <c r="P283">
        <v>2.2799999999999998</v>
      </c>
      <c r="Q283">
        <v>4.2561999999999998</v>
      </c>
      <c r="R283">
        <v>0.68100000000000005</v>
      </c>
      <c r="S283" t="s">
        <v>1563</v>
      </c>
      <c r="T283">
        <v>6</v>
      </c>
      <c r="U283" t="s">
        <v>89</v>
      </c>
      <c r="W283" t="s">
        <v>754</v>
      </c>
    </row>
    <row r="284" spans="1:23" outlineLevel="2" x14ac:dyDescent="0.25">
      <c r="A284" t="s">
        <v>82</v>
      </c>
      <c r="B284" t="s">
        <v>83</v>
      </c>
      <c r="C284">
        <v>30</v>
      </c>
      <c r="D284" t="s">
        <v>84</v>
      </c>
      <c r="E284">
        <v>184</v>
      </c>
      <c r="F284" t="s">
        <v>85</v>
      </c>
      <c r="G284">
        <v>8660</v>
      </c>
      <c r="H284" t="s">
        <v>35</v>
      </c>
      <c r="I284">
        <v>1000008660</v>
      </c>
      <c r="J284">
        <v>29429775</v>
      </c>
      <c r="K284" t="s">
        <v>1670</v>
      </c>
      <c r="L284" t="s">
        <v>752</v>
      </c>
      <c r="M284" t="s">
        <v>88</v>
      </c>
      <c r="N284">
        <v>69.5</v>
      </c>
      <c r="O284">
        <v>14.22</v>
      </c>
      <c r="P284">
        <v>2.2799999999999998</v>
      </c>
      <c r="Q284">
        <v>4.2561999999999998</v>
      </c>
      <c r="R284">
        <v>0.68100000000000005</v>
      </c>
      <c r="S284" t="s">
        <v>1565</v>
      </c>
      <c r="T284">
        <v>6</v>
      </c>
      <c r="U284" t="s">
        <v>89</v>
      </c>
      <c r="W284" t="s">
        <v>754</v>
      </c>
    </row>
    <row r="285" spans="1:23" outlineLevel="2" x14ac:dyDescent="0.25">
      <c r="A285" t="s">
        <v>82</v>
      </c>
      <c r="B285" t="s">
        <v>83</v>
      </c>
      <c r="C285">
        <v>30</v>
      </c>
      <c r="D285" t="s">
        <v>84</v>
      </c>
      <c r="E285">
        <v>184</v>
      </c>
      <c r="F285" t="s">
        <v>85</v>
      </c>
      <c r="G285">
        <v>8660</v>
      </c>
      <c r="H285" t="s">
        <v>35</v>
      </c>
      <c r="I285">
        <v>1000008660</v>
      </c>
      <c r="J285">
        <v>29435189</v>
      </c>
      <c r="K285" t="s">
        <v>1705</v>
      </c>
      <c r="L285" t="s">
        <v>753</v>
      </c>
      <c r="M285" t="s">
        <v>88</v>
      </c>
      <c r="N285">
        <v>124.5</v>
      </c>
      <c r="O285">
        <v>14.22</v>
      </c>
      <c r="P285">
        <v>2.2799999999999998</v>
      </c>
      <c r="Q285">
        <v>4.2561999999999998</v>
      </c>
      <c r="R285">
        <v>0.68100000000000005</v>
      </c>
      <c r="S285" t="s">
        <v>594</v>
      </c>
      <c r="T285">
        <v>6</v>
      </c>
      <c r="U285" t="s">
        <v>89</v>
      </c>
      <c r="W285" t="s">
        <v>754</v>
      </c>
    </row>
    <row r="286" spans="1:23" outlineLevel="2" x14ac:dyDescent="0.25">
      <c r="A286" t="s">
        <v>82</v>
      </c>
      <c r="B286" t="s">
        <v>83</v>
      </c>
      <c r="C286">
        <v>30</v>
      </c>
      <c r="D286" t="s">
        <v>84</v>
      </c>
      <c r="E286">
        <v>184</v>
      </c>
      <c r="F286" t="s">
        <v>85</v>
      </c>
      <c r="G286">
        <v>8660</v>
      </c>
      <c r="H286" t="s">
        <v>35</v>
      </c>
      <c r="I286">
        <v>1000008660</v>
      </c>
      <c r="J286">
        <v>29437594</v>
      </c>
      <c r="K286" t="s">
        <v>1718</v>
      </c>
      <c r="L286" t="s">
        <v>752</v>
      </c>
      <c r="M286" t="s">
        <v>88</v>
      </c>
      <c r="N286">
        <v>155.5</v>
      </c>
      <c r="O286">
        <v>14.22</v>
      </c>
      <c r="P286">
        <v>2.2799999999999998</v>
      </c>
      <c r="Q286">
        <v>4.2561999999999998</v>
      </c>
      <c r="R286">
        <v>0.68100000000000005</v>
      </c>
      <c r="S286" t="s">
        <v>397</v>
      </c>
      <c r="T286">
        <v>6</v>
      </c>
      <c r="U286" t="s">
        <v>89</v>
      </c>
      <c r="W286" t="s">
        <v>754</v>
      </c>
    </row>
    <row r="287" spans="1:23" outlineLevel="2" x14ac:dyDescent="0.25">
      <c r="A287" t="s">
        <v>82</v>
      </c>
      <c r="B287" t="s">
        <v>83</v>
      </c>
      <c r="C287">
        <v>30</v>
      </c>
      <c r="D287" t="s">
        <v>84</v>
      </c>
      <c r="E287">
        <v>184</v>
      </c>
      <c r="F287" t="s">
        <v>85</v>
      </c>
      <c r="G287">
        <v>8660</v>
      </c>
      <c r="H287" t="s">
        <v>35</v>
      </c>
      <c r="I287">
        <v>1000008660</v>
      </c>
      <c r="J287">
        <v>29446314</v>
      </c>
      <c r="K287" t="s">
        <v>1782</v>
      </c>
      <c r="L287" t="s">
        <v>752</v>
      </c>
      <c r="M287" t="s">
        <v>88</v>
      </c>
      <c r="N287">
        <v>96.5</v>
      </c>
      <c r="O287">
        <v>14.22</v>
      </c>
      <c r="P287">
        <v>2.2799999999999998</v>
      </c>
      <c r="Q287">
        <v>4.2561999999999998</v>
      </c>
      <c r="R287">
        <v>0.68100000000000005</v>
      </c>
      <c r="S287" t="s">
        <v>1384</v>
      </c>
      <c r="T287">
        <v>6</v>
      </c>
      <c r="U287" t="s">
        <v>89</v>
      </c>
      <c r="W287" t="s">
        <v>754</v>
      </c>
    </row>
    <row r="288" spans="1:23" outlineLevel="2" x14ac:dyDescent="0.25">
      <c r="A288" t="s">
        <v>82</v>
      </c>
      <c r="B288" t="s">
        <v>83</v>
      </c>
      <c r="C288">
        <v>30</v>
      </c>
      <c r="D288" t="s">
        <v>84</v>
      </c>
      <c r="E288">
        <v>184</v>
      </c>
      <c r="F288" t="s">
        <v>85</v>
      </c>
      <c r="G288">
        <v>8660</v>
      </c>
      <c r="H288" t="s">
        <v>35</v>
      </c>
      <c r="I288">
        <v>1000008660</v>
      </c>
      <c r="J288">
        <v>29461717</v>
      </c>
      <c r="K288" t="s">
        <v>1867</v>
      </c>
      <c r="L288" t="s">
        <v>752</v>
      </c>
      <c r="M288" t="s">
        <v>88</v>
      </c>
      <c r="N288">
        <v>100.5</v>
      </c>
      <c r="O288">
        <v>14.22</v>
      </c>
      <c r="P288">
        <v>2.2799999999999998</v>
      </c>
      <c r="Q288">
        <v>4.2561999999999998</v>
      </c>
      <c r="R288">
        <v>0.68100000000000005</v>
      </c>
      <c r="S288" t="s">
        <v>1134</v>
      </c>
      <c r="T288">
        <v>6</v>
      </c>
      <c r="U288" t="s">
        <v>89</v>
      </c>
      <c r="W288" t="s">
        <v>754</v>
      </c>
    </row>
    <row r="289" spans="1:23" outlineLevel="2" x14ac:dyDescent="0.25">
      <c r="A289" t="s">
        <v>82</v>
      </c>
      <c r="B289" t="s">
        <v>83</v>
      </c>
      <c r="C289">
        <v>30</v>
      </c>
      <c r="D289" t="s">
        <v>84</v>
      </c>
      <c r="E289">
        <v>184</v>
      </c>
      <c r="F289" t="s">
        <v>85</v>
      </c>
      <c r="G289">
        <v>8660</v>
      </c>
      <c r="H289" t="s">
        <v>35</v>
      </c>
      <c r="I289">
        <v>1000008660</v>
      </c>
      <c r="J289">
        <v>29467607</v>
      </c>
      <c r="K289" t="s">
        <v>1896</v>
      </c>
      <c r="L289" t="s">
        <v>752</v>
      </c>
      <c r="M289" t="s">
        <v>88</v>
      </c>
      <c r="N289">
        <v>45.5</v>
      </c>
      <c r="O289">
        <v>14.22</v>
      </c>
      <c r="P289">
        <v>2.2799999999999998</v>
      </c>
      <c r="Q289">
        <v>4.2561999999999998</v>
      </c>
      <c r="R289">
        <v>0.68100000000000005</v>
      </c>
      <c r="S289" t="s">
        <v>1136</v>
      </c>
      <c r="T289">
        <v>6</v>
      </c>
      <c r="U289" t="s">
        <v>89</v>
      </c>
      <c r="W289" t="s">
        <v>754</v>
      </c>
    </row>
    <row r="290" spans="1:23" outlineLevel="2" x14ac:dyDescent="0.25">
      <c r="A290" t="s">
        <v>82</v>
      </c>
      <c r="B290" t="s">
        <v>83</v>
      </c>
      <c r="C290">
        <v>30</v>
      </c>
      <c r="D290" t="s">
        <v>84</v>
      </c>
      <c r="E290">
        <v>184</v>
      </c>
      <c r="F290" t="s">
        <v>85</v>
      </c>
      <c r="G290">
        <v>8660</v>
      </c>
      <c r="H290" t="s">
        <v>35</v>
      </c>
      <c r="I290">
        <v>1000008660</v>
      </c>
      <c r="J290">
        <v>29469402</v>
      </c>
      <c r="K290" t="s">
        <v>1920</v>
      </c>
      <c r="L290" t="s">
        <v>752</v>
      </c>
      <c r="M290" t="s">
        <v>88</v>
      </c>
      <c r="N290">
        <v>140.5</v>
      </c>
      <c r="O290">
        <v>14.22</v>
      </c>
      <c r="P290">
        <v>2.2799999999999998</v>
      </c>
      <c r="Q290">
        <v>4.2561999999999998</v>
      </c>
      <c r="R290">
        <v>0.68100000000000005</v>
      </c>
      <c r="S290" t="s">
        <v>1138</v>
      </c>
      <c r="T290">
        <v>6</v>
      </c>
      <c r="U290" t="s">
        <v>89</v>
      </c>
      <c r="W290" t="s">
        <v>754</v>
      </c>
    </row>
    <row r="291" spans="1:23" outlineLevel="2" x14ac:dyDescent="0.25">
      <c r="A291" t="s">
        <v>82</v>
      </c>
      <c r="B291" t="s">
        <v>83</v>
      </c>
      <c r="C291">
        <v>30</v>
      </c>
      <c r="D291" t="s">
        <v>84</v>
      </c>
      <c r="E291">
        <v>184</v>
      </c>
      <c r="F291" t="s">
        <v>85</v>
      </c>
      <c r="G291">
        <v>8660</v>
      </c>
      <c r="H291" t="s">
        <v>35</v>
      </c>
      <c r="I291">
        <v>1000008660</v>
      </c>
      <c r="J291">
        <v>29469692</v>
      </c>
      <c r="K291" t="s">
        <v>1927</v>
      </c>
      <c r="L291" t="s">
        <v>753</v>
      </c>
      <c r="M291" t="s">
        <v>88</v>
      </c>
      <c r="N291">
        <v>384.5</v>
      </c>
      <c r="O291">
        <v>14.22</v>
      </c>
      <c r="P291">
        <v>2.2799999999999998</v>
      </c>
      <c r="Q291">
        <v>4.2561999999999998</v>
      </c>
      <c r="R291">
        <v>0.68100000000000005</v>
      </c>
      <c r="S291" t="s">
        <v>3028</v>
      </c>
      <c r="T291">
        <v>6</v>
      </c>
      <c r="U291" t="s">
        <v>89</v>
      </c>
      <c r="W291" t="s">
        <v>754</v>
      </c>
    </row>
    <row r="292" spans="1:23" outlineLevel="2" x14ac:dyDescent="0.25">
      <c r="A292" t="s">
        <v>82</v>
      </c>
      <c r="B292" t="s">
        <v>83</v>
      </c>
      <c r="C292">
        <v>30</v>
      </c>
      <c r="D292" t="s">
        <v>84</v>
      </c>
      <c r="E292">
        <v>184</v>
      </c>
      <c r="F292" t="s">
        <v>85</v>
      </c>
      <c r="G292">
        <v>8660</v>
      </c>
      <c r="H292" t="s">
        <v>35</v>
      </c>
      <c r="I292">
        <v>1000008660</v>
      </c>
      <c r="J292">
        <v>29470910</v>
      </c>
      <c r="K292" t="s">
        <v>1953</v>
      </c>
      <c r="L292" t="s">
        <v>752</v>
      </c>
      <c r="M292" t="s">
        <v>88</v>
      </c>
      <c r="N292">
        <v>560.5</v>
      </c>
      <c r="O292">
        <v>14.22</v>
      </c>
      <c r="P292">
        <v>2.2799999999999998</v>
      </c>
      <c r="Q292">
        <v>4.2561999999999998</v>
      </c>
      <c r="R292">
        <v>0.68100000000000005</v>
      </c>
      <c r="S292" t="s">
        <v>3030</v>
      </c>
      <c r="T292">
        <v>6</v>
      </c>
      <c r="U292" t="s">
        <v>89</v>
      </c>
      <c r="W292" t="s">
        <v>754</v>
      </c>
    </row>
    <row r="293" spans="1:23" outlineLevel="2" x14ac:dyDescent="0.25">
      <c r="A293" t="s">
        <v>82</v>
      </c>
      <c r="B293" t="s">
        <v>83</v>
      </c>
      <c r="C293">
        <v>30</v>
      </c>
      <c r="D293" t="s">
        <v>84</v>
      </c>
      <c r="E293">
        <v>184</v>
      </c>
      <c r="F293" t="s">
        <v>85</v>
      </c>
      <c r="G293">
        <v>8660</v>
      </c>
      <c r="H293" t="s">
        <v>35</v>
      </c>
      <c r="I293">
        <v>1000008660</v>
      </c>
      <c r="J293">
        <v>29472065</v>
      </c>
      <c r="K293" t="s">
        <v>1970</v>
      </c>
      <c r="L293" t="s">
        <v>752</v>
      </c>
      <c r="M293" t="s">
        <v>88</v>
      </c>
      <c r="N293">
        <v>80.5</v>
      </c>
      <c r="O293">
        <v>14.22</v>
      </c>
      <c r="P293">
        <v>2.2799999999999998</v>
      </c>
      <c r="Q293">
        <v>4.2561999999999998</v>
      </c>
      <c r="R293">
        <v>0.68100000000000005</v>
      </c>
      <c r="S293" t="s">
        <v>3032</v>
      </c>
      <c r="T293">
        <v>6</v>
      </c>
      <c r="U293" t="s">
        <v>89</v>
      </c>
      <c r="W293" t="s">
        <v>754</v>
      </c>
    </row>
    <row r="294" spans="1:23" outlineLevel="2" x14ac:dyDescent="0.25">
      <c r="A294" t="s">
        <v>82</v>
      </c>
      <c r="B294" t="s">
        <v>83</v>
      </c>
      <c r="C294">
        <v>30</v>
      </c>
      <c r="D294" t="s">
        <v>84</v>
      </c>
      <c r="E294">
        <v>184</v>
      </c>
      <c r="F294" t="s">
        <v>85</v>
      </c>
      <c r="G294">
        <v>8660</v>
      </c>
      <c r="H294" t="s">
        <v>35</v>
      </c>
      <c r="I294">
        <v>1000008660</v>
      </c>
      <c r="J294">
        <v>29472216</v>
      </c>
      <c r="K294" t="s">
        <v>1971</v>
      </c>
      <c r="L294" t="s">
        <v>752</v>
      </c>
      <c r="M294" t="s">
        <v>88</v>
      </c>
      <c r="N294">
        <v>44.5</v>
      </c>
      <c r="O294">
        <v>14.22</v>
      </c>
      <c r="P294">
        <v>2.2799999999999998</v>
      </c>
      <c r="Q294">
        <v>4.2561999999999998</v>
      </c>
      <c r="R294">
        <v>0.68100000000000005</v>
      </c>
      <c r="S294" t="s">
        <v>3034</v>
      </c>
      <c r="T294">
        <v>6</v>
      </c>
      <c r="U294" t="s">
        <v>89</v>
      </c>
      <c r="W294" t="s">
        <v>754</v>
      </c>
    </row>
    <row r="295" spans="1:23" outlineLevel="2" x14ac:dyDescent="0.25">
      <c r="A295" t="s">
        <v>82</v>
      </c>
      <c r="B295" t="s">
        <v>83</v>
      </c>
      <c r="C295">
        <v>30</v>
      </c>
      <c r="D295" t="s">
        <v>84</v>
      </c>
      <c r="E295">
        <v>184</v>
      </c>
      <c r="F295" t="s">
        <v>85</v>
      </c>
      <c r="G295">
        <v>8660</v>
      </c>
      <c r="H295" t="s">
        <v>35</v>
      </c>
      <c r="I295">
        <v>1000008660</v>
      </c>
      <c r="J295">
        <v>29472701</v>
      </c>
      <c r="K295" t="s">
        <v>1979</v>
      </c>
      <c r="L295" t="s">
        <v>752</v>
      </c>
      <c r="M295" t="s">
        <v>88</v>
      </c>
      <c r="N295">
        <v>75.5</v>
      </c>
      <c r="O295">
        <v>14.22</v>
      </c>
      <c r="P295">
        <v>2.2799999999999998</v>
      </c>
      <c r="Q295">
        <v>4.2561999999999998</v>
      </c>
      <c r="R295">
        <v>0.68100000000000005</v>
      </c>
      <c r="S295" t="s">
        <v>3036</v>
      </c>
      <c r="T295">
        <v>6</v>
      </c>
      <c r="U295" t="s">
        <v>89</v>
      </c>
      <c r="W295" t="s">
        <v>754</v>
      </c>
    </row>
    <row r="296" spans="1:23" outlineLevel="2" x14ac:dyDescent="0.25">
      <c r="A296" t="s">
        <v>82</v>
      </c>
      <c r="B296" t="s">
        <v>83</v>
      </c>
      <c r="C296">
        <v>30</v>
      </c>
      <c r="D296" t="s">
        <v>84</v>
      </c>
      <c r="E296">
        <v>184</v>
      </c>
      <c r="F296" t="s">
        <v>85</v>
      </c>
      <c r="G296">
        <v>8660</v>
      </c>
      <c r="H296" t="s">
        <v>35</v>
      </c>
      <c r="I296">
        <v>1000008660</v>
      </c>
      <c r="J296">
        <v>29472825</v>
      </c>
      <c r="K296" t="s">
        <v>1984</v>
      </c>
      <c r="L296" t="s">
        <v>752</v>
      </c>
      <c r="M296" t="s">
        <v>88</v>
      </c>
      <c r="N296">
        <v>373.5</v>
      </c>
      <c r="O296">
        <v>14.22</v>
      </c>
      <c r="P296">
        <v>2.2799999999999998</v>
      </c>
      <c r="Q296">
        <v>4.2561999999999998</v>
      </c>
      <c r="R296">
        <v>0.68100000000000005</v>
      </c>
      <c r="S296" t="s">
        <v>3038</v>
      </c>
      <c r="T296">
        <v>6</v>
      </c>
      <c r="U296" t="s">
        <v>89</v>
      </c>
      <c r="W296" t="s">
        <v>754</v>
      </c>
    </row>
    <row r="297" spans="1:23" outlineLevel="2" x14ac:dyDescent="0.25">
      <c r="A297" t="s">
        <v>82</v>
      </c>
      <c r="B297" t="s">
        <v>83</v>
      </c>
      <c r="C297">
        <v>30</v>
      </c>
      <c r="D297" t="s">
        <v>84</v>
      </c>
      <c r="E297">
        <v>184</v>
      </c>
      <c r="F297" t="s">
        <v>85</v>
      </c>
      <c r="G297">
        <v>8660</v>
      </c>
      <c r="H297" t="s">
        <v>35</v>
      </c>
      <c r="I297">
        <v>1000008660</v>
      </c>
      <c r="J297">
        <v>29473446</v>
      </c>
      <c r="K297" t="s">
        <v>2001</v>
      </c>
      <c r="L297" t="s">
        <v>752</v>
      </c>
      <c r="M297" t="s">
        <v>88</v>
      </c>
      <c r="N297">
        <v>87.5</v>
      </c>
      <c r="O297">
        <v>14.22</v>
      </c>
      <c r="P297">
        <v>2.2799999999999998</v>
      </c>
      <c r="Q297">
        <v>4.2561999999999998</v>
      </c>
      <c r="R297">
        <v>0.68100000000000005</v>
      </c>
      <c r="S297" t="s">
        <v>3040</v>
      </c>
      <c r="T297">
        <v>6</v>
      </c>
      <c r="U297" t="s">
        <v>89</v>
      </c>
      <c r="W297" t="s">
        <v>754</v>
      </c>
    </row>
    <row r="298" spans="1:23" outlineLevel="2" x14ac:dyDescent="0.25">
      <c r="A298" t="s">
        <v>82</v>
      </c>
      <c r="B298" t="s">
        <v>83</v>
      </c>
      <c r="C298">
        <v>30</v>
      </c>
      <c r="D298" t="s">
        <v>84</v>
      </c>
      <c r="E298">
        <v>184</v>
      </c>
      <c r="F298" t="s">
        <v>85</v>
      </c>
      <c r="G298">
        <v>8660</v>
      </c>
      <c r="H298" t="s">
        <v>35</v>
      </c>
      <c r="I298">
        <v>1000008660</v>
      </c>
      <c r="J298">
        <v>29476476</v>
      </c>
      <c r="K298" t="s">
        <v>2048</v>
      </c>
      <c r="L298" t="s">
        <v>752</v>
      </c>
      <c r="M298" t="s">
        <v>88</v>
      </c>
      <c r="N298">
        <v>174.5</v>
      </c>
      <c r="O298">
        <v>14.22</v>
      </c>
      <c r="P298">
        <v>2.2799999999999998</v>
      </c>
      <c r="Q298">
        <v>4.2561999999999998</v>
      </c>
      <c r="R298">
        <v>0.68100000000000005</v>
      </c>
      <c r="S298" t="s">
        <v>3042</v>
      </c>
      <c r="T298">
        <v>6</v>
      </c>
      <c r="U298" t="s">
        <v>89</v>
      </c>
      <c r="W298" t="s">
        <v>754</v>
      </c>
    </row>
    <row r="299" spans="1:23" outlineLevel="2" x14ac:dyDescent="0.25">
      <c r="A299" t="s">
        <v>82</v>
      </c>
      <c r="B299" t="s">
        <v>83</v>
      </c>
      <c r="C299">
        <v>30</v>
      </c>
      <c r="D299" t="s">
        <v>84</v>
      </c>
      <c r="E299">
        <v>184</v>
      </c>
      <c r="F299" t="s">
        <v>85</v>
      </c>
      <c r="G299">
        <v>8660</v>
      </c>
      <c r="H299" t="s">
        <v>35</v>
      </c>
      <c r="I299">
        <v>1000008660</v>
      </c>
      <c r="J299">
        <v>29476673</v>
      </c>
      <c r="K299" t="s">
        <v>2052</v>
      </c>
      <c r="L299" t="s">
        <v>752</v>
      </c>
      <c r="M299" t="s">
        <v>88</v>
      </c>
      <c r="N299">
        <v>67.5</v>
      </c>
      <c r="O299">
        <v>14.22</v>
      </c>
      <c r="P299">
        <v>2.2799999999999998</v>
      </c>
      <c r="Q299">
        <v>4.2561999999999998</v>
      </c>
      <c r="R299">
        <v>0.68100000000000005</v>
      </c>
      <c r="S299" t="s">
        <v>3044</v>
      </c>
      <c r="T299">
        <v>6</v>
      </c>
      <c r="U299" t="s">
        <v>89</v>
      </c>
      <c r="W299" t="s">
        <v>754</v>
      </c>
    </row>
    <row r="300" spans="1:23" outlineLevel="2" x14ac:dyDescent="0.25">
      <c r="A300" t="s">
        <v>82</v>
      </c>
      <c r="B300" t="s">
        <v>83</v>
      </c>
      <c r="C300">
        <v>30</v>
      </c>
      <c r="D300" t="s">
        <v>84</v>
      </c>
      <c r="E300">
        <v>184</v>
      </c>
      <c r="F300" t="s">
        <v>85</v>
      </c>
      <c r="G300">
        <v>8660</v>
      </c>
      <c r="H300" t="s">
        <v>35</v>
      </c>
      <c r="I300">
        <v>1000008660</v>
      </c>
      <c r="J300">
        <v>29480602</v>
      </c>
      <c r="K300" t="s">
        <v>2099</v>
      </c>
      <c r="L300" t="s">
        <v>753</v>
      </c>
      <c r="M300" t="s">
        <v>88</v>
      </c>
      <c r="N300">
        <v>2828.5</v>
      </c>
      <c r="O300">
        <v>14.22</v>
      </c>
      <c r="P300">
        <v>2.2799999999999998</v>
      </c>
      <c r="Q300">
        <v>4.2561999999999998</v>
      </c>
      <c r="R300">
        <v>0.68100000000000005</v>
      </c>
      <c r="S300" t="s">
        <v>3046</v>
      </c>
      <c r="T300">
        <v>6</v>
      </c>
      <c r="U300" t="s">
        <v>89</v>
      </c>
      <c r="W300" t="s">
        <v>754</v>
      </c>
    </row>
    <row r="301" spans="1:23" outlineLevel="2" x14ac:dyDescent="0.25">
      <c r="A301" t="s">
        <v>82</v>
      </c>
      <c r="B301" t="s">
        <v>83</v>
      </c>
      <c r="C301">
        <v>30</v>
      </c>
      <c r="D301" t="s">
        <v>84</v>
      </c>
      <c r="E301">
        <v>184</v>
      </c>
      <c r="F301" t="s">
        <v>85</v>
      </c>
      <c r="G301">
        <v>8660</v>
      </c>
      <c r="H301" t="s">
        <v>35</v>
      </c>
      <c r="I301">
        <v>1000008660</v>
      </c>
      <c r="J301">
        <v>29483310</v>
      </c>
      <c r="K301" t="s">
        <v>2133</v>
      </c>
      <c r="L301" t="s">
        <v>752</v>
      </c>
      <c r="M301" t="s">
        <v>88</v>
      </c>
      <c r="N301">
        <v>44.5</v>
      </c>
      <c r="O301">
        <v>14.22</v>
      </c>
      <c r="P301">
        <v>2.2799999999999998</v>
      </c>
      <c r="Q301">
        <v>4.2561999999999998</v>
      </c>
      <c r="R301">
        <v>0.68100000000000005</v>
      </c>
      <c r="S301" t="s">
        <v>3048</v>
      </c>
      <c r="T301">
        <v>6</v>
      </c>
      <c r="U301" t="s">
        <v>89</v>
      </c>
      <c r="W301" t="s">
        <v>754</v>
      </c>
    </row>
    <row r="302" spans="1:23" outlineLevel="2" x14ac:dyDescent="0.25">
      <c r="A302" t="s">
        <v>82</v>
      </c>
      <c r="B302" t="s">
        <v>83</v>
      </c>
      <c r="C302">
        <v>30</v>
      </c>
      <c r="D302" t="s">
        <v>84</v>
      </c>
      <c r="E302">
        <v>184</v>
      </c>
      <c r="F302" t="s">
        <v>85</v>
      </c>
      <c r="G302">
        <v>8660</v>
      </c>
      <c r="H302" t="s">
        <v>35</v>
      </c>
      <c r="I302">
        <v>1000008660</v>
      </c>
      <c r="J302">
        <v>29485919</v>
      </c>
      <c r="K302" t="s">
        <v>2146</v>
      </c>
      <c r="L302" t="s">
        <v>752</v>
      </c>
      <c r="M302" t="s">
        <v>88</v>
      </c>
      <c r="N302">
        <v>227.5</v>
      </c>
      <c r="O302">
        <v>14.22</v>
      </c>
      <c r="P302">
        <v>2.2799999999999998</v>
      </c>
      <c r="Q302">
        <v>4.2561999999999998</v>
      </c>
      <c r="R302">
        <v>0.68100000000000005</v>
      </c>
      <c r="S302" t="s">
        <v>3050</v>
      </c>
      <c r="T302">
        <v>6</v>
      </c>
      <c r="U302" t="s">
        <v>89</v>
      </c>
      <c r="W302" t="s">
        <v>754</v>
      </c>
    </row>
    <row r="303" spans="1:23" outlineLevel="2" x14ac:dyDescent="0.25">
      <c r="A303" s="8" t="s">
        <v>82</v>
      </c>
      <c r="B303" s="8" t="s">
        <v>83</v>
      </c>
      <c r="C303" s="8">
        <v>30</v>
      </c>
      <c r="D303" s="8" t="s">
        <v>84</v>
      </c>
      <c r="E303" s="8">
        <v>184</v>
      </c>
      <c r="F303" s="8" t="s">
        <v>85</v>
      </c>
      <c r="G303" s="8">
        <v>8660</v>
      </c>
      <c r="H303" s="8" t="s">
        <v>35</v>
      </c>
      <c r="I303" s="8">
        <v>1000008660</v>
      </c>
      <c r="J303" s="8">
        <v>29487754</v>
      </c>
      <c r="K303" s="8" t="s">
        <v>2157</v>
      </c>
      <c r="L303" s="8" t="s">
        <v>752</v>
      </c>
      <c r="M303" s="8" t="s">
        <v>88</v>
      </c>
      <c r="N303" s="8">
        <v>68.5</v>
      </c>
      <c r="O303" s="8">
        <v>14.22</v>
      </c>
      <c r="P303" s="8">
        <v>2.2799999999999998</v>
      </c>
      <c r="Q303" s="8">
        <v>4.2561999999999998</v>
      </c>
      <c r="R303" s="8">
        <v>0.68100000000000005</v>
      </c>
      <c r="S303" s="8" t="s">
        <v>3503</v>
      </c>
      <c r="T303" s="8">
        <v>6</v>
      </c>
      <c r="U303" s="8" t="s">
        <v>89</v>
      </c>
      <c r="V303" s="8"/>
      <c r="W303" t="s">
        <v>754</v>
      </c>
    </row>
    <row r="304" spans="1:23" outlineLevel="2" x14ac:dyDescent="0.25">
      <c r="A304" t="s">
        <v>82</v>
      </c>
      <c r="B304" t="s">
        <v>83</v>
      </c>
      <c r="C304">
        <v>30</v>
      </c>
      <c r="D304" t="s">
        <v>84</v>
      </c>
      <c r="E304">
        <v>184</v>
      </c>
      <c r="F304" t="s">
        <v>85</v>
      </c>
      <c r="G304">
        <v>8660</v>
      </c>
      <c r="H304" t="s">
        <v>35</v>
      </c>
      <c r="I304">
        <v>1000008660</v>
      </c>
      <c r="J304">
        <v>29492138</v>
      </c>
      <c r="K304" t="s">
        <v>2193</v>
      </c>
      <c r="L304" t="s">
        <v>752</v>
      </c>
      <c r="M304" t="s">
        <v>88</v>
      </c>
      <c r="N304">
        <v>183.5</v>
      </c>
      <c r="O304">
        <v>14.22</v>
      </c>
      <c r="P304">
        <v>2.2799999999999998</v>
      </c>
      <c r="Q304">
        <v>4.2561999999999998</v>
      </c>
      <c r="R304">
        <v>0.68100000000000005</v>
      </c>
      <c r="S304" t="s">
        <v>3052</v>
      </c>
      <c r="T304">
        <v>6</v>
      </c>
      <c r="U304" t="s">
        <v>89</v>
      </c>
      <c r="W304" t="s">
        <v>754</v>
      </c>
    </row>
    <row r="305" spans="1:23" outlineLevel="2" x14ac:dyDescent="0.25">
      <c r="A305" t="s">
        <v>82</v>
      </c>
      <c r="B305" t="s">
        <v>83</v>
      </c>
      <c r="C305">
        <v>30</v>
      </c>
      <c r="D305" t="s">
        <v>84</v>
      </c>
      <c r="E305">
        <v>184</v>
      </c>
      <c r="F305" t="s">
        <v>85</v>
      </c>
      <c r="G305">
        <v>8660</v>
      </c>
      <c r="H305" t="s">
        <v>35</v>
      </c>
      <c r="I305">
        <v>1000008660</v>
      </c>
      <c r="J305">
        <v>29492731</v>
      </c>
      <c r="K305" t="s">
        <v>2198</v>
      </c>
      <c r="L305" t="s">
        <v>752</v>
      </c>
      <c r="M305" t="s">
        <v>88</v>
      </c>
      <c r="N305">
        <v>100.5</v>
      </c>
      <c r="O305">
        <v>14.22</v>
      </c>
      <c r="P305">
        <v>2.2799999999999998</v>
      </c>
      <c r="Q305">
        <v>4.2561999999999998</v>
      </c>
      <c r="R305">
        <v>0.68100000000000005</v>
      </c>
      <c r="S305" t="s">
        <v>3054</v>
      </c>
      <c r="T305">
        <v>6</v>
      </c>
      <c r="U305" t="s">
        <v>89</v>
      </c>
      <c r="W305" t="s">
        <v>754</v>
      </c>
    </row>
    <row r="306" spans="1:23" outlineLevel="2" x14ac:dyDescent="0.25">
      <c r="A306" t="s">
        <v>82</v>
      </c>
      <c r="B306" t="s">
        <v>83</v>
      </c>
      <c r="C306">
        <v>30</v>
      </c>
      <c r="D306" t="s">
        <v>84</v>
      </c>
      <c r="E306">
        <v>184</v>
      </c>
      <c r="F306" t="s">
        <v>85</v>
      </c>
      <c r="G306">
        <v>8660</v>
      </c>
      <c r="H306" t="s">
        <v>35</v>
      </c>
      <c r="I306">
        <v>1000008660</v>
      </c>
      <c r="J306">
        <v>29497255</v>
      </c>
      <c r="K306" t="s">
        <v>2235</v>
      </c>
      <c r="L306" t="s">
        <v>753</v>
      </c>
      <c r="M306" t="s">
        <v>88</v>
      </c>
      <c r="N306">
        <v>243.5</v>
      </c>
      <c r="O306">
        <v>14.22</v>
      </c>
      <c r="P306">
        <v>2.2799999999999998</v>
      </c>
      <c r="Q306">
        <v>4.2561999999999998</v>
      </c>
      <c r="R306">
        <v>0.68100000000000005</v>
      </c>
      <c r="S306" t="s">
        <v>3056</v>
      </c>
      <c r="T306">
        <v>6</v>
      </c>
      <c r="U306" t="s">
        <v>89</v>
      </c>
      <c r="W306" t="s">
        <v>754</v>
      </c>
    </row>
    <row r="307" spans="1:23" outlineLevel="2" x14ac:dyDescent="0.25">
      <c r="A307" t="s">
        <v>82</v>
      </c>
      <c r="B307" t="s">
        <v>83</v>
      </c>
      <c r="C307">
        <v>30</v>
      </c>
      <c r="D307" t="s">
        <v>84</v>
      </c>
      <c r="E307">
        <v>184</v>
      </c>
      <c r="F307" t="s">
        <v>85</v>
      </c>
      <c r="G307">
        <v>8660</v>
      </c>
      <c r="H307" t="s">
        <v>35</v>
      </c>
      <c r="I307">
        <v>1000008660</v>
      </c>
      <c r="J307">
        <v>29513233</v>
      </c>
      <c r="K307" t="s">
        <v>2316</v>
      </c>
      <c r="L307" t="s">
        <v>752</v>
      </c>
      <c r="M307" t="s">
        <v>88</v>
      </c>
      <c r="N307">
        <v>63.5</v>
      </c>
      <c r="O307">
        <v>14.22</v>
      </c>
      <c r="P307">
        <v>2.2799999999999998</v>
      </c>
      <c r="Q307">
        <v>4.2561999999999998</v>
      </c>
      <c r="R307">
        <v>0.68100000000000005</v>
      </c>
      <c r="S307" t="s">
        <v>3058</v>
      </c>
      <c r="T307">
        <v>6</v>
      </c>
      <c r="U307" t="s">
        <v>89</v>
      </c>
      <c r="W307" t="s">
        <v>754</v>
      </c>
    </row>
    <row r="308" spans="1:23" outlineLevel="2" x14ac:dyDescent="0.25">
      <c r="A308" t="s">
        <v>82</v>
      </c>
      <c r="B308" t="s">
        <v>83</v>
      </c>
      <c r="C308">
        <v>30</v>
      </c>
      <c r="D308" t="s">
        <v>84</v>
      </c>
      <c r="E308">
        <v>184</v>
      </c>
      <c r="F308" t="s">
        <v>85</v>
      </c>
      <c r="G308">
        <v>8661</v>
      </c>
      <c r="H308" t="s">
        <v>39</v>
      </c>
      <c r="I308">
        <v>1000008661</v>
      </c>
      <c r="J308">
        <v>29427031</v>
      </c>
      <c r="K308" t="s">
        <v>1645</v>
      </c>
      <c r="L308" t="s">
        <v>752</v>
      </c>
      <c r="M308" t="s">
        <v>88</v>
      </c>
      <c r="N308">
        <v>58.5</v>
      </c>
      <c r="O308">
        <v>14.22</v>
      </c>
      <c r="P308">
        <v>2.2799999999999998</v>
      </c>
      <c r="Q308">
        <v>4.2561999999999998</v>
      </c>
      <c r="R308">
        <v>0.68100000000000005</v>
      </c>
      <c r="S308" t="s">
        <v>1567</v>
      </c>
      <c r="T308">
        <v>6</v>
      </c>
      <c r="U308" t="s">
        <v>89</v>
      </c>
      <c r="W308" t="s">
        <v>754</v>
      </c>
    </row>
    <row r="309" spans="1:23" outlineLevel="2" x14ac:dyDescent="0.25">
      <c r="A309" t="s">
        <v>82</v>
      </c>
      <c r="B309" t="s">
        <v>83</v>
      </c>
      <c r="C309">
        <v>30</v>
      </c>
      <c r="D309" t="s">
        <v>84</v>
      </c>
      <c r="E309">
        <v>184</v>
      </c>
      <c r="F309" t="s">
        <v>85</v>
      </c>
      <c r="G309">
        <v>8661</v>
      </c>
      <c r="H309" t="s">
        <v>39</v>
      </c>
      <c r="I309">
        <v>1000008661</v>
      </c>
      <c r="J309">
        <v>29432466</v>
      </c>
      <c r="K309" t="s">
        <v>1689</v>
      </c>
      <c r="L309" t="s">
        <v>752</v>
      </c>
      <c r="M309" t="s">
        <v>88</v>
      </c>
      <c r="N309">
        <v>108.5</v>
      </c>
      <c r="O309">
        <v>14.22</v>
      </c>
      <c r="P309">
        <v>2.2799999999999998</v>
      </c>
      <c r="Q309">
        <v>4.2561999999999998</v>
      </c>
      <c r="R309">
        <v>0.68100000000000005</v>
      </c>
      <c r="S309" t="s">
        <v>413</v>
      </c>
      <c r="T309">
        <v>6</v>
      </c>
      <c r="U309" t="s">
        <v>89</v>
      </c>
      <c r="W309" t="s">
        <v>754</v>
      </c>
    </row>
    <row r="310" spans="1:23" outlineLevel="2" x14ac:dyDescent="0.25">
      <c r="A310" t="s">
        <v>82</v>
      </c>
      <c r="B310" t="s">
        <v>83</v>
      </c>
      <c r="C310">
        <v>30</v>
      </c>
      <c r="D310" t="s">
        <v>84</v>
      </c>
      <c r="E310">
        <v>184</v>
      </c>
      <c r="F310" t="s">
        <v>85</v>
      </c>
      <c r="G310">
        <v>8661</v>
      </c>
      <c r="H310" t="s">
        <v>39</v>
      </c>
      <c r="I310">
        <v>1000008661</v>
      </c>
      <c r="J310">
        <v>29437656</v>
      </c>
      <c r="K310" t="s">
        <v>1720</v>
      </c>
      <c r="L310" t="s">
        <v>752</v>
      </c>
      <c r="M310" t="s">
        <v>88</v>
      </c>
      <c r="N310">
        <v>47.5</v>
      </c>
      <c r="O310">
        <v>14.22</v>
      </c>
      <c r="P310">
        <v>2.2799999999999998</v>
      </c>
      <c r="Q310">
        <v>4.2561999999999998</v>
      </c>
      <c r="R310">
        <v>0.68100000000000005</v>
      </c>
      <c r="S310" t="s">
        <v>784</v>
      </c>
      <c r="T310">
        <v>6</v>
      </c>
      <c r="U310" t="s">
        <v>89</v>
      </c>
      <c r="W310" t="s">
        <v>754</v>
      </c>
    </row>
    <row r="311" spans="1:23" outlineLevel="2" x14ac:dyDescent="0.25">
      <c r="A311" t="s">
        <v>82</v>
      </c>
      <c r="B311" t="s">
        <v>83</v>
      </c>
      <c r="C311">
        <v>30</v>
      </c>
      <c r="D311" t="s">
        <v>84</v>
      </c>
      <c r="E311">
        <v>184</v>
      </c>
      <c r="F311" t="s">
        <v>85</v>
      </c>
      <c r="G311">
        <v>8661</v>
      </c>
      <c r="H311" t="s">
        <v>39</v>
      </c>
      <c r="I311">
        <v>1000008661</v>
      </c>
      <c r="J311">
        <v>29444051</v>
      </c>
      <c r="K311" t="s">
        <v>1761</v>
      </c>
      <c r="L311" t="s">
        <v>753</v>
      </c>
      <c r="M311" t="s">
        <v>88</v>
      </c>
      <c r="N311">
        <v>44.5</v>
      </c>
      <c r="O311">
        <v>14.22</v>
      </c>
      <c r="P311">
        <v>2.2799999999999998</v>
      </c>
      <c r="Q311">
        <v>4.2561999999999998</v>
      </c>
      <c r="R311">
        <v>0.68100000000000005</v>
      </c>
      <c r="S311" t="s">
        <v>1386</v>
      </c>
      <c r="T311">
        <v>6</v>
      </c>
      <c r="U311" t="s">
        <v>89</v>
      </c>
      <c r="W311" t="s">
        <v>754</v>
      </c>
    </row>
    <row r="312" spans="1:23" outlineLevel="2" x14ac:dyDescent="0.25">
      <c r="A312" t="s">
        <v>82</v>
      </c>
      <c r="B312" t="s">
        <v>83</v>
      </c>
      <c r="C312">
        <v>30</v>
      </c>
      <c r="D312" t="s">
        <v>84</v>
      </c>
      <c r="E312">
        <v>184</v>
      </c>
      <c r="F312" t="s">
        <v>85</v>
      </c>
      <c r="G312">
        <v>8661</v>
      </c>
      <c r="H312" t="s">
        <v>39</v>
      </c>
      <c r="I312">
        <v>1000008661</v>
      </c>
      <c r="J312">
        <v>29449522</v>
      </c>
      <c r="K312" t="s">
        <v>1797</v>
      </c>
      <c r="L312" t="s">
        <v>752</v>
      </c>
      <c r="M312" t="s">
        <v>88</v>
      </c>
      <c r="N312">
        <v>355.5</v>
      </c>
      <c r="O312">
        <v>14.22</v>
      </c>
      <c r="P312">
        <v>2.2799999999999998</v>
      </c>
      <c r="Q312">
        <v>4.2561999999999998</v>
      </c>
      <c r="R312">
        <v>0.68100000000000005</v>
      </c>
      <c r="S312" t="s">
        <v>670</v>
      </c>
      <c r="T312">
        <v>6</v>
      </c>
      <c r="U312" t="s">
        <v>89</v>
      </c>
      <c r="W312" t="s">
        <v>754</v>
      </c>
    </row>
    <row r="313" spans="1:23" outlineLevel="2" x14ac:dyDescent="0.25">
      <c r="A313" t="s">
        <v>82</v>
      </c>
      <c r="B313" t="s">
        <v>83</v>
      </c>
      <c r="C313">
        <v>30</v>
      </c>
      <c r="D313" t="s">
        <v>84</v>
      </c>
      <c r="E313">
        <v>184</v>
      </c>
      <c r="F313" t="s">
        <v>85</v>
      </c>
      <c r="G313">
        <v>8661</v>
      </c>
      <c r="H313" t="s">
        <v>39</v>
      </c>
      <c r="I313">
        <v>1000008661</v>
      </c>
      <c r="J313">
        <v>29451913</v>
      </c>
      <c r="K313" t="s">
        <v>1821</v>
      </c>
      <c r="L313" t="s">
        <v>752</v>
      </c>
      <c r="M313" t="s">
        <v>88</v>
      </c>
      <c r="N313">
        <v>694.5</v>
      </c>
      <c r="O313">
        <v>14.22</v>
      </c>
      <c r="P313">
        <v>2.2799999999999998</v>
      </c>
      <c r="Q313">
        <v>4.2561999999999998</v>
      </c>
      <c r="R313">
        <v>0.68100000000000005</v>
      </c>
      <c r="S313" t="s">
        <v>1140</v>
      </c>
      <c r="T313">
        <v>6</v>
      </c>
      <c r="U313" t="s">
        <v>89</v>
      </c>
      <c r="W313" t="s">
        <v>754</v>
      </c>
    </row>
    <row r="314" spans="1:23" outlineLevel="2" x14ac:dyDescent="0.25">
      <c r="A314" t="s">
        <v>82</v>
      </c>
      <c r="B314" t="s">
        <v>83</v>
      </c>
      <c r="C314">
        <v>30</v>
      </c>
      <c r="D314" t="s">
        <v>84</v>
      </c>
      <c r="E314">
        <v>184</v>
      </c>
      <c r="F314" t="s">
        <v>85</v>
      </c>
      <c r="G314">
        <v>8661</v>
      </c>
      <c r="H314" t="s">
        <v>39</v>
      </c>
      <c r="I314">
        <v>1000008661</v>
      </c>
      <c r="J314">
        <v>29454593</v>
      </c>
      <c r="K314" t="s">
        <v>1830</v>
      </c>
      <c r="L314" t="s">
        <v>752</v>
      </c>
      <c r="M314" t="s">
        <v>88</v>
      </c>
      <c r="N314">
        <v>198.5</v>
      </c>
      <c r="O314">
        <v>14.22</v>
      </c>
      <c r="P314">
        <v>2.2799999999999998</v>
      </c>
      <c r="Q314">
        <v>4.2561999999999998</v>
      </c>
      <c r="R314">
        <v>0.68100000000000005</v>
      </c>
      <c r="S314" t="s">
        <v>1142</v>
      </c>
      <c r="T314">
        <v>6</v>
      </c>
      <c r="U314" t="s">
        <v>89</v>
      </c>
      <c r="W314" t="s">
        <v>754</v>
      </c>
    </row>
    <row r="315" spans="1:23" outlineLevel="2" x14ac:dyDescent="0.25">
      <c r="A315" t="s">
        <v>82</v>
      </c>
      <c r="B315" t="s">
        <v>83</v>
      </c>
      <c r="C315">
        <v>30</v>
      </c>
      <c r="D315" t="s">
        <v>84</v>
      </c>
      <c r="E315">
        <v>184</v>
      </c>
      <c r="F315" t="s">
        <v>85</v>
      </c>
      <c r="G315">
        <v>8661</v>
      </c>
      <c r="H315" t="s">
        <v>39</v>
      </c>
      <c r="I315">
        <v>1000008661</v>
      </c>
      <c r="J315">
        <v>29457250</v>
      </c>
      <c r="K315" t="s">
        <v>1838</v>
      </c>
      <c r="L315" t="s">
        <v>752</v>
      </c>
      <c r="M315" t="s">
        <v>88</v>
      </c>
      <c r="N315">
        <v>87.5</v>
      </c>
      <c r="O315">
        <v>14.22</v>
      </c>
      <c r="P315">
        <v>2.2799999999999998</v>
      </c>
      <c r="Q315">
        <v>4.2561999999999998</v>
      </c>
      <c r="R315">
        <v>0.68100000000000005</v>
      </c>
      <c r="S315" t="s">
        <v>1144</v>
      </c>
      <c r="T315">
        <v>6</v>
      </c>
      <c r="U315" t="s">
        <v>89</v>
      </c>
      <c r="W315" t="s">
        <v>754</v>
      </c>
    </row>
    <row r="316" spans="1:23" outlineLevel="2" x14ac:dyDescent="0.25">
      <c r="A316" t="s">
        <v>82</v>
      </c>
      <c r="B316" t="s">
        <v>83</v>
      </c>
      <c r="C316">
        <v>30</v>
      </c>
      <c r="D316" t="s">
        <v>84</v>
      </c>
      <c r="E316">
        <v>184</v>
      </c>
      <c r="F316" t="s">
        <v>85</v>
      </c>
      <c r="G316">
        <v>8661</v>
      </c>
      <c r="H316" t="s">
        <v>39</v>
      </c>
      <c r="I316">
        <v>1000008661</v>
      </c>
      <c r="J316">
        <v>29464491</v>
      </c>
      <c r="K316" t="s">
        <v>1882</v>
      </c>
      <c r="L316" t="s">
        <v>752</v>
      </c>
      <c r="M316" t="s">
        <v>88</v>
      </c>
      <c r="N316">
        <v>132.5</v>
      </c>
      <c r="O316">
        <v>14.22</v>
      </c>
      <c r="P316">
        <v>2.2799999999999998</v>
      </c>
      <c r="Q316">
        <v>4.2561999999999998</v>
      </c>
      <c r="R316">
        <v>0.68100000000000005</v>
      </c>
      <c r="S316" t="s">
        <v>1146</v>
      </c>
      <c r="T316">
        <v>6</v>
      </c>
      <c r="U316" t="s">
        <v>89</v>
      </c>
      <c r="W316" t="s">
        <v>754</v>
      </c>
    </row>
    <row r="317" spans="1:23" outlineLevel="2" x14ac:dyDescent="0.25">
      <c r="A317" t="s">
        <v>82</v>
      </c>
      <c r="B317" t="s">
        <v>83</v>
      </c>
      <c r="C317">
        <v>30</v>
      </c>
      <c r="D317" t="s">
        <v>84</v>
      </c>
      <c r="E317">
        <v>184</v>
      </c>
      <c r="F317" t="s">
        <v>85</v>
      </c>
      <c r="G317">
        <v>8661</v>
      </c>
      <c r="H317" t="s">
        <v>39</v>
      </c>
      <c r="I317">
        <v>1000008661</v>
      </c>
      <c r="J317">
        <v>29464771</v>
      </c>
      <c r="K317" t="s">
        <v>1884</v>
      </c>
      <c r="L317" t="s">
        <v>752</v>
      </c>
      <c r="M317" t="s">
        <v>88</v>
      </c>
      <c r="N317">
        <v>93.5</v>
      </c>
      <c r="O317">
        <v>14.22</v>
      </c>
      <c r="P317">
        <v>2.2799999999999998</v>
      </c>
      <c r="Q317">
        <v>4.2561999999999998</v>
      </c>
      <c r="R317">
        <v>0.68100000000000005</v>
      </c>
      <c r="S317" t="s">
        <v>1148</v>
      </c>
      <c r="T317">
        <v>6</v>
      </c>
      <c r="U317" t="s">
        <v>89</v>
      </c>
      <c r="W317" t="s">
        <v>754</v>
      </c>
    </row>
    <row r="318" spans="1:23" outlineLevel="2" x14ac:dyDescent="0.25">
      <c r="A318" t="s">
        <v>82</v>
      </c>
      <c r="B318" t="s">
        <v>83</v>
      </c>
      <c r="C318">
        <v>30</v>
      </c>
      <c r="D318" t="s">
        <v>84</v>
      </c>
      <c r="E318">
        <v>184</v>
      </c>
      <c r="F318" t="s">
        <v>85</v>
      </c>
      <c r="G318">
        <v>8661</v>
      </c>
      <c r="H318" t="s">
        <v>39</v>
      </c>
      <c r="I318">
        <v>1000008661</v>
      </c>
      <c r="J318">
        <v>29469313</v>
      </c>
      <c r="K318" t="s">
        <v>1916</v>
      </c>
      <c r="L318" t="s">
        <v>752</v>
      </c>
      <c r="M318" t="s">
        <v>88</v>
      </c>
      <c r="N318">
        <v>132.5</v>
      </c>
      <c r="O318">
        <v>14.22</v>
      </c>
      <c r="P318">
        <v>2.2799999999999998</v>
      </c>
      <c r="Q318">
        <v>4.2561999999999998</v>
      </c>
      <c r="R318">
        <v>0.68100000000000005</v>
      </c>
      <c r="S318" t="s">
        <v>1150</v>
      </c>
      <c r="T318">
        <v>6</v>
      </c>
      <c r="U318" t="s">
        <v>89</v>
      </c>
      <c r="W318" t="s">
        <v>754</v>
      </c>
    </row>
    <row r="319" spans="1:23" outlineLevel="2" x14ac:dyDescent="0.25">
      <c r="A319" t="s">
        <v>82</v>
      </c>
      <c r="B319" t="s">
        <v>83</v>
      </c>
      <c r="C319">
        <v>30</v>
      </c>
      <c r="D319" t="s">
        <v>84</v>
      </c>
      <c r="E319">
        <v>184</v>
      </c>
      <c r="F319" t="s">
        <v>85</v>
      </c>
      <c r="G319">
        <v>8661</v>
      </c>
      <c r="H319" t="s">
        <v>39</v>
      </c>
      <c r="I319">
        <v>1000008661</v>
      </c>
      <c r="J319">
        <v>29469871</v>
      </c>
      <c r="K319" t="s">
        <v>1930</v>
      </c>
      <c r="L319" t="s">
        <v>752</v>
      </c>
      <c r="M319" t="s">
        <v>88</v>
      </c>
      <c r="N319">
        <v>198.5</v>
      </c>
      <c r="O319">
        <v>14.22</v>
      </c>
      <c r="P319">
        <v>2.2799999999999998</v>
      </c>
      <c r="Q319">
        <v>4.2561999999999998</v>
      </c>
      <c r="R319">
        <v>0.68100000000000005</v>
      </c>
      <c r="S319" t="s">
        <v>3060</v>
      </c>
      <c r="T319">
        <v>6</v>
      </c>
      <c r="U319" t="s">
        <v>89</v>
      </c>
      <c r="W319" t="s">
        <v>754</v>
      </c>
    </row>
    <row r="320" spans="1:23" outlineLevel="2" x14ac:dyDescent="0.25">
      <c r="A320" t="s">
        <v>82</v>
      </c>
      <c r="B320" t="s">
        <v>83</v>
      </c>
      <c r="C320">
        <v>30</v>
      </c>
      <c r="D320" t="s">
        <v>84</v>
      </c>
      <c r="E320">
        <v>184</v>
      </c>
      <c r="F320" t="s">
        <v>85</v>
      </c>
      <c r="G320">
        <v>8661</v>
      </c>
      <c r="H320" t="s">
        <v>39</v>
      </c>
      <c r="I320">
        <v>1000008661</v>
      </c>
      <c r="J320">
        <v>29470599</v>
      </c>
      <c r="K320" t="s">
        <v>1946</v>
      </c>
      <c r="L320" t="s">
        <v>752</v>
      </c>
      <c r="M320" t="s">
        <v>88</v>
      </c>
      <c r="N320">
        <v>355.5</v>
      </c>
      <c r="O320">
        <v>14.22</v>
      </c>
      <c r="P320">
        <v>2.2799999999999998</v>
      </c>
      <c r="Q320">
        <v>4.2561999999999998</v>
      </c>
      <c r="R320">
        <v>0.68100000000000005</v>
      </c>
      <c r="S320" t="s">
        <v>3062</v>
      </c>
      <c r="T320">
        <v>6</v>
      </c>
      <c r="U320" t="s">
        <v>89</v>
      </c>
      <c r="W320" t="s">
        <v>754</v>
      </c>
    </row>
    <row r="321" spans="1:23" outlineLevel="2" x14ac:dyDescent="0.25">
      <c r="A321" t="s">
        <v>82</v>
      </c>
      <c r="B321" t="s">
        <v>83</v>
      </c>
      <c r="C321">
        <v>30</v>
      </c>
      <c r="D321" t="s">
        <v>84</v>
      </c>
      <c r="E321">
        <v>184</v>
      </c>
      <c r="F321" t="s">
        <v>85</v>
      </c>
      <c r="G321">
        <v>8661</v>
      </c>
      <c r="H321" t="s">
        <v>39</v>
      </c>
      <c r="I321">
        <v>1000008661</v>
      </c>
      <c r="J321">
        <v>29471270</v>
      </c>
      <c r="K321" t="s">
        <v>1959</v>
      </c>
      <c r="L321" t="s">
        <v>752</v>
      </c>
      <c r="M321" t="s">
        <v>88</v>
      </c>
      <c r="N321">
        <v>125.5</v>
      </c>
      <c r="O321">
        <v>14.22</v>
      </c>
      <c r="P321">
        <v>2.2799999999999998</v>
      </c>
      <c r="Q321">
        <v>4.2561999999999998</v>
      </c>
      <c r="R321">
        <v>0.68100000000000005</v>
      </c>
      <c r="S321" t="s">
        <v>3064</v>
      </c>
      <c r="T321">
        <v>6</v>
      </c>
      <c r="U321" t="s">
        <v>89</v>
      </c>
      <c r="W321" t="s">
        <v>754</v>
      </c>
    </row>
    <row r="322" spans="1:23" outlineLevel="2" x14ac:dyDescent="0.25">
      <c r="A322" t="s">
        <v>82</v>
      </c>
      <c r="B322" t="s">
        <v>83</v>
      </c>
      <c r="C322">
        <v>30</v>
      </c>
      <c r="D322" t="s">
        <v>84</v>
      </c>
      <c r="E322">
        <v>184</v>
      </c>
      <c r="F322" t="s">
        <v>85</v>
      </c>
      <c r="G322">
        <v>8661</v>
      </c>
      <c r="H322" t="s">
        <v>39</v>
      </c>
      <c r="I322">
        <v>1000008661</v>
      </c>
      <c r="J322">
        <v>29472376</v>
      </c>
      <c r="K322" t="s">
        <v>1974</v>
      </c>
      <c r="L322" t="s">
        <v>752</v>
      </c>
      <c r="M322" t="s">
        <v>88</v>
      </c>
      <c r="N322">
        <v>489.5</v>
      </c>
      <c r="O322">
        <v>14.22</v>
      </c>
      <c r="P322">
        <v>2.2799999999999998</v>
      </c>
      <c r="Q322">
        <v>4.2561999999999998</v>
      </c>
      <c r="R322">
        <v>0.68100000000000005</v>
      </c>
      <c r="S322" t="s">
        <v>3066</v>
      </c>
      <c r="T322">
        <v>6</v>
      </c>
      <c r="U322" t="s">
        <v>89</v>
      </c>
      <c r="W322" t="s">
        <v>754</v>
      </c>
    </row>
    <row r="323" spans="1:23" outlineLevel="2" x14ac:dyDescent="0.25">
      <c r="A323" t="s">
        <v>82</v>
      </c>
      <c r="B323" t="s">
        <v>83</v>
      </c>
      <c r="C323">
        <v>30</v>
      </c>
      <c r="D323" t="s">
        <v>84</v>
      </c>
      <c r="E323">
        <v>184</v>
      </c>
      <c r="F323" t="s">
        <v>85</v>
      </c>
      <c r="G323">
        <v>8661</v>
      </c>
      <c r="H323" t="s">
        <v>39</v>
      </c>
      <c r="I323">
        <v>1000008661</v>
      </c>
      <c r="J323">
        <v>29472631</v>
      </c>
      <c r="K323" t="s">
        <v>1978</v>
      </c>
      <c r="L323" t="s">
        <v>752</v>
      </c>
      <c r="M323" t="s">
        <v>88</v>
      </c>
      <c r="N323">
        <v>109.5</v>
      </c>
      <c r="O323">
        <v>14.22</v>
      </c>
      <c r="P323">
        <v>2.2799999999999998</v>
      </c>
      <c r="Q323">
        <v>4.2561999999999998</v>
      </c>
      <c r="R323">
        <v>0.68100000000000005</v>
      </c>
      <c r="S323" t="s">
        <v>3068</v>
      </c>
      <c r="T323">
        <v>6</v>
      </c>
      <c r="U323" t="s">
        <v>89</v>
      </c>
      <c r="W323" t="s">
        <v>754</v>
      </c>
    </row>
    <row r="324" spans="1:23" outlineLevel="2" x14ac:dyDescent="0.25">
      <c r="A324" t="s">
        <v>82</v>
      </c>
      <c r="B324" t="s">
        <v>83</v>
      </c>
      <c r="C324">
        <v>30</v>
      </c>
      <c r="D324" t="s">
        <v>84</v>
      </c>
      <c r="E324">
        <v>184</v>
      </c>
      <c r="F324" t="s">
        <v>85</v>
      </c>
      <c r="G324">
        <v>8661</v>
      </c>
      <c r="H324" t="s">
        <v>39</v>
      </c>
      <c r="I324">
        <v>1000008661</v>
      </c>
      <c r="J324">
        <v>29472945</v>
      </c>
      <c r="K324" t="s">
        <v>1988</v>
      </c>
      <c r="L324" t="s">
        <v>752</v>
      </c>
      <c r="M324" t="s">
        <v>88</v>
      </c>
      <c r="N324">
        <v>262.5</v>
      </c>
      <c r="O324">
        <v>14.22</v>
      </c>
      <c r="P324">
        <v>2.2799999999999998</v>
      </c>
      <c r="Q324">
        <v>4.2561999999999998</v>
      </c>
      <c r="R324">
        <v>0.68100000000000005</v>
      </c>
      <c r="S324" t="s">
        <v>3070</v>
      </c>
      <c r="T324">
        <v>6</v>
      </c>
      <c r="U324" t="s">
        <v>89</v>
      </c>
      <c r="W324" t="s">
        <v>754</v>
      </c>
    </row>
    <row r="325" spans="1:23" outlineLevel="2" x14ac:dyDescent="0.25">
      <c r="A325" t="s">
        <v>82</v>
      </c>
      <c r="B325" t="s">
        <v>83</v>
      </c>
      <c r="C325">
        <v>30</v>
      </c>
      <c r="D325" t="s">
        <v>84</v>
      </c>
      <c r="E325">
        <v>184</v>
      </c>
      <c r="F325" t="s">
        <v>85</v>
      </c>
      <c r="G325">
        <v>8661</v>
      </c>
      <c r="H325" t="s">
        <v>39</v>
      </c>
      <c r="I325">
        <v>1000008661</v>
      </c>
      <c r="J325">
        <v>29473230</v>
      </c>
      <c r="K325" t="s">
        <v>1997</v>
      </c>
      <c r="L325" t="s">
        <v>752</v>
      </c>
      <c r="M325" t="s">
        <v>88</v>
      </c>
      <c r="N325">
        <v>857.5</v>
      </c>
      <c r="O325">
        <v>14.22</v>
      </c>
      <c r="P325">
        <v>2.2799999999999998</v>
      </c>
      <c r="Q325">
        <v>4.2561999999999998</v>
      </c>
      <c r="R325">
        <v>0.68100000000000005</v>
      </c>
      <c r="S325" t="s">
        <v>3072</v>
      </c>
      <c r="T325">
        <v>6</v>
      </c>
      <c r="U325" t="s">
        <v>89</v>
      </c>
      <c r="W325" t="s">
        <v>754</v>
      </c>
    </row>
    <row r="326" spans="1:23" outlineLevel="2" x14ac:dyDescent="0.25">
      <c r="A326" t="s">
        <v>82</v>
      </c>
      <c r="B326" t="s">
        <v>83</v>
      </c>
      <c r="C326">
        <v>30</v>
      </c>
      <c r="D326" t="s">
        <v>84</v>
      </c>
      <c r="E326">
        <v>184</v>
      </c>
      <c r="F326" t="s">
        <v>85</v>
      </c>
      <c r="G326">
        <v>8661</v>
      </c>
      <c r="H326" t="s">
        <v>39</v>
      </c>
      <c r="I326">
        <v>1000008661</v>
      </c>
      <c r="J326">
        <v>29473447</v>
      </c>
      <c r="K326" t="s">
        <v>2001</v>
      </c>
      <c r="L326" t="s">
        <v>752</v>
      </c>
      <c r="M326" t="s">
        <v>88</v>
      </c>
      <c r="N326">
        <v>360.5</v>
      </c>
      <c r="O326">
        <v>14.22</v>
      </c>
      <c r="P326">
        <v>2.2799999999999998</v>
      </c>
      <c r="Q326">
        <v>4.2561999999999998</v>
      </c>
      <c r="R326">
        <v>0.68100000000000005</v>
      </c>
      <c r="S326" t="s">
        <v>3074</v>
      </c>
      <c r="T326">
        <v>6</v>
      </c>
      <c r="U326" t="s">
        <v>89</v>
      </c>
      <c r="W326" t="s">
        <v>754</v>
      </c>
    </row>
    <row r="327" spans="1:23" outlineLevel="2" x14ac:dyDescent="0.25">
      <c r="A327" t="s">
        <v>82</v>
      </c>
      <c r="B327" t="s">
        <v>83</v>
      </c>
      <c r="C327">
        <v>30</v>
      </c>
      <c r="D327" t="s">
        <v>84</v>
      </c>
      <c r="E327">
        <v>184</v>
      </c>
      <c r="F327" t="s">
        <v>85</v>
      </c>
      <c r="G327">
        <v>8661</v>
      </c>
      <c r="H327" t="s">
        <v>39</v>
      </c>
      <c r="I327">
        <v>1000008661</v>
      </c>
      <c r="J327">
        <v>29473697</v>
      </c>
      <c r="K327" t="s">
        <v>2006</v>
      </c>
      <c r="L327" t="s">
        <v>752</v>
      </c>
      <c r="M327" t="s">
        <v>88</v>
      </c>
      <c r="N327">
        <v>105.5</v>
      </c>
      <c r="O327">
        <v>14.22</v>
      </c>
      <c r="P327">
        <v>2.2799999999999998</v>
      </c>
      <c r="Q327">
        <v>4.2561999999999998</v>
      </c>
      <c r="R327">
        <v>0.68100000000000005</v>
      </c>
      <c r="S327" t="s">
        <v>3076</v>
      </c>
      <c r="T327">
        <v>6</v>
      </c>
      <c r="U327" t="s">
        <v>89</v>
      </c>
      <c r="W327" t="s">
        <v>754</v>
      </c>
    </row>
    <row r="328" spans="1:23" outlineLevel="2" x14ac:dyDescent="0.25">
      <c r="A328" t="s">
        <v>82</v>
      </c>
      <c r="B328" t="s">
        <v>83</v>
      </c>
      <c r="C328">
        <v>30</v>
      </c>
      <c r="D328" t="s">
        <v>84</v>
      </c>
      <c r="E328">
        <v>184</v>
      </c>
      <c r="F328" t="s">
        <v>85</v>
      </c>
      <c r="G328">
        <v>8661</v>
      </c>
      <c r="H328" t="s">
        <v>39</v>
      </c>
      <c r="I328">
        <v>1000008661</v>
      </c>
      <c r="J328">
        <v>29473946</v>
      </c>
      <c r="K328" t="s">
        <v>2010</v>
      </c>
      <c r="L328" t="s">
        <v>752</v>
      </c>
      <c r="M328" t="s">
        <v>88</v>
      </c>
      <c r="N328">
        <v>505.5</v>
      </c>
      <c r="O328">
        <v>14.22</v>
      </c>
      <c r="P328">
        <v>2.2799999999999998</v>
      </c>
      <c r="Q328">
        <v>4.2561999999999998</v>
      </c>
      <c r="R328">
        <v>0.68100000000000005</v>
      </c>
      <c r="S328" t="s">
        <v>3078</v>
      </c>
      <c r="T328">
        <v>6</v>
      </c>
      <c r="U328" t="s">
        <v>89</v>
      </c>
      <c r="W328" t="s">
        <v>754</v>
      </c>
    </row>
    <row r="329" spans="1:23" outlineLevel="2" x14ac:dyDescent="0.25">
      <c r="A329" t="s">
        <v>82</v>
      </c>
      <c r="B329" t="s">
        <v>83</v>
      </c>
      <c r="C329">
        <v>30</v>
      </c>
      <c r="D329" t="s">
        <v>84</v>
      </c>
      <c r="E329">
        <v>184</v>
      </c>
      <c r="F329" t="s">
        <v>85</v>
      </c>
      <c r="G329">
        <v>8661</v>
      </c>
      <c r="H329" t="s">
        <v>39</v>
      </c>
      <c r="I329">
        <v>1000008661</v>
      </c>
      <c r="J329">
        <v>29474209</v>
      </c>
      <c r="K329" t="s">
        <v>2015</v>
      </c>
      <c r="L329" t="s">
        <v>752</v>
      </c>
      <c r="M329" t="s">
        <v>88</v>
      </c>
      <c r="N329">
        <v>77.5</v>
      </c>
      <c r="O329">
        <v>14.22</v>
      </c>
      <c r="P329">
        <v>2.2799999999999998</v>
      </c>
      <c r="Q329">
        <v>4.2561999999999998</v>
      </c>
      <c r="R329">
        <v>0.68100000000000005</v>
      </c>
      <c r="S329" t="s">
        <v>3080</v>
      </c>
      <c r="T329">
        <v>6</v>
      </c>
      <c r="U329" t="s">
        <v>89</v>
      </c>
      <c r="W329" t="s">
        <v>754</v>
      </c>
    </row>
    <row r="330" spans="1:23" outlineLevel="2" x14ac:dyDescent="0.25">
      <c r="A330" t="s">
        <v>82</v>
      </c>
      <c r="B330" t="s">
        <v>83</v>
      </c>
      <c r="C330">
        <v>30</v>
      </c>
      <c r="D330" t="s">
        <v>84</v>
      </c>
      <c r="E330">
        <v>184</v>
      </c>
      <c r="F330" t="s">
        <v>85</v>
      </c>
      <c r="G330">
        <v>8661</v>
      </c>
      <c r="H330" t="s">
        <v>39</v>
      </c>
      <c r="I330">
        <v>1000008661</v>
      </c>
      <c r="J330">
        <v>29474761</v>
      </c>
      <c r="K330" t="s">
        <v>2023</v>
      </c>
      <c r="L330" t="s">
        <v>752</v>
      </c>
      <c r="M330" t="s">
        <v>88</v>
      </c>
      <c r="N330">
        <v>215.5</v>
      </c>
      <c r="O330">
        <v>14.22</v>
      </c>
      <c r="P330">
        <v>2.2799999999999998</v>
      </c>
      <c r="Q330">
        <v>4.2561999999999998</v>
      </c>
      <c r="R330">
        <v>0.68100000000000005</v>
      </c>
      <c r="S330" t="s">
        <v>3082</v>
      </c>
      <c r="T330">
        <v>6</v>
      </c>
      <c r="U330" t="s">
        <v>89</v>
      </c>
      <c r="W330" t="s">
        <v>754</v>
      </c>
    </row>
    <row r="331" spans="1:23" outlineLevel="2" x14ac:dyDescent="0.25">
      <c r="A331" t="s">
        <v>82</v>
      </c>
      <c r="B331" t="s">
        <v>83</v>
      </c>
      <c r="C331">
        <v>30</v>
      </c>
      <c r="D331" t="s">
        <v>84</v>
      </c>
      <c r="E331">
        <v>184</v>
      </c>
      <c r="F331" t="s">
        <v>85</v>
      </c>
      <c r="G331">
        <v>8661</v>
      </c>
      <c r="H331" t="s">
        <v>39</v>
      </c>
      <c r="I331">
        <v>1000008661</v>
      </c>
      <c r="J331">
        <v>29475033</v>
      </c>
      <c r="K331" t="s">
        <v>2026</v>
      </c>
      <c r="L331" t="s">
        <v>752</v>
      </c>
      <c r="M331" t="s">
        <v>88</v>
      </c>
      <c r="N331">
        <v>279.5</v>
      </c>
      <c r="O331">
        <v>14.22</v>
      </c>
      <c r="P331">
        <v>2.2799999999999998</v>
      </c>
      <c r="Q331">
        <v>4.2561999999999998</v>
      </c>
      <c r="R331">
        <v>0.68100000000000005</v>
      </c>
      <c r="S331" t="s">
        <v>3084</v>
      </c>
      <c r="T331">
        <v>6</v>
      </c>
      <c r="U331" t="s">
        <v>89</v>
      </c>
      <c r="W331" t="s">
        <v>754</v>
      </c>
    </row>
    <row r="332" spans="1:23" outlineLevel="2" x14ac:dyDescent="0.25">
      <c r="A332" t="s">
        <v>82</v>
      </c>
      <c r="B332" t="s">
        <v>83</v>
      </c>
      <c r="C332">
        <v>30</v>
      </c>
      <c r="D332" t="s">
        <v>84</v>
      </c>
      <c r="E332">
        <v>184</v>
      </c>
      <c r="F332" t="s">
        <v>85</v>
      </c>
      <c r="G332">
        <v>8661</v>
      </c>
      <c r="H332" t="s">
        <v>39</v>
      </c>
      <c r="I332">
        <v>1000008661</v>
      </c>
      <c r="J332">
        <v>29475281</v>
      </c>
      <c r="K332" t="s">
        <v>2028</v>
      </c>
      <c r="L332" t="s">
        <v>752</v>
      </c>
      <c r="M332" t="s">
        <v>88</v>
      </c>
      <c r="N332">
        <v>120.5</v>
      </c>
      <c r="O332">
        <v>14.22</v>
      </c>
      <c r="P332">
        <v>2.2799999999999998</v>
      </c>
      <c r="Q332">
        <v>4.2561999999999998</v>
      </c>
      <c r="R332">
        <v>0.68100000000000005</v>
      </c>
      <c r="S332" t="s">
        <v>3086</v>
      </c>
      <c r="T332">
        <v>6</v>
      </c>
      <c r="U332" t="s">
        <v>89</v>
      </c>
      <c r="W332" t="s">
        <v>754</v>
      </c>
    </row>
    <row r="333" spans="1:23" outlineLevel="2" x14ac:dyDescent="0.25">
      <c r="A333" t="s">
        <v>82</v>
      </c>
      <c r="B333" t="s">
        <v>83</v>
      </c>
      <c r="C333">
        <v>30</v>
      </c>
      <c r="D333" t="s">
        <v>84</v>
      </c>
      <c r="E333">
        <v>184</v>
      </c>
      <c r="F333" t="s">
        <v>85</v>
      </c>
      <c r="G333">
        <v>8661</v>
      </c>
      <c r="H333" t="s">
        <v>39</v>
      </c>
      <c r="I333">
        <v>1000008661</v>
      </c>
      <c r="J333">
        <v>29475564</v>
      </c>
      <c r="K333" t="s">
        <v>2033</v>
      </c>
      <c r="L333" t="s">
        <v>752</v>
      </c>
      <c r="M333" t="s">
        <v>88</v>
      </c>
      <c r="N333">
        <v>189.5</v>
      </c>
      <c r="O333">
        <v>14.22</v>
      </c>
      <c r="P333">
        <v>2.2799999999999998</v>
      </c>
      <c r="Q333">
        <v>4.2561999999999998</v>
      </c>
      <c r="R333">
        <v>0.68100000000000005</v>
      </c>
      <c r="S333" t="s">
        <v>3088</v>
      </c>
      <c r="T333">
        <v>6</v>
      </c>
      <c r="U333" t="s">
        <v>89</v>
      </c>
      <c r="W333" t="s">
        <v>754</v>
      </c>
    </row>
    <row r="334" spans="1:23" outlineLevel="2" x14ac:dyDescent="0.25">
      <c r="A334" t="s">
        <v>82</v>
      </c>
      <c r="B334" t="s">
        <v>83</v>
      </c>
      <c r="C334">
        <v>30</v>
      </c>
      <c r="D334" t="s">
        <v>84</v>
      </c>
      <c r="E334">
        <v>184</v>
      </c>
      <c r="F334" t="s">
        <v>85</v>
      </c>
      <c r="G334">
        <v>8661</v>
      </c>
      <c r="H334" t="s">
        <v>39</v>
      </c>
      <c r="I334">
        <v>1000008661</v>
      </c>
      <c r="J334">
        <v>29476525</v>
      </c>
      <c r="K334" t="s">
        <v>2050</v>
      </c>
      <c r="L334" t="s">
        <v>752</v>
      </c>
      <c r="M334" t="s">
        <v>88</v>
      </c>
      <c r="N334">
        <v>171.5</v>
      </c>
      <c r="O334">
        <v>14.22</v>
      </c>
      <c r="P334">
        <v>2.2799999999999998</v>
      </c>
      <c r="Q334">
        <v>4.2561999999999998</v>
      </c>
      <c r="R334">
        <v>0.68100000000000005</v>
      </c>
      <c r="S334" t="s">
        <v>3090</v>
      </c>
      <c r="T334">
        <v>6</v>
      </c>
      <c r="U334" t="s">
        <v>89</v>
      </c>
      <c r="W334" t="s">
        <v>754</v>
      </c>
    </row>
    <row r="335" spans="1:23" outlineLevel="2" x14ac:dyDescent="0.25">
      <c r="A335" t="s">
        <v>82</v>
      </c>
      <c r="B335" t="s">
        <v>83</v>
      </c>
      <c r="C335">
        <v>30</v>
      </c>
      <c r="D335" t="s">
        <v>84</v>
      </c>
      <c r="E335">
        <v>184</v>
      </c>
      <c r="F335" t="s">
        <v>85</v>
      </c>
      <c r="G335">
        <v>8661</v>
      </c>
      <c r="H335" t="s">
        <v>39</v>
      </c>
      <c r="I335">
        <v>1000008661</v>
      </c>
      <c r="J335">
        <v>29476866</v>
      </c>
      <c r="K335" t="s">
        <v>2053</v>
      </c>
      <c r="L335" t="s">
        <v>752</v>
      </c>
      <c r="M335" t="s">
        <v>88</v>
      </c>
      <c r="N335">
        <v>90.5</v>
      </c>
      <c r="O335">
        <v>14.22</v>
      </c>
      <c r="P335">
        <v>2.2799999999999998</v>
      </c>
      <c r="Q335">
        <v>4.2561999999999998</v>
      </c>
      <c r="R335">
        <v>0.68100000000000005</v>
      </c>
      <c r="S335" t="s">
        <v>3092</v>
      </c>
      <c r="T335">
        <v>6</v>
      </c>
      <c r="U335" t="s">
        <v>89</v>
      </c>
      <c r="W335" t="s">
        <v>754</v>
      </c>
    </row>
    <row r="336" spans="1:23" outlineLevel="2" x14ac:dyDescent="0.25">
      <c r="A336" t="s">
        <v>82</v>
      </c>
      <c r="B336" t="s">
        <v>83</v>
      </c>
      <c r="C336">
        <v>30</v>
      </c>
      <c r="D336" t="s">
        <v>84</v>
      </c>
      <c r="E336">
        <v>184</v>
      </c>
      <c r="F336" t="s">
        <v>85</v>
      </c>
      <c r="G336">
        <v>8661</v>
      </c>
      <c r="H336" t="s">
        <v>39</v>
      </c>
      <c r="I336">
        <v>1000008661</v>
      </c>
      <c r="J336">
        <v>29477153</v>
      </c>
      <c r="K336" t="s">
        <v>2059</v>
      </c>
      <c r="L336" t="s">
        <v>752</v>
      </c>
      <c r="M336" t="s">
        <v>88</v>
      </c>
      <c r="N336">
        <v>167.5</v>
      </c>
      <c r="O336">
        <v>14.22</v>
      </c>
      <c r="P336">
        <v>2.2799999999999998</v>
      </c>
      <c r="Q336">
        <v>4.2561999999999998</v>
      </c>
      <c r="R336">
        <v>0.68100000000000005</v>
      </c>
      <c r="S336" t="s">
        <v>3094</v>
      </c>
      <c r="T336">
        <v>6</v>
      </c>
      <c r="U336" t="s">
        <v>89</v>
      </c>
      <c r="W336" t="s">
        <v>754</v>
      </c>
    </row>
    <row r="337" spans="1:23" outlineLevel="2" x14ac:dyDescent="0.25">
      <c r="A337" t="s">
        <v>82</v>
      </c>
      <c r="B337" t="s">
        <v>83</v>
      </c>
      <c r="C337">
        <v>30</v>
      </c>
      <c r="D337" t="s">
        <v>84</v>
      </c>
      <c r="E337">
        <v>184</v>
      </c>
      <c r="F337" t="s">
        <v>85</v>
      </c>
      <c r="G337">
        <v>8661</v>
      </c>
      <c r="H337" t="s">
        <v>39</v>
      </c>
      <c r="I337">
        <v>1000008661</v>
      </c>
      <c r="J337">
        <v>29478656</v>
      </c>
      <c r="K337" t="s">
        <v>2076</v>
      </c>
      <c r="L337" t="s">
        <v>752</v>
      </c>
      <c r="M337" t="s">
        <v>88</v>
      </c>
      <c r="N337">
        <v>145.5</v>
      </c>
      <c r="O337">
        <v>14.22</v>
      </c>
      <c r="P337">
        <v>2.2799999999999998</v>
      </c>
      <c r="Q337">
        <v>4.2561999999999998</v>
      </c>
      <c r="R337">
        <v>0.68100000000000005</v>
      </c>
      <c r="S337" t="s">
        <v>3096</v>
      </c>
      <c r="T337">
        <v>6</v>
      </c>
      <c r="U337" t="s">
        <v>89</v>
      </c>
      <c r="W337" t="s">
        <v>754</v>
      </c>
    </row>
    <row r="338" spans="1:23" outlineLevel="2" x14ac:dyDescent="0.25">
      <c r="A338" t="s">
        <v>82</v>
      </c>
      <c r="B338" t="s">
        <v>83</v>
      </c>
      <c r="C338">
        <v>30</v>
      </c>
      <c r="D338" t="s">
        <v>84</v>
      </c>
      <c r="E338">
        <v>184</v>
      </c>
      <c r="F338" t="s">
        <v>85</v>
      </c>
      <c r="G338">
        <v>8661</v>
      </c>
      <c r="H338" t="s">
        <v>39</v>
      </c>
      <c r="I338">
        <v>1000008661</v>
      </c>
      <c r="J338">
        <v>29479184</v>
      </c>
      <c r="K338" t="s">
        <v>2079</v>
      </c>
      <c r="L338" t="s">
        <v>752</v>
      </c>
      <c r="M338" t="s">
        <v>88</v>
      </c>
      <c r="N338">
        <v>190.5</v>
      </c>
      <c r="O338">
        <v>14.22</v>
      </c>
      <c r="P338">
        <v>2.2799999999999998</v>
      </c>
      <c r="Q338">
        <v>4.2561999999999998</v>
      </c>
      <c r="R338">
        <v>0.68100000000000005</v>
      </c>
      <c r="S338" t="s">
        <v>3098</v>
      </c>
      <c r="T338">
        <v>6</v>
      </c>
      <c r="U338" t="s">
        <v>89</v>
      </c>
      <c r="W338" t="s">
        <v>754</v>
      </c>
    </row>
    <row r="339" spans="1:23" outlineLevel="2" x14ac:dyDescent="0.25">
      <c r="A339" t="s">
        <v>82</v>
      </c>
      <c r="B339" t="s">
        <v>83</v>
      </c>
      <c r="C339">
        <v>30</v>
      </c>
      <c r="D339" t="s">
        <v>84</v>
      </c>
      <c r="E339">
        <v>184</v>
      </c>
      <c r="F339" t="s">
        <v>85</v>
      </c>
      <c r="G339">
        <v>8661</v>
      </c>
      <c r="H339" t="s">
        <v>39</v>
      </c>
      <c r="I339">
        <v>1000008661</v>
      </c>
      <c r="J339">
        <v>29479611</v>
      </c>
      <c r="K339" t="s">
        <v>2083</v>
      </c>
      <c r="L339" t="s">
        <v>752</v>
      </c>
      <c r="M339" t="s">
        <v>88</v>
      </c>
      <c r="N339">
        <v>68.5</v>
      </c>
      <c r="O339">
        <v>14.22</v>
      </c>
      <c r="P339">
        <v>2.2799999999999998</v>
      </c>
      <c r="Q339">
        <v>4.2561999999999998</v>
      </c>
      <c r="R339">
        <v>0.68100000000000005</v>
      </c>
      <c r="S339" t="s">
        <v>3100</v>
      </c>
      <c r="T339">
        <v>6</v>
      </c>
      <c r="U339" t="s">
        <v>89</v>
      </c>
      <c r="W339" t="s">
        <v>754</v>
      </c>
    </row>
    <row r="340" spans="1:23" outlineLevel="2" x14ac:dyDescent="0.25">
      <c r="A340" t="s">
        <v>82</v>
      </c>
      <c r="B340" t="s">
        <v>83</v>
      </c>
      <c r="C340">
        <v>30</v>
      </c>
      <c r="D340" t="s">
        <v>84</v>
      </c>
      <c r="E340">
        <v>184</v>
      </c>
      <c r="F340" t="s">
        <v>85</v>
      </c>
      <c r="G340">
        <v>8661</v>
      </c>
      <c r="H340" t="s">
        <v>39</v>
      </c>
      <c r="I340">
        <v>1000008661</v>
      </c>
      <c r="J340">
        <v>29479891</v>
      </c>
      <c r="K340" t="s">
        <v>2089</v>
      </c>
      <c r="L340" t="s">
        <v>752</v>
      </c>
      <c r="M340" t="s">
        <v>88</v>
      </c>
      <c r="N340">
        <v>88.5</v>
      </c>
      <c r="O340">
        <v>14.22</v>
      </c>
      <c r="P340">
        <v>2.2799999999999998</v>
      </c>
      <c r="Q340">
        <v>4.2561999999999998</v>
      </c>
      <c r="R340">
        <v>0.68100000000000005</v>
      </c>
      <c r="S340" t="s">
        <v>3102</v>
      </c>
      <c r="T340">
        <v>6</v>
      </c>
      <c r="U340" t="s">
        <v>89</v>
      </c>
      <c r="W340" t="s">
        <v>754</v>
      </c>
    </row>
    <row r="341" spans="1:23" outlineLevel="2" x14ac:dyDescent="0.25">
      <c r="A341" t="s">
        <v>82</v>
      </c>
      <c r="B341" t="s">
        <v>83</v>
      </c>
      <c r="C341">
        <v>30</v>
      </c>
      <c r="D341" t="s">
        <v>84</v>
      </c>
      <c r="E341">
        <v>184</v>
      </c>
      <c r="F341" t="s">
        <v>85</v>
      </c>
      <c r="G341">
        <v>8661</v>
      </c>
      <c r="H341" t="s">
        <v>39</v>
      </c>
      <c r="I341">
        <v>1000008661</v>
      </c>
      <c r="J341">
        <v>29480836</v>
      </c>
      <c r="K341" t="s">
        <v>2101</v>
      </c>
      <c r="L341" t="s">
        <v>752</v>
      </c>
      <c r="M341" t="s">
        <v>88</v>
      </c>
      <c r="N341">
        <v>45.5</v>
      </c>
      <c r="O341">
        <v>14.22</v>
      </c>
      <c r="P341">
        <v>2.2799999999999998</v>
      </c>
      <c r="Q341">
        <v>4.2561999999999998</v>
      </c>
      <c r="R341">
        <v>0.68100000000000005</v>
      </c>
      <c r="S341" t="s">
        <v>3104</v>
      </c>
      <c r="T341">
        <v>6</v>
      </c>
      <c r="U341" t="s">
        <v>89</v>
      </c>
      <c r="W341" t="s">
        <v>754</v>
      </c>
    </row>
    <row r="342" spans="1:23" outlineLevel="2" x14ac:dyDescent="0.25">
      <c r="A342" t="s">
        <v>82</v>
      </c>
      <c r="B342" t="s">
        <v>83</v>
      </c>
      <c r="C342">
        <v>30</v>
      </c>
      <c r="D342" t="s">
        <v>84</v>
      </c>
      <c r="E342">
        <v>184</v>
      </c>
      <c r="F342" t="s">
        <v>85</v>
      </c>
      <c r="G342">
        <v>8661</v>
      </c>
      <c r="H342" t="s">
        <v>39</v>
      </c>
      <c r="I342">
        <v>1000008661</v>
      </c>
      <c r="J342">
        <v>29481158</v>
      </c>
      <c r="K342" t="s">
        <v>2105</v>
      </c>
      <c r="L342" t="s">
        <v>752</v>
      </c>
      <c r="M342" t="s">
        <v>88</v>
      </c>
      <c r="N342">
        <v>94.5</v>
      </c>
      <c r="O342">
        <v>14.22</v>
      </c>
      <c r="P342">
        <v>2.2799999999999998</v>
      </c>
      <c r="Q342">
        <v>4.2561999999999998</v>
      </c>
      <c r="R342">
        <v>0.68100000000000005</v>
      </c>
      <c r="S342" t="s">
        <v>3106</v>
      </c>
      <c r="T342">
        <v>6</v>
      </c>
      <c r="U342" t="s">
        <v>89</v>
      </c>
      <c r="W342" t="s">
        <v>754</v>
      </c>
    </row>
    <row r="343" spans="1:23" outlineLevel="2" x14ac:dyDescent="0.25">
      <c r="A343" t="s">
        <v>82</v>
      </c>
      <c r="B343" t="s">
        <v>83</v>
      </c>
      <c r="C343">
        <v>30</v>
      </c>
      <c r="D343" t="s">
        <v>84</v>
      </c>
      <c r="E343">
        <v>184</v>
      </c>
      <c r="F343" t="s">
        <v>85</v>
      </c>
      <c r="G343">
        <v>8661</v>
      </c>
      <c r="H343" t="s">
        <v>39</v>
      </c>
      <c r="I343">
        <v>1000008661</v>
      </c>
      <c r="J343">
        <v>29481658</v>
      </c>
      <c r="K343" t="s">
        <v>2113</v>
      </c>
      <c r="L343" t="s">
        <v>752</v>
      </c>
      <c r="M343" t="s">
        <v>88</v>
      </c>
      <c r="N343">
        <v>115.5</v>
      </c>
      <c r="O343">
        <v>14.22</v>
      </c>
      <c r="P343">
        <v>2.2799999999999998</v>
      </c>
      <c r="Q343">
        <v>4.2561999999999998</v>
      </c>
      <c r="R343">
        <v>0.68100000000000005</v>
      </c>
      <c r="S343" t="s">
        <v>3108</v>
      </c>
      <c r="T343">
        <v>6</v>
      </c>
      <c r="U343" t="s">
        <v>89</v>
      </c>
      <c r="W343" t="s">
        <v>754</v>
      </c>
    </row>
    <row r="344" spans="1:23" outlineLevel="2" x14ac:dyDescent="0.25">
      <c r="A344" t="s">
        <v>82</v>
      </c>
      <c r="B344" t="s">
        <v>83</v>
      </c>
      <c r="C344">
        <v>30</v>
      </c>
      <c r="D344" t="s">
        <v>84</v>
      </c>
      <c r="E344">
        <v>184</v>
      </c>
      <c r="F344" t="s">
        <v>85</v>
      </c>
      <c r="G344">
        <v>8661</v>
      </c>
      <c r="H344" t="s">
        <v>39</v>
      </c>
      <c r="I344">
        <v>1000008661</v>
      </c>
      <c r="J344">
        <v>29482137</v>
      </c>
      <c r="K344" t="s">
        <v>2120</v>
      </c>
      <c r="L344" t="s">
        <v>752</v>
      </c>
      <c r="M344" t="s">
        <v>88</v>
      </c>
      <c r="N344">
        <v>164.5</v>
      </c>
      <c r="O344">
        <v>14.22</v>
      </c>
      <c r="P344">
        <v>2.2799999999999998</v>
      </c>
      <c r="Q344">
        <v>4.2561999999999998</v>
      </c>
      <c r="R344">
        <v>0.68100000000000005</v>
      </c>
      <c r="S344" t="s">
        <v>3110</v>
      </c>
      <c r="T344">
        <v>6</v>
      </c>
      <c r="U344" t="s">
        <v>89</v>
      </c>
      <c r="W344" t="s">
        <v>754</v>
      </c>
    </row>
    <row r="345" spans="1:23" outlineLevel="2" x14ac:dyDescent="0.25">
      <c r="A345" t="s">
        <v>82</v>
      </c>
      <c r="B345" t="s">
        <v>83</v>
      </c>
      <c r="C345">
        <v>30</v>
      </c>
      <c r="D345" t="s">
        <v>84</v>
      </c>
      <c r="E345">
        <v>184</v>
      </c>
      <c r="F345" t="s">
        <v>85</v>
      </c>
      <c r="G345">
        <v>8661</v>
      </c>
      <c r="H345" t="s">
        <v>39</v>
      </c>
      <c r="I345">
        <v>1000008661</v>
      </c>
      <c r="J345">
        <v>29482528</v>
      </c>
      <c r="K345" t="s">
        <v>2126</v>
      </c>
      <c r="L345" t="s">
        <v>752</v>
      </c>
      <c r="M345" t="s">
        <v>88</v>
      </c>
      <c r="N345">
        <v>388.5</v>
      </c>
      <c r="O345">
        <v>14.22</v>
      </c>
      <c r="P345">
        <v>2.2799999999999998</v>
      </c>
      <c r="Q345">
        <v>4.2561999999999998</v>
      </c>
      <c r="R345">
        <v>0.68100000000000005</v>
      </c>
      <c r="S345" t="s">
        <v>3112</v>
      </c>
      <c r="T345">
        <v>6</v>
      </c>
      <c r="U345" t="s">
        <v>89</v>
      </c>
      <c r="W345" t="s">
        <v>754</v>
      </c>
    </row>
    <row r="346" spans="1:23" outlineLevel="2" x14ac:dyDescent="0.25">
      <c r="A346" t="s">
        <v>82</v>
      </c>
      <c r="B346" t="s">
        <v>83</v>
      </c>
      <c r="C346">
        <v>30</v>
      </c>
      <c r="D346" t="s">
        <v>84</v>
      </c>
      <c r="E346">
        <v>184</v>
      </c>
      <c r="F346" t="s">
        <v>85</v>
      </c>
      <c r="G346">
        <v>8661</v>
      </c>
      <c r="H346" t="s">
        <v>39</v>
      </c>
      <c r="I346">
        <v>1000008661</v>
      </c>
      <c r="J346">
        <v>29488414</v>
      </c>
      <c r="K346" t="s">
        <v>2163</v>
      </c>
      <c r="L346" t="s">
        <v>752</v>
      </c>
      <c r="M346" t="s">
        <v>88</v>
      </c>
      <c r="N346">
        <v>198.5</v>
      </c>
      <c r="O346">
        <v>14.22</v>
      </c>
      <c r="P346">
        <v>2.2799999999999998</v>
      </c>
      <c r="Q346">
        <v>4.2561999999999998</v>
      </c>
      <c r="R346">
        <v>0.68100000000000005</v>
      </c>
      <c r="S346" t="s">
        <v>3114</v>
      </c>
      <c r="T346">
        <v>6</v>
      </c>
      <c r="U346" t="s">
        <v>89</v>
      </c>
      <c r="W346" t="s">
        <v>754</v>
      </c>
    </row>
    <row r="347" spans="1:23" outlineLevel="2" x14ac:dyDescent="0.25">
      <c r="A347" t="s">
        <v>82</v>
      </c>
      <c r="B347" t="s">
        <v>83</v>
      </c>
      <c r="C347">
        <v>30</v>
      </c>
      <c r="D347" t="s">
        <v>84</v>
      </c>
      <c r="E347">
        <v>184</v>
      </c>
      <c r="F347" t="s">
        <v>85</v>
      </c>
      <c r="G347">
        <v>8661</v>
      </c>
      <c r="H347" t="s">
        <v>39</v>
      </c>
      <c r="I347">
        <v>1000008661</v>
      </c>
      <c r="J347">
        <v>29488611</v>
      </c>
      <c r="K347" t="s">
        <v>2166</v>
      </c>
      <c r="L347" t="s">
        <v>752</v>
      </c>
      <c r="M347" t="s">
        <v>88</v>
      </c>
      <c r="N347">
        <v>127.5</v>
      </c>
      <c r="O347">
        <v>14.22</v>
      </c>
      <c r="P347">
        <v>2.2799999999999998</v>
      </c>
      <c r="Q347">
        <v>4.2561999999999998</v>
      </c>
      <c r="R347">
        <v>0.68100000000000005</v>
      </c>
      <c r="S347" t="s">
        <v>3116</v>
      </c>
      <c r="T347">
        <v>6</v>
      </c>
      <c r="U347" t="s">
        <v>89</v>
      </c>
      <c r="W347" t="s">
        <v>754</v>
      </c>
    </row>
    <row r="348" spans="1:23" outlineLevel="2" x14ac:dyDescent="0.25">
      <c r="A348" t="s">
        <v>82</v>
      </c>
      <c r="B348" t="s">
        <v>83</v>
      </c>
      <c r="C348">
        <v>30</v>
      </c>
      <c r="D348" t="s">
        <v>84</v>
      </c>
      <c r="E348">
        <v>184</v>
      </c>
      <c r="F348" t="s">
        <v>85</v>
      </c>
      <c r="G348">
        <v>8661</v>
      </c>
      <c r="H348" t="s">
        <v>39</v>
      </c>
      <c r="I348">
        <v>1000008661</v>
      </c>
      <c r="J348">
        <v>29490341</v>
      </c>
      <c r="K348" t="s">
        <v>2178</v>
      </c>
      <c r="L348" t="s">
        <v>752</v>
      </c>
      <c r="M348" t="s">
        <v>88</v>
      </c>
      <c r="N348">
        <v>53.5</v>
      </c>
      <c r="O348">
        <v>14.22</v>
      </c>
      <c r="P348">
        <v>2.2799999999999998</v>
      </c>
      <c r="Q348">
        <v>4.2561999999999998</v>
      </c>
      <c r="R348">
        <v>0.68100000000000005</v>
      </c>
      <c r="S348" t="s">
        <v>671</v>
      </c>
      <c r="T348">
        <v>6</v>
      </c>
      <c r="U348" t="s">
        <v>89</v>
      </c>
      <c r="W348" t="s">
        <v>754</v>
      </c>
    </row>
    <row r="349" spans="1:23" outlineLevel="2" x14ac:dyDescent="0.25">
      <c r="A349" t="s">
        <v>82</v>
      </c>
      <c r="B349" t="s">
        <v>83</v>
      </c>
      <c r="C349">
        <v>30</v>
      </c>
      <c r="D349" t="s">
        <v>84</v>
      </c>
      <c r="E349">
        <v>184</v>
      </c>
      <c r="F349" t="s">
        <v>85</v>
      </c>
      <c r="G349">
        <v>8661</v>
      </c>
      <c r="H349" t="s">
        <v>39</v>
      </c>
      <c r="I349">
        <v>1000008661</v>
      </c>
      <c r="J349">
        <v>29495872</v>
      </c>
      <c r="K349" t="s">
        <v>2227</v>
      </c>
      <c r="L349" t="s">
        <v>752</v>
      </c>
      <c r="M349" t="s">
        <v>88</v>
      </c>
      <c r="N349">
        <v>140.5</v>
      </c>
      <c r="O349">
        <v>14.22</v>
      </c>
      <c r="P349">
        <v>2.2799999999999998</v>
      </c>
      <c r="Q349">
        <v>4.2561999999999998</v>
      </c>
      <c r="R349">
        <v>0.68100000000000005</v>
      </c>
      <c r="S349" t="s">
        <v>3119</v>
      </c>
      <c r="T349">
        <v>6</v>
      </c>
      <c r="U349" t="s">
        <v>89</v>
      </c>
      <c r="W349" t="s">
        <v>754</v>
      </c>
    </row>
    <row r="350" spans="1:23" outlineLevel="2" x14ac:dyDescent="0.25">
      <c r="A350" t="s">
        <v>82</v>
      </c>
      <c r="B350" t="s">
        <v>83</v>
      </c>
      <c r="C350">
        <v>30</v>
      </c>
      <c r="D350" t="s">
        <v>84</v>
      </c>
      <c r="E350">
        <v>184</v>
      </c>
      <c r="F350" t="s">
        <v>85</v>
      </c>
      <c r="G350">
        <v>8661</v>
      </c>
      <c r="H350" t="s">
        <v>39</v>
      </c>
      <c r="I350">
        <v>1000008661</v>
      </c>
      <c r="J350">
        <v>29496346</v>
      </c>
      <c r="K350" t="s">
        <v>2232</v>
      </c>
      <c r="L350" t="s">
        <v>753</v>
      </c>
      <c r="M350" t="s">
        <v>88</v>
      </c>
      <c r="N350">
        <v>235.5</v>
      </c>
      <c r="O350">
        <v>14.22</v>
      </c>
      <c r="P350">
        <v>2.2799999999999998</v>
      </c>
      <c r="Q350">
        <v>4.2561999999999998</v>
      </c>
      <c r="R350">
        <v>0.68100000000000005</v>
      </c>
      <c r="S350" t="s">
        <v>3121</v>
      </c>
      <c r="T350">
        <v>6</v>
      </c>
      <c r="U350" t="s">
        <v>89</v>
      </c>
      <c r="W350" t="s">
        <v>754</v>
      </c>
    </row>
    <row r="351" spans="1:23" outlineLevel="2" x14ac:dyDescent="0.25">
      <c r="A351" t="s">
        <v>82</v>
      </c>
      <c r="B351" t="s">
        <v>83</v>
      </c>
      <c r="C351">
        <v>30</v>
      </c>
      <c r="D351" t="s">
        <v>84</v>
      </c>
      <c r="E351">
        <v>184</v>
      </c>
      <c r="F351" t="s">
        <v>85</v>
      </c>
      <c r="G351">
        <v>8661</v>
      </c>
      <c r="H351" t="s">
        <v>39</v>
      </c>
      <c r="I351">
        <v>1000008661</v>
      </c>
      <c r="J351">
        <v>29499036</v>
      </c>
      <c r="K351" t="s">
        <v>2246</v>
      </c>
      <c r="L351" t="s">
        <v>752</v>
      </c>
      <c r="M351" t="s">
        <v>88</v>
      </c>
      <c r="N351">
        <v>185.5</v>
      </c>
      <c r="O351">
        <v>14.22</v>
      </c>
      <c r="P351">
        <v>2.2799999999999998</v>
      </c>
      <c r="Q351">
        <v>4.2561999999999998</v>
      </c>
      <c r="R351">
        <v>0.68100000000000005</v>
      </c>
      <c r="S351" t="s">
        <v>3123</v>
      </c>
      <c r="T351">
        <v>6</v>
      </c>
      <c r="U351" t="s">
        <v>89</v>
      </c>
      <c r="W351" t="s">
        <v>754</v>
      </c>
    </row>
    <row r="352" spans="1:23" outlineLevel="2" x14ac:dyDescent="0.25">
      <c r="A352" t="s">
        <v>82</v>
      </c>
      <c r="B352" t="s">
        <v>83</v>
      </c>
      <c r="C352">
        <v>30</v>
      </c>
      <c r="D352" t="s">
        <v>84</v>
      </c>
      <c r="E352">
        <v>184</v>
      </c>
      <c r="F352" t="s">
        <v>85</v>
      </c>
      <c r="G352">
        <v>8661</v>
      </c>
      <c r="H352" t="s">
        <v>39</v>
      </c>
      <c r="I352">
        <v>1000008661</v>
      </c>
      <c r="J352">
        <v>29500110</v>
      </c>
      <c r="K352" t="s">
        <v>2255</v>
      </c>
      <c r="L352" t="s">
        <v>752</v>
      </c>
      <c r="M352" t="s">
        <v>88</v>
      </c>
      <c r="N352">
        <v>242.5</v>
      </c>
      <c r="O352">
        <v>14.22</v>
      </c>
      <c r="P352">
        <v>2.2799999999999998</v>
      </c>
      <c r="Q352">
        <v>4.2561999999999998</v>
      </c>
      <c r="R352">
        <v>0.68100000000000005</v>
      </c>
      <c r="S352" t="s">
        <v>3125</v>
      </c>
      <c r="T352">
        <v>6</v>
      </c>
      <c r="U352" t="s">
        <v>89</v>
      </c>
      <c r="W352" t="s">
        <v>754</v>
      </c>
    </row>
    <row r="353" spans="1:23" outlineLevel="2" x14ac:dyDescent="0.25">
      <c r="A353" t="s">
        <v>82</v>
      </c>
      <c r="B353" t="s">
        <v>83</v>
      </c>
      <c r="C353">
        <v>30</v>
      </c>
      <c r="D353" t="s">
        <v>84</v>
      </c>
      <c r="E353">
        <v>184</v>
      </c>
      <c r="F353" t="s">
        <v>85</v>
      </c>
      <c r="G353">
        <v>8661</v>
      </c>
      <c r="H353" t="s">
        <v>39</v>
      </c>
      <c r="I353">
        <v>1000008661</v>
      </c>
      <c r="J353">
        <v>29502194</v>
      </c>
      <c r="K353" t="s">
        <v>2269</v>
      </c>
      <c r="L353" t="s">
        <v>752</v>
      </c>
      <c r="M353" t="s">
        <v>88</v>
      </c>
      <c r="N353">
        <v>553.5</v>
      </c>
      <c r="O353">
        <v>14.22</v>
      </c>
      <c r="P353">
        <v>2.2799999999999998</v>
      </c>
      <c r="Q353">
        <v>4.2561999999999998</v>
      </c>
      <c r="R353">
        <v>0.68100000000000005</v>
      </c>
      <c r="S353" t="s">
        <v>3127</v>
      </c>
      <c r="T353">
        <v>6</v>
      </c>
      <c r="U353" t="s">
        <v>89</v>
      </c>
      <c r="W353" t="s">
        <v>754</v>
      </c>
    </row>
    <row r="354" spans="1:23" outlineLevel="2" x14ac:dyDescent="0.25">
      <c r="A354" t="s">
        <v>82</v>
      </c>
      <c r="B354" t="s">
        <v>83</v>
      </c>
      <c r="C354">
        <v>30</v>
      </c>
      <c r="D354" t="s">
        <v>84</v>
      </c>
      <c r="E354">
        <v>184</v>
      </c>
      <c r="F354" t="s">
        <v>85</v>
      </c>
      <c r="G354">
        <v>8661</v>
      </c>
      <c r="H354" t="s">
        <v>39</v>
      </c>
      <c r="I354">
        <v>1000008661</v>
      </c>
      <c r="J354">
        <v>29502631</v>
      </c>
      <c r="K354" t="s">
        <v>2274</v>
      </c>
      <c r="L354" t="s">
        <v>752</v>
      </c>
      <c r="M354" t="s">
        <v>88</v>
      </c>
      <c r="N354">
        <v>98.5</v>
      </c>
      <c r="O354">
        <v>14.22</v>
      </c>
      <c r="P354">
        <v>2.2799999999999998</v>
      </c>
      <c r="Q354">
        <v>4.2561999999999998</v>
      </c>
      <c r="R354">
        <v>0.68100000000000005</v>
      </c>
      <c r="S354" t="s">
        <v>3129</v>
      </c>
      <c r="T354">
        <v>6</v>
      </c>
      <c r="U354" t="s">
        <v>89</v>
      </c>
      <c r="W354" t="s">
        <v>754</v>
      </c>
    </row>
    <row r="355" spans="1:23" outlineLevel="2" x14ac:dyDescent="0.25">
      <c r="A355" t="s">
        <v>82</v>
      </c>
      <c r="B355" t="s">
        <v>83</v>
      </c>
      <c r="C355">
        <v>30</v>
      </c>
      <c r="D355" t="s">
        <v>84</v>
      </c>
      <c r="E355">
        <v>184</v>
      </c>
      <c r="F355" t="s">
        <v>85</v>
      </c>
      <c r="G355">
        <v>8661</v>
      </c>
      <c r="H355" t="s">
        <v>39</v>
      </c>
      <c r="I355">
        <v>1000008661</v>
      </c>
      <c r="J355">
        <v>29503979</v>
      </c>
      <c r="K355" t="s">
        <v>2280</v>
      </c>
      <c r="L355" t="s">
        <v>752</v>
      </c>
      <c r="M355" t="s">
        <v>88</v>
      </c>
      <c r="N355">
        <v>88.5</v>
      </c>
      <c r="O355">
        <v>14.22</v>
      </c>
      <c r="P355">
        <v>2.2799999999999998</v>
      </c>
      <c r="Q355">
        <v>4.2561999999999998</v>
      </c>
      <c r="R355">
        <v>0.68100000000000005</v>
      </c>
      <c r="S355" t="s">
        <v>3131</v>
      </c>
      <c r="T355">
        <v>6</v>
      </c>
      <c r="U355" t="s">
        <v>89</v>
      </c>
      <c r="W355" t="s">
        <v>754</v>
      </c>
    </row>
    <row r="356" spans="1:23" outlineLevel="2" x14ac:dyDescent="0.25">
      <c r="A356" t="s">
        <v>82</v>
      </c>
      <c r="B356" t="s">
        <v>83</v>
      </c>
      <c r="C356">
        <v>30</v>
      </c>
      <c r="D356" t="s">
        <v>84</v>
      </c>
      <c r="E356">
        <v>184</v>
      </c>
      <c r="F356" t="s">
        <v>85</v>
      </c>
      <c r="G356">
        <v>8661</v>
      </c>
      <c r="H356" t="s">
        <v>39</v>
      </c>
      <c r="I356">
        <v>1000008661</v>
      </c>
      <c r="J356">
        <v>29504709</v>
      </c>
      <c r="K356" t="s">
        <v>2283</v>
      </c>
      <c r="L356" t="s">
        <v>752</v>
      </c>
      <c r="M356" t="s">
        <v>88</v>
      </c>
      <c r="N356">
        <v>45.5</v>
      </c>
      <c r="O356">
        <v>14.22</v>
      </c>
      <c r="P356">
        <v>2.2799999999999998</v>
      </c>
      <c r="Q356">
        <v>4.2561999999999998</v>
      </c>
      <c r="R356">
        <v>0.68100000000000005</v>
      </c>
      <c r="S356" t="s">
        <v>3133</v>
      </c>
      <c r="T356">
        <v>6</v>
      </c>
      <c r="U356" t="s">
        <v>89</v>
      </c>
      <c r="W356" t="s">
        <v>754</v>
      </c>
    </row>
    <row r="357" spans="1:23" outlineLevel="2" x14ac:dyDescent="0.25">
      <c r="A357" t="s">
        <v>82</v>
      </c>
      <c r="B357" t="s">
        <v>83</v>
      </c>
      <c r="C357">
        <v>30</v>
      </c>
      <c r="D357" t="s">
        <v>84</v>
      </c>
      <c r="E357">
        <v>184</v>
      </c>
      <c r="F357" t="s">
        <v>85</v>
      </c>
      <c r="G357">
        <v>8661</v>
      </c>
      <c r="H357" t="s">
        <v>39</v>
      </c>
      <c r="I357">
        <v>1000008661</v>
      </c>
      <c r="J357">
        <v>29505518</v>
      </c>
      <c r="K357" t="s">
        <v>2293</v>
      </c>
      <c r="L357" t="s">
        <v>752</v>
      </c>
      <c r="M357" t="s">
        <v>88</v>
      </c>
      <c r="N357">
        <v>82.5</v>
      </c>
      <c r="O357">
        <v>14.22</v>
      </c>
      <c r="P357">
        <v>2.2799999999999998</v>
      </c>
      <c r="Q357">
        <v>4.2561999999999998</v>
      </c>
      <c r="R357">
        <v>0.68100000000000005</v>
      </c>
      <c r="S357" t="s">
        <v>3135</v>
      </c>
      <c r="T357">
        <v>6</v>
      </c>
      <c r="U357" t="s">
        <v>89</v>
      </c>
      <c r="W357" t="s">
        <v>754</v>
      </c>
    </row>
    <row r="358" spans="1:23" outlineLevel="2" x14ac:dyDescent="0.25">
      <c r="A358" t="s">
        <v>82</v>
      </c>
      <c r="B358" t="s">
        <v>83</v>
      </c>
      <c r="C358">
        <v>30</v>
      </c>
      <c r="D358" t="s">
        <v>84</v>
      </c>
      <c r="E358">
        <v>184</v>
      </c>
      <c r="F358" t="s">
        <v>85</v>
      </c>
      <c r="G358">
        <v>8661</v>
      </c>
      <c r="H358" t="s">
        <v>39</v>
      </c>
      <c r="I358">
        <v>1000008661</v>
      </c>
      <c r="J358">
        <v>29507750</v>
      </c>
      <c r="K358" t="s">
        <v>2301</v>
      </c>
      <c r="L358" t="s">
        <v>753</v>
      </c>
      <c r="M358" t="s">
        <v>88</v>
      </c>
      <c r="N358">
        <v>319.5</v>
      </c>
      <c r="O358">
        <v>14.22</v>
      </c>
      <c r="P358">
        <v>2.2799999999999998</v>
      </c>
      <c r="Q358">
        <v>4.2561999999999998</v>
      </c>
      <c r="R358">
        <v>0.68100000000000005</v>
      </c>
      <c r="S358" t="s">
        <v>3137</v>
      </c>
      <c r="T358">
        <v>6</v>
      </c>
      <c r="U358" t="s">
        <v>89</v>
      </c>
      <c r="W358" t="s">
        <v>754</v>
      </c>
    </row>
    <row r="359" spans="1:23" outlineLevel="2" x14ac:dyDescent="0.25">
      <c r="A359" t="s">
        <v>82</v>
      </c>
      <c r="B359" t="s">
        <v>83</v>
      </c>
      <c r="C359">
        <v>30</v>
      </c>
      <c r="D359" t="s">
        <v>84</v>
      </c>
      <c r="E359">
        <v>184</v>
      </c>
      <c r="F359" t="s">
        <v>85</v>
      </c>
      <c r="G359">
        <v>8661</v>
      </c>
      <c r="H359" t="s">
        <v>39</v>
      </c>
      <c r="I359">
        <v>1000008661</v>
      </c>
      <c r="J359">
        <v>29508564</v>
      </c>
      <c r="K359" t="s">
        <v>2305</v>
      </c>
      <c r="L359" t="s">
        <v>752</v>
      </c>
      <c r="M359" t="s">
        <v>88</v>
      </c>
      <c r="N359">
        <v>102.5</v>
      </c>
      <c r="O359">
        <v>14.22</v>
      </c>
      <c r="P359">
        <v>2.2799999999999998</v>
      </c>
      <c r="Q359">
        <v>4.2561999999999998</v>
      </c>
      <c r="R359">
        <v>0.68100000000000005</v>
      </c>
      <c r="S359" t="s">
        <v>3139</v>
      </c>
      <c r="T359">
        <v>6</v>
      </c>
      <c r="U359" t="s">
        <v>89</v>
      </c>
      <c r="W359" t="s">
        <v>754</v>
      </c>
    </row>
    <row r="360" spans="1:23" outlineLevel="2" x14ac:dyDescent="0.25">
      <c r="A360" t="s">
        <v>82</v>
      </c>
      <c r="B360" t="s">
        <v>83</v>
      </c>
      <c r="C360">
        <v>30</v>
      </c>
      <c r="D360" t="s">
        <v>84</v>
      </c>
      <c r="E360">
        <v>184</v>
      </c>
      <c r="F360" t="s">
        <v>85</v>
      </c>
      <c r="G360">
        <v>8661</v>
      </c>
      <c r="H360" t="s">
        <v>39</v>
      </c>
      <c r="I360">
        <v>1000008661</v>
      </c>
      <c r="J360">
        <v>29510920</v>
      </c>
      <c r="K360" t="s">
        <v>2310</v>
      </c>
      <c r="L360" t="s">
        <v>753</v>
      </c>
      <c r="M360" t="s">
        <v>88</v>
      </c>
      <c r="N360">
        <v>59.5</v>
      </c>
      <c r="O360">
        <v>14.22</v>
      </c>
      <c r="P360">
        <v>2.2799999999999998</v>
      </c>
      <c r="Q360">
        <v>4.2561999999999998</v>
      </c>
      <c r="R360">
        <v>0.68100000000000005</v>
      </c>
      <c r="S360" t="s">
        <v>3141</v>
      </c>
      <c r="T360">
        <v>6</v>
      </c>
      <c r="U360" t="s">
        <v>89</v>
      </c>
      <c r="W360" t="s">
        <v>754</v>
      </c>
    </row>
    <row r="361" spans="1:23" outlineLevel="2" x14ac:dyDescent="0.25">
      <c r="A361" t="s">
        <v>82</v>
      </c>
      <c r="B361" t="s">
        <v>83</v>
      </c>
      <c r="C361">
        <v>30</v>
      </c>
      <c r="D361" t="s">
        <v>84</v>
      </c>
      <c r="E361">
        <v>184</v>
      </c>
      <c r="F361" t="s">
        <v>85</v>
      </c>
      <c r="G361">
        <v>8661</v>
      </c>
      <c r="H361" t="s">
        <v>39</v>
      </c>
      <c r="I361">
        <v>1000008661</v>
      </c>
      <c r="J361">
        <v>29511852</v>
      </c>
      <c r="K361" t="s">
        <v>2312</v>
      </c>
      <c r="L361" t="s">
        <v>753</v>
      </c>
      <c r="M361" t="s">
        <v>88</v>
      </c>
      <c r="N361">
        <v>182.5</v>
      </c>
      <c r="O361">
        <v>14.22</v>
      </c>
      <c r="P361">
        <v>2.2799999999999998</v>
      </c>
      <c r="Q361">
        <v>4.2561999999999998</v>
      </c>
      <c r="R361">
        <v>0.68100000000000005</v>
      </c>
      <c r="S361" t="s">
        <v>3143</v>
      </c>
      <c r="T361">
        <v>6</v>
      </c>
      <c r="U361" t="s">
        <v>89</v>
      </c>
      <c r="W361" t="s">
        <v>754</v>
      </c>
    </row>
    <row r="362" spans="1:23" outlineLevel="2" x14ac:dyDescent="0.25">
      <c r="A362" t="s">
        <v>82</v>
      </c>
      <c r="B362" t="s">
        <v>83</v>
      </c>
      <c r="C362">
        <v>30</v>
      </c>
      <c r="D362" t="s">
        <v>84</v>
      </c>
      <c r="E362">
        <v>184</v>
      </c>
      <c r="F362" t="s">
        <v>85</v>
      </c>
      <c r="G362">
        <v>8661</v>
      </c>
      <c r="H362" t="s">
        <v>39</v>
      </c>
      <c r="I362">
        <v>1000008661</v>
      </c>
      <c r="J362">
        <v>29513832</v>
      </c>
      <c r="K362" t="s">
        <v>2318</v>
      </c>
      <c r="L362" t="s">
        <v>752</v>
      </c>
      <c r="M362" t="s">
        <v>88</v>
      </c>
      <c r="N362">
        <v>72.5</v>
      </c>
      <c r="O362">
        <v>14.22</v>
      </c>
      <c r="P362">
        <v>2.2799999999999998</v>
      </c>
      <c r="Q362">
        <v>4.2561999999999998</v>
      </c>
      <c r="R362">
        <v>0.68100000000000005</v>
      </c>
      <c r="S362" t="s">
        <v>3145</v>
      </c>
      <c r="T362">
        <v>6</v>
      </c>
      <c r="U362" t="s">
        <v>89</v>
      </c>
      <c r="W362" t="s">
        <v>754</v>
      </c>
    </row>
    <row r="363" spans="1:23" outlineLevel="2" x14ac:dyDescent="0.25">
      <c r="A363" t="s">
        <v>82</v>
      </c>
      <c r="B363" t="s">
        <v>83</v>
      </c>
      <c r="C363">
        <v>30</v>
      </c>
      <c r="D363" t="s">
        <v>84</v>
      </c>
      <c r="E363">
        <v>184</v>
      </c>
      <c r="F363" t="s">
        <v>85</v>
      </c>
      <c r="G363">
        <v>8662</v>
      </c>
      <c r="H363" t="s">
        <v>36</v>
      </c>
      <c r="I363">
        <v>1000008662</v>
      </c>
      <c r="J363">
        <v>29428774</v>
      </c>
      <c r="K363" t="s">
        <v>1658</v>
      </c>
      <c r="L363" t="s">
        <v>752</v>
      </c>
      <c r="M363" t="s">
        <v>88</v>
      </c>
      <c r="N363">
        <v>79.5</v>
      </c>
      <c r="O363">
        <v>14.22</v>
      </c>
      <c r="P363">
        <v>2.2799999999999998</v>
      </c>
      <c r="Q363">
        <v>4.2561999999999998</v>
      </c>
      <c r="R363">
        <v>0.68100000000000005</v>
      </c>
      <c r="S363" t="s">
        <v>1570</v>
      </c>
      <c r="T363">
        <v>6</v>
      </c>
      <c r="U363" t="s">
        <v>89</v>
      </c>
      <c r="W363" t="s">
        <v>754</v>
      </c>
    </row>
    <row r="364" spans="1:23" outlineLevel="2" x14ac:dyDescent="0.25">
      <c r="A364" t="s">
        <v>82</v>
      </c>
      <c r="B364" t="s">
        <v>83</v>
      </c>
      <c r="C364">
        <v>30</v>
      </c>
      <c r="D364" t="s">
        <v>84</v>
      </c>
      <c r="E364">
        <v>184</v>
      </c>
      <c r="F364" t="s">
        <v>85</v>
      </c>
      <c r="G364">
        <v>8662</v>
      </c>
      <c r="H364" t="s">
        <v>36</v>
      </c>
      <c r="I364">
        <v>1000008662</v>
      </c>
      <c r="J364">
        <v>29430203</v>
      </c>
      <c r="K364" t="s">
        <v>1672</v>
      </c>
      <c r="L364" t="s">
        <v>752</v>
      </c>
      <c r="M364" t="s">
        <v>88</v>
      </c>
      <c r="N364">
        <v>44.5</v>
      </c>
      <c r="O364">
        <v>14.22</v>
      </c>
      <c r="P364">
        <v>2.2799999999999998</v>
      </c>
      <c r="Q364">
        <v>4.2561999999999998</v>
      </c>
      <c r="R364">
        <v>0.68100000000000005</v>
      </c>
      <c r="S364" t="s">
        <v>1572</v>
      </c>
      <c r="T364">
        <v>6</v>
      </c>
      <c r="U364" t="s">
        <v>89</v>
      </c>
      <c r="W364" t="s">
        <v>754</v>
      </c>
    </row>
    <row r="365" spans="1:23" outlineLevel="2" x14ac:dyDescent="0.25">
      <c r="A365" t="s">
        <v>82</v>
      </c>
      <c r="B365" t="s">
        <v>83</v>
      </c>
      <c r="C365">
        <v>30</v>
      </c>
      <c r="D365" t="s">
        <v>84</v>
      </c>
      <c r="E365">
        <v>184</v>
      </c>
      <c r="F365" t="s">
        <v>85</v>
      </c>
      <c r="G365">
        <v>8662</v>
      </c>
      <c r="H365" t="s">
        <v>36</v>
      </c>
      <c r="I365">
        <v>1000008662</v>
      </c>
      <c r="J365">
        <v>29435473</v>
      </c>
      <c r="K365" t="s">
        <v>1708</v>
      </c>
      <c r="L365" t="s">
        <v>752</v>
      </c>
      <c r="M365" t="s">
        <v>88</v>
      </c>
      <c r="N365">
        <v>95.5</v>
      </c>
      <c r="O365">
        <v>14.22</v>
      </c>
      <c r="P365">
        <v>2.2799999999999998</v>
      </c>
      <c r="Q365">
        <v>4.2561999999999998</v>
      </c>
      <c r="R365">
        <v>0.68100000000000005</v>
      </c>
      <c r="S365" t="s">
        <v>786</v>
      </c>
      <c r="T365">
        <v>6</v>
      </c>
      <c r="U365" t="s">
        <v>89</v>
      </c>
      <c r="W365" t="s">
        <v>754</v>
      </c>
    </row>
    <row r="366" spans="1:23" outlineLevel="2" x14ac:dyDescent="0.25">
      <c r="A366" t="s">
        <v>82</v>
      </c>
      <c r="B366" t="s">
        <v>83</v>
      </c>
      <c r="C366">
        <v>30</v>
      </c>
      <c r="D366" t="s">
        <v>84</v>
      </c>
      <c r="E366">
        <v>184</v>
      </c>
      <c r="F366" t="s">
        <v>85</v>
      </c>
      <c r="G366">
        <v>8662</v>
      </c>
      <c r="H366" t="s">
        <v>36</v>
      </c>
      <c r="I366">
        <v>1000008662</v>
      </c>
      <c r="J366">
        <v>29438887</v>
      </c>
      <c r="K366" t="s">
        <v>1727</v>
      </c>
      <c r="L366" t="s">
        <v>752</v>
      </c>
      <c r="M366" t="s">
        <v>88</v>
      </c>
      <c r="N366">
        <v>79.5</v>
      </c>
      <c r="O366">
        <v>14.22</v>
      </c>
      <c r="P366">
        <v>2.2799999999999998</v>
      </c>
      <c r="Q366">
        <v>4.2561999999999998</v>
      </c>
      <c r="R366">
        <v>0.68100000000000005</v>
      </c>
      <c r="S366" t="s">
        <v>432</v>
      </c>
      <c r="T366">
        <v>6</v>
      </c>
      <c r="U366" t="s">
        <v>89</v>
      </c>
      <c r="W366" t="s">
        <v>754</v>
      </c>
    </row>
    <row r="367" spans="1:23" outlineLevel="2" x14ac:dyDescent="0.25">
      <c r="A367" t="s">
        <v>82</v>
      </c>
      <c r="B367" t="s">
        <v>83</v>
      </c>
      <c r="C367">
        <v>30</v>
      </c>
      <c r="D367" t="s">
        <v>84</v>
      </c>
      <c r="E367">
        <v>184</v>
      </c>
      <c r="F367" t="s">
        <v>85</v>
      </c>
      <c r="G367">
        <v>8662</v>
      </c>
      <c r="H367" t="s">
        <v>36</v>
      </c>
      <c r="I367">
        <v>1000008662</v>
      </c>
      <c r="J367">
        <v>29439650</v>
      </c>
      <c r="K367" t="s">
        <v>1731</v>
      </c>
      <c r="L367" t="s">
        <v>752</v>
      </c>
      <c r="M367" t="s">
        <v>88</v>
      </c>
      <c r="N367">
        <v>339.5</v>
      </c>
      <c r="O367">
        <v>14.22</v>
      </c>
      <c r="P367">
        <v>2.2799999999999998</v>
      </c>
      <c r="Q367">
        <v>4.2561999999999998</v>
      </c>
      <c r="R367">
        <v>0.68100000000000005</v>
      </c>
      <c r="S367" t="s">
        <v>789</v>
      </c>
      <c r="T367">
        <v>6</v>
      </c>
      <c r="U367" t="s">
        <v>89</v>
      </c>
      <c r="W367" t="s">
        <v>754</v>
      </c>
    </row>
    <row r="368" spans="1:23" outlineLevel="2" x14ac:dyDescent="0.25">
      <c r="A368" t="s">
        <v>82</v>
      </c>
      <c r="B368" t="s">
        <v>83</v>
      </c>
      <c r="C368">
        <v>30</v>
      </c>
      <c r="D368" t="s">
        <v>84</v>
      </c>
      <c r="E368">
        <v>184</v>
      </c>
      <c r="F368" t="s">
        <v>85</v>
      </c>
      <c r="G368">
        <v>8662</v>
      </c>
      <c r="H368" t="s">
        <v>36</v>
      </c>
      <c r="I368">
        <v>1000008662</v>
      </c>
      <c r="J368">
        <v>29441311</v>
      </c>
      <c r="K368" t="s">
        <v>1742</v>
      </c>
      <c r="L368" t="s">
        <v>752</v>
      </c>
      <c r="M368" t="s">
        <v>88</v>
      </c>
      <c r="N368">
        <v>509.5</v>
      </c>
      <c r="O368">
        <v>14.22</v>
      </c>
      <c r="P368">
        <v>2.2799999999999998</v>
      </c>
      <c r="Q368">
        <v>4.2561999999999998</v>
      </c>
      <c r="R368">
        <v>0.68100000000000005</v>
      </c>
      <c r="S368" t="s">
        <v>1389</v>
      </c>
      <c r="T368">
        <v>6</v>
      </c>
      <c r="U368" t="s">
        <v>89</v>
      </c>
      <c r="W368" t="s">
        <v>754</v>
      </c>
    </row>
    <row r="369" spans="1:23" outlineLevel="2" x14ac:dyDescent="0.25">
      <c r="A369" t="s">
        <v>82</v>
      </c>
      <c r="B369" t="s">
        <v>83</v>
      </c>
      <c r="C369">
        <v>30</v>
      </c>
      <c r="D369" t="s">
        <v>84</v>
      </c>
      <c r="E369">
        <v>184</v>
      </c>
      <c r="F369" t="s">
        <v>85</v>
      </c>
      <c r="G369">
        <v>8662</v>
      </c>
      <c r="H369" t="s">
        <v>36</v>
      </c>
      <c r="I369">
        <v>1000008662</v>
      </c>
      <c r="J369">
        <v>29442148</v>
      </c>
      <c r="K369" t="s">
        <v>1748</v>
      </c>
      <c r="L369" t="s">
        <v>753</v>
      </c>
      <c r="M369" t="s">
        <v>88</v>
      </c>
      <c r="N369">
        <v>62.5</v>
      </c>
      <c r="O369">
        <v>14.22</v>
      </c>
      <c r="P369">
        <v>2.2799999999999998</v>
      </c>
      <c r="Q369">
        <v>4.2561999999999998</v>
      </c>
      <c r="R369">
        <v>0.68100000000000005</v>
      </c>
      <c r="S369" t="s">
        <v>1391</v>
      </c>
      <c r="T369">
        <v>6</v>
      </c>
      <c r="U369" t="s">
        <v>89</v>
      </c>
      <c r="W369" t="s">
        <v>754</v>
      </c>
    </row>
    <row r="370" spans="1:23" outlineLevel="2" x14ac:dyDescent="0.25">
      <c r="A370" t="s">
        <v>82</v>
      </c>
      <c r="B370" t="s">
        <v>83</v>
      </c>
      <c r="C370">
        <v>30</v>
      </c>
      <c r="D370" t="s">
        <v>84</v>
      </c>
      <c r="E370">
        <v>184</v>
      </c>
      <c r="F370" t="s">
        <v>85</v>
      </c>
      <c r="G370">
        <v>8662</v>
      </c>
      <c r="H370" t="s">
        <v>36</v>
      </c>
      <c r="I370">
        <v>1000008662</v>
      </c>
      <c r="J370">
        <v>29443145</v>
      </c>
      <c r="K370" t="s">
        <v>1756</v>
      </c>
      <c r="L370" t="s">
        <v>752</v>
      </c>
      <c r="M370" t="s">
        <v>88</v>
      </c>
      <c r="N370">
        <v>339.5</v>
      </c>
      <c r="O370">
        <v>14.22</v>
      </c>
      <c r="P370">
        <v>2.2799999999999998</v>
      </c>
      <c r="Q370">
        <v>4.2561999999999998</v>
      </c>
      <c r="R370">
        <v>0.68100000000000005</v>
      </c>
      <c r="S370" t="s">
        <v>1393</v>
      </c>
      <c r="T370">
        <v>6</v>
      </c>
      <c r="U370" t="s">
        <v>89</v>
      </c>
      <c r="W370" t="s">
        <v>754</v>
      </c>
    </row>
    <row r="371" spans="1:23" outlineLevel="2" x14ac:dyDescent="0.25">
      <c r="A371" t="s">
        <v>82</v>
      </c>
      <c r="B371" t="s">
        <v>83</v>
      </c>
      <c r="C371">
        <v>30</v>
      </c>
      <c r="D371" t="s">
        <v>84</v>
      </c>
      <c r="E371">
        <v>184</v>
      </c>
      <c r="F371" t="s">
        <v>85</v>
      </c>
      <c r="G371">
        <v>8662</v>
      </c>
      <c r="H371" t="s">
        <v>36</v>
      </c>
      <c r="I371">
        <v>1000008662</v>
      </c>
      <c r="J371">
        <v>29444580</v>
      </c>
      <c r="K371" t="s">
        <v>1766</v>
      </c>
      <c r="L371" t="s">
        <v>753</v>
      </c>
      <c r="M371" t="s">
        <v>88</v>
      </c>
      <c r="N371">
        <v>169.5</v>
      </c>
      <c r="O371">
        <v>14.22</v>
      </c>
      <c r="P371">
        <v>2.2799999999999998</v>
      </c>
      <c r="Q371">
        <v>4.2561999999999998</v>
      </c>
      <c r="R371">
        <v>0.68100000000000005</v>
      </c>
      <c r="S371" t="s">
        <v>1395</v>
      </c>
      <c r="T371">
        <v>6</v>
      </c>
      <c r="U371" t="s">
        <v>89</v>
      </c>
      <c r="W371" t="s">
        <v>754</v>
      </c>
    </row>
    <row r="372" spans="1:23" outlineLevel="2" x14ac:dyDescent="0.25">
      <c r="A372" t="s">
        <v>82</v>
      </c>
      <c r="B372" t="s">
        <v>83</v>
      </c>
      <c r="C372">
        <v>30</v>
      </c>
      <c r="D372" t="s">
        <v>84</v>
      </c>
      <c r="E372">
        <v>184</v>
      </c>
      <c r="F372" t="s">
        <v>85</v>
      </c>
      <c r="G372">
        <v>8662</v>
      </c>
      <c r="H372" t="s">
        <v>36</v>
      </c>
      <c r="I372">
        <v>1000008662</v>
      </c>
      <c r="J372">
        <v>29445055</v>
      </c>
      <c r="K372" t="s">
        <v>1777</v>
      </c>
      <c r="L372" t="s">
        <v>752</v>
      </c>
      <c r="M372" t="s">
        <v>88</v>
      </c>
      <c r="N372">
        <v>149.5</v>
      </c>
      <c r="O372">
        <v>14.22</v>
      </c>
      <c r="P372">
        <v>2.2799999999999998</v>
      </c>
      <c r="Q372">
        <v>4.2561999999999998</v>
      </c>
      <c r="R372">
        <v>0.68100000000000005</v>
      </c>
      <c r="S372" t="s">
        <v>1397</v>
      </c>
      <c r="T372">
        <v>6</v>
      </c>
      <c r="U372" t="s">
        <v>89</v>
      </c>
      <c r="W372" t="s">
        <v>754</v>
      </c>
    </row>
    <row r="373" spans="1:23" outlineLevel="2" x14ac:dyDescent="0.25">
      <c r="A373" t="s">
        <v>82</v>
      </c>
      <c r="B373" t="s">
        <v>83</v>
      </c>
      <c r="C373">
        <v>30</v>
      </c>
      <c r="D373" t="s">
        <v>84</v>
      </c>
      <c r="E373">
        <v>184</v>
      </c>
      <c r="F373" t="s">
        <v>85</v>
      </c>
      <c r="G373">
        <v>8662</v>
      </c>
      <c r="H373" t="s">
        <v>36</v>
      </c>
      <c r="I373">
        <v>1000008662</v>
      </c>
      <c r="J373">
        <v>29451704</v>
      </c>
      <c r="K373" t="s">
        <v>1820</v>
      </c>
      <c r="L373" t="s">
        <v>752</v>
      </c>
      <c r="M373" t="s">
        <v>88</v>
      </c>
      <c r="N373">
        <v>107.5</v>
      </c>
      <c r="O373">
        <v>14.22</v>
      </c>
      <c r="P373">
        <v>2.2799999999999998</v>
      </c>
      <c r="Q373">
        <v>4.2561999999999998</v>
      </c>
      <c r="R373">
        <v>0.68100000000000005</v>
      </c>
      <c r="S373" t="s">
        <v>1152</v>
      </c>
      <c r="T373">
        <v>6</v>
      </c>
      <c r="U373" t="s">
        <v>89</v>
      </c>
      <c r="W373" t="s">
        <v>754</v>
      </c>
    </row>
    <row r="374" spans="1:23" outlineLevel="2" x14ac:dyDescent="0.25">
      <c r="A374" t="s">
        <v>82</v>
      </c>
      <c r="B374" t="s">
        <v>83</v>
      </c>
      <c r="C374">
        <v>30</v>
      </c>
      <c r="D374" t="s">
        <v>84</v>
      </c>
      <c r="E374">
        <v>184</v>
      </c>
      <c r="F374" t="s">
        <v>85</v>
      </c>
      <c r="G374">
        <v>8662</v>
      </c>
      <c r="H374" t="s">
        <v>36</v>
      </c>
      <c r="I374">
        <v>1000008662</v>
      </c>
      <c r="J374">
        <v>29452305</v>
      </c>
      <c r="K374" t="s">
        <v>1822</v>
      </c>
      <c r="L374" t="s">
        <v>752</v>
      </c>
      <c r="M374" t="s">
        <v>88</v>
      </c>
      <c r="N374">
        <v>400.5</v>
      </c>
      <c r="O374">
        <v>14.22</v>
      </c>
      <c r="P374">
        <v>2.2799999999999998</v>
      </c>
      <c r="Q374">
        <v>4.2561999999999998</v>
      </c>
      <c r="R374">
        <v>0.68100000000000005</v>
      </c>
      <c r="S374" t="s">
        <v>1154</v>
      </c>
      <c r="T374">
        <v>6</v>
      </c>
      <c r="U374" t="s">
        <v>89</v>
      </c>
      <c r="W374" t="s">
        <v>754</v>
      </c>
    </row>
    <row r="375" spans="1:23" outlineLevel="2" x14ac:dyDescent="0.25">
      <c r="A375" t="s">
        <v>82</v>
      </c>
      <c r="B375" t="s">
        <v>83</v>
      </c>
      <c r="C375">
        <v>30</v>
      </c>
      <c r="D375" t="s">
        <v>84</v>
      </c>
      <c r="E375">
        <v>184</v>
      </c>
      <c r="F375" t="s">
        <v>85</v>
      </c>
      <c r="G375">
        <v>8662</v>
      </c>
      <c r="H375" t="s">
        <v>36</v>
      </c>
      <c r="I375">
        <v>1000008662</v>
      </c>
      <c r="J375">
        <v>29452681</v>
      </c>
      <c r="K375" t="s">
        <v>1823</v>
      </c>
      <c r="L375" t="s">
        <v>753</v>
      </c>
      <c r="M375" t="s">
        <v>88</v>
      </c>
      <c r="N375">
        <v>247.5</v>
      </c>
      <c r="O375">
        <v>14.22</v>
      </c>
      <c r="P375">
        <v>2.2799999999999998</v>
      </c>
      <c r="Q375">
        <v>4.2561999999999998</v>
      </c>
      <c r="R375">
        <v>0.68100000000000005</v>
      </c>
      <c r="S375" t="s">
        <v>1156</v>
      </c>
      <c r="T375">
        <v>6</v>
      </c>
      <c r="U375" t="s">
        <v>89</v>
      </c>
      <c r="W375" t="s">
        <v>754</v>
      </c>
    </row>
    <row r="376" spans="1:23" outlineLevel="2" x14ac:dyDescent="0.25">
      <c r="A376" t="s">
        <v>82</v>
      </c>
      <c r="B376" t="s">
        <v>83</v>
      </c>
      <c r="C376">
        <v>30</v>
      </c>
      <c r="D376" t="s">
        <v>84</v>
      </c>
      <c r="E376">
        <v>184</v>
      </c>
      <c r="F376" t="s">
        <v>85</v>
      </c>
      <c r="G376">
        <v>8662</v>
      </c>
      <c r="H376" t="s">
        <v>36</v>
      </c>
      <c r="I376">
        <v>1000008662</v>
      </c>
      <c r="J376">
        <v>29454660</v>
      </c>
      <c r="K376" t="s">
        <v>1832</v>
      </c>
      <c r="L376" t="s">
        <v>752</v>
      </c>
      <c r="M376" t="s">
        <v>88</v>
      </c>
      <c r="N376">
        <v>134.5</v>
      </c>
      <c r="O376">
        <v>14.22</v>
      </c>
      <c r="P376">
        <v>2.2799999999999998</v>
      </c>
      <c r="Q376">
        <v>4.2561999999999998</v>
      </c>
      <c r="R376">
        <v>0.68100000000000005</v>
      </c>
      <c r="S376" t="s">
        <v>1158</v>
      </c>
      <c r="T376">
        <v>6</v>
      </c>
      <c r="U376" t="s">
        <v>89</v>
      </c>
      <c r="W376" t="s">
        <v>754</v>
      </c>
    </row>
    <row r="377" spans="1:23" outlineLevel="2" x14ac:dyDescent="0.25">
      <c r="A377" t="s">
        <v>82</v>
      </c>
      <c r="B377" t="s">
        <v>83</v>
      </c>
      <c r="C377">
        <v>30</v>
      </c>
      <c r="D377" t="s">
        <v>84</v>
      </c>
      <c r="E377">
        <v>184</v>
      </c>
      <c r="F377" t="s">
        <v>85</v>
      </c>
      <c r="G377">
        <v>8662</v>
      </c>
      <c r="H377" t="s">
        <v>36</v>
      </c>
      <c r="I377">
        <v>1000008662</v>
      </c>
      <c r="J377">
        <v>29457717</v>
      </c>
      <c r="K377" t="s">
        <v>1841</v>
      </c>
      <c r="L377" t="s">
        <v>753</v>
      </c>
      <c r="M377" t="s">
        <v>88</v>
      </c>
      <c r="N377">
        <v>317.5</v>
      </c>
      <c r="O377">
        <v>14.22</v>
      </c>
      <c r="P377">
        <v>2.2799999999999998</v>
      </c>
      <c r="Q377">
        <v>4.2561999999999998</v>
      </c>
      <c r="R377">
        <v>0.68100000000000005</v>
      </c>
      <c r="S377" t="s">
        <v>1160</v>
      </c>
      <c r="T377">
        <v>6</v>
      </c>
      <c r="U377" t="s">
        <v>89</v>
      </c>
      <c r="W377" t="s">
        <v>754</v>
      </c>
    </row>
    <row r="378" spans="1:23" outlineLevel="2" x14ac:dyDescent="0.25">
      <c r="A378" t="s">
        <v>82</v>
      </c>
      <c r="B378" t="s">
        <v>83</v>
      </c>
      <c r="C378">
        <v>30</v>
      </c>
      <c r="D378" t="s">
        <v>84</v>
      </c>
      <c r="E378">
        <v>184</v>
      </c>
      <c r="F378" t="s">
        <v>85</v>
      </c>
      <c r="G378">
        <v>8662</v>
      </c>
      <c r="H378" t="s">
        <v>36</v>
      </c>
      <c r="I378">
        <v>1000008662</v>
      </c>
      <c r="J378">
        <v>29459636</v>
      </c>
      <c r="K378" t="s">
        <v>1852</v>
      </c>
      <c r="L378" t="s">
        <v>752</v>
      </c>
      <c r="M378" t="s">
        <v>88</v>
      </c>
      <c r="N378">
        <v>174.5</v>
      </c>
      <c r="O378">
        <v>14.22</v>
      </c>
      <c r="P378">
        <v>2.2799999999999998</v>
      </c>
      <c r="Q378">
        <v>4.2561999999999998</v>
      </c>
      <c r="R378">
        <v>0.68100000000000005</v>
      </c>
      <c r="S378" t="s">
        <v>1162</v>
      </c>
      <c r="T378">
        <v>6</v>
      </c>
      <c r="U378" t="s">
        <v>89</v>
      </c>
      <c r="W378" t="s">
        <v>754</v>
      </c>
    </row>
    <row r="379" spans="1:23" outlineLevel="2" x14ac:dyDescent="0.25">
      <c r="A379" t="s">
        <v>82</v>
      </c>
      <c r="B379" t="s">
        <v>83</v>
      </c>
      <c r="C379">
        <v>30</v>
      </c>
      <c r="D379" t="s">
        <v>84</v>
      </c>
      <c r="E379">
        <v>184</v>
      </c>
      <c r="F379" t="s">
        <v>85</v>
      </c>
      <c r="G379">
        <v>8662</v>
      </c>
      <c r="H379" t="s">
        <v>36</v>
      </c>
      <c r="I379">
        <v>1000008662</v>
      </c>
      <c r="J379">
        <v>29459991</v>
      </c>
      <c r="K379" t="s">
        <v>1856</v>
      </c>
      <c r="L379" t="s">
        <v>752</v>
      </c>
      <c r="M379" t="s">
        <v>88</v>
      </c>
      <c r="N379">
        <v>457.5</v>
      </c>
      <c r="O379">
        <v>14.22</v>
      </c>
      <c r="P379">
        <v>2.2799999999999998</v>
      </c>
      <c r="Q379">
        <v>4.2561999999999998</v>
      </c>
      <c r="R379">
        <v>0.68100000000000005</v>
      </c>
      <c r="S379" t="s">
        <v>1164</v>
      </c>
      <c r="T379">
        <v>6</v>
      </c>
      <c r="U379" t="s">
        <v>89</v>
      </c>
      <c r="W379" t="s">
        <v>754</v>
      </c>
    </row>
    <row r="380" spans="1:23" outlineLevel="2" x14ac:dyDescent="0.25">
      <c r="A380" t="s">
        <v>82</v>
      </c>
      <c r="B380" t="s">
        <v>83</v>
      </c>
      <c r="C380">
        <v>30</v>
      </c>
      <c r="D380" t="s">
        <v>84</v>
      </c>
      <c r="E380">
        <v>184</v>
      </c>
      <c r="F380" t="s">
        <v>85</v>
      </c>
      <c r="G380">
        <v>8662</v>
      </c>
      <c r="H380" t="s">
        <v>36</v>
      </c>
      <c r="I380">
        <v>1000008662</v>
      </c>
      <c r="J380">
        <v>29460101</v>
      </c>
      <c r="K380" t="s">
        <v>1858</v>
      </c>
      <c r="L380" t="s">
        <v>752</v>
      </c>
      <c r="M380" t="s">
        <v>88</v>
      </c>
      <c r="N380">
        <v>227.5</v>
      </c>
      <c r="O380">
        <v>14.22</v>
      </c>
      <c r="P380">
        <v>2.2799999999999998</v>
      </c>
      <c r="Q380">
        <v>4.2561999999999998</v>
      </c>
      <c r="R380">
        <v>0.68100000000000005</v>
      </c>
      <c r="S380" t="s">
        <v>1166</v>
      </c>
      <c r="T380">
        <v>6</v>
      </c>
      <c r="U380" t="s">
        <v>89</v>
      </c>
      <c r="W380" t="s">
        <v>754</v>
      </c>
    </row>
    <row r="381" spans="1:23" outlineLevel="2" x14ac:dyDescent="0.25">
      <c r="A381" t="s">
        <v>82</v>
      </c>
      <c r="B381" t="s">
        <v>83</v>
      </c>
      <c r="C381">
        <v>30</v>
      </c>
      <c r="D381" t="s">
        <v>84</v>
      </c>
      <c r="E381">
        <v>184</v>
      </c>
      <c r="F381" t="s">
        <v>85</v>
      </c>
      <c r="G381">
        <v>8662</v>
      </c>
      <c r="H381" t="s">
        <v>36</v>
      </c>
      <c r="I381">
        <v>1000008662</v>
      </c>
      <c r="J381">
        <v>29460203</v>
      </c>
      <c r="K381" t="s">
        <v>1859</v>
      </c>
      <c r="L381" t="s">
        <v>752</v>
      </c>
      <c r="M381" t="s">
        <v>88</v>
      </c>
      <c r="N381">
        <v>420.5</v>
      </c>
      <c r="O381">
        <v>14.22</v>
      </c>
      <c r="P381">
        <v>2.2799999999999998</v>
      </c>
      <c r="Q381">
        <v>4.2561999999999998</v>
      </c>
      <c r="R381">
        <v>0.68100000000000005</v>
      </c>
      <c r="S381" t="s">
        <v>1168</v>
      </c>
      <c r="T381">
        <v>6</v>
      </c>
      <c r="U381" t="s">
        <v>89</v>
      </c>
      <c r="W381" t="s">
        <v>754</v>
      </c>
    </row>
    <row r="382" spans="1:23" outlineLevel="2" x14ac:dyDescent="0.25">
      <c r="A382" t="s">
        <v>82</v>
      </c>
      <c r="B382" t="s">
        <v>83</v>
      </c>
      <c r="C382">
        <v>30</v>
      </c>
      <c r="D382" t="s">
        <v>84</v>
      </c>
      <c r="E382">
        <v>184</v>
      </c>
      <c r="F382" t="s">
        <v>85</v>
      </c>
      <c r="G382">
        <v>8662</v>
      </c>
      <c r="H382" t="s">
        <v>36</v>
      </c>
      <c r="I382">
        <v>1000008662</v>
      </c>
      <c r="J382">
        <v>29460703</v>
      </c>
      <c r="K382" t="s">
        <v>1863</v>
      </c>
      <c r="L382" t="s">
        <v>752</v>
      </c>
      <c r="M382" t="s">
        <v>88</v>
      </c>
      <c r="N382">
        <v>63.5</v>
      </c>
      <c r="O382">
        <v>14.22</v>
      </c>
      <c r="P382">
        <v>2.2799999999999998</v>
      </c>
      <c r="Q382">
        <v>4.2561999999999998</v>
      </c>
      <c r="R382">
        <v>0.68100000000000005</v>
      </c>
      <c r="S382" t="s">
        <v>1170</v>
      </c>
      <c r="T382">
        <v>6</v>
      </c>
      <c r="U382" t="s">
        <v>89</v>
      </c>
      <c r="W382" t="s">
        <v>754</v>
      </c>
    </row>
    <row r="383" spans="1:23" outlineLevel="2" x14ac:dyDescent="0.25">
      <c r="A383" t="s">
        <v>82</v>
      </c>
      <c r="B383" t="s">
        <v>83</v>
      </c>
      <c r="C383">
        <v>30</v>
      </c>
      <c r="D383" t="s">
        <v>84</v>
      </c>
      <c r="E383">
        <v>184</v>
      </c>
      <c r="F383" t="s">
        <v>85</v>
      </c>
      <c r="G383">
        <v>8662</v>
      </c>
      <c r="H383" t="s">
        <v>36</v>
      </c>
      <c r="I383">
        <v>1000008662</v>
      </c>
      <c r="J383">
        <v>29464463</v>
      </c>
      <c r="K383" t="s">
        <v>1880</v>
      </c>
      <c r="L383" t="s">
        <v>752</v>
      </c>
      <c r="M383" t="s">
        <v>88</v>
      </c>
      <c r="N383">
        <v>96.5</v>
      </c>
      <c r="O383">
        <v>14.22</v>
      </c>
      <c r="P383">
        <v>2.2799999999999998</v>
      </c>
      <c r="Q383">
        <v>4.2561999999999998</v>
      </c>
      <c r="R383">
        <v>0.68100000000000005</v>
      </c>
      <c r="S383" t="s">
        <v>1172</v>
      </c>
      <c r="T383">
        <v>6</v>
      </c>
      <c r="U383" t="s">
        <v>89</v>
      </c>
      <c r="W383" t="s">
        <v>754</v>
      </c>
    </row>
    <row r="384" spans="1:23" outlineLevel="2" x14ac:dyDescent="0.25">
      <c r="A384" t="s">
        <v>82</v>
      </c>
      <c r="B384" t="s">
        <v>83</v>
      </c>
      <c r="C384">
        <v>30</v>
      </c>
      <c r="D384" t="s">
        <v>84</v>
      </c>
      <c r="E384">
        <v>184</v>
      </c>
      <c r="F384" t="s">
        <v>85</v>
      </c>
      <c r="G384">
        <v>8662</v>
      </c>
      <c r="H384" t="s">
        <v>36</v>
      </c>
      <c r="I384">
        <v>1000008662</v>
      </c>
      <c r="J384">
        <v>29465868</v>
      </c>
      <c r="K384" t="s">
        <v>1886</v>
      </c>
      <c r="L384" t="s">
        <v>752</v>
      </c>
      <c r="M384" t="s">
        <v>88</v>
      </c>
      <c r="N384">
        <v>383.5</v>
      </c>
      <c r="O384">
        <v>14.22</v>
      </c>
      <c r="P384">
        <v>2.2799999999999998</v>
      </c>
      <c r="Q384">
        <v>4.2561999999999998</v>
      </c>
      <c r="R384">
        <v>0.68100000000000005</v>
      </c>
      <c r="S384" t="s">
        <v>1174</v>
      </c>
      <c r="T384">
        <v>6</v>
      </c>
      <c r="U384" t="s">
        <v>89</v>
      </c>
      <c r="W384" t="s">
        <v>754</v>
      </c>
    </row>
    <row r="385" spans="1:23" outlineLevel="2" x14ac:dyDescent="0.25">
      <c r="A385" t="s">
        <v>82</v>
      </c>
      <c r="B385" t="s">
        <v>83</v>
      </c>
      <c r="C385">
        <v>30</v>
      </c>
      <c r="D385" t="s">
        <v>84</v>
      </c>
      <c r="E385">
        <v>184</v>
      </c>
      <c r="F385" t="s">
        <v>85</v>
      </c>
      <c r="G385">
        <v>8662</v>
      </c>
      <c r="H385" t="s">
        <v>36</v>
      </c>
      <c r="I385">
        <v>1000008662</v>
      </c>
      <c r="J385">
        <v>29466927</v>
      </c>
      <c r="K385" t="s">
        <v>1891</v>
      </c>
      <c r="L385" t="s">
        <v>752</v>
      </c>
      <c r="M385" t="s">
        <v>88</v>
      </c>
      <c r="N385">
        <v>65.5</v>
      </c>
      <c r="O385">
        <v>14.22</v>
      </c>
      <c r="P385">
        <v>2.2799999999999998</v>
      </c>
      <c r="Q385">
        <v>4.2561999999999998</v>
      </c>
      <c r="R385">
        <v>0.68100000000000005</v>
      </c>
      <c r="S385" t="s">
        <v>1176</v>
      </c>
      <c r="T385">
        <v>6</v>
      </c>
      <c r="U385" t="s">
        <v>89</v>
      </c>
      <c r="W385" t="s">
        <v>754</v>
      </c>
    </row>
    <row r="386" spans="1:23" outlineLevel="2" x14ac:dyDescent="0.25">
      <c r="A386" t="s">
        <v>82</v>
      </c>
      <c r="B386" t="s">
        <v>83</v>
      </c>
      <c r="C386">
        <v>30</v>
      </c>
      <c r="D386" t="s">
        <v>84</v>
      </c>
      <c r="E386">
        <v>184</v>
      </c>
      <c r="F386" t="s">
        <v>85</v>
      </c>
      <c r="G386">
        <v>8662</v>
      </c>
      <c r="H386" t="s">
        <v>36</v>
      </c>
      <c r="I386">
        <v>1000008662</v>
      </c>
      <c r="J386">
        <v>29467104</v>
      </c>
      <c r="K386" t="s">
        <v>1893</v>
      </c>
      <c r="L386" t="s">
        <v>752</v>
      </c>
      <c r="M386" t="s">
        <v>88</v>
      </c>
      <c r="N386">
        <v>84.5</v>
      </c>
      <c r="O386">
        <v>14.22</v>
      </c>
      <c r="P386">
        <v>2.2799999999999998</v>
      </c>
      <c r="Q386">
        <v>4.2561999999999998</v>
      </c>
      <c r="R386">
        <v>0.68100000000000005</v>
      </c>
      <c r="S386" t="s">
        <v>1178</v>
      </c>
      <c r="T386">
        <v>6</v>
      </c>
      <c r="U386" t="s">
        <v>89</v>
      </c>
      <c r="W386" t="s">
        <v>754</v>
      </c>
    </row>
    <row r="387" spans="1:23" outlineLevel="2" x14ac:dyDescent="0.25">
      <c r="A387" t="s">
        <v>82</v>
      </c>
      <c r="B387" t="s">
        <v>83</v>
      </c>
      <c r="C387">
        <v>30</v>
      </c>
      <c r="D387" t="s">
        <v>84</v>
      </c>
      <c r="E387">
        <v>184</v>
      </c>
      <c r="F387" t="s">
        <v>85</v>
      </c>
      <c r="G387">
        <v>8662</v>
      </c>
      <c r="H387" t="s">
        <v>36</v>
      </c>
      <c r="I387">
        <v>1000008662</v>
      </c>
      <c r="J387">
        <v>29468045</v>
      </c>
      <c r="K387" t="s">
        <v>1901</v>
      </c>
      <c r="L387" t="s">
        <v>752</v>
      </c>
      <c r="M387" t="s">
        <v>88</v>
      </c>
      <c r="N387">
        <v>239.5</v>
      </c>
      <c r="O387">
        <v>14.22</v>
      </c>
      <c r="P387">
        <v>2.2799999999999998</v>
      </c>
      <c r="Q387">
        <v>4.2561999999999998</v>
      </c>
      <c r="R387">
        <v>0.68100000000000005</v>
      </c>
      <c r="S387" t="s">
        <v>1180</v>
      </c>
      <c r="T387">
        <v>6</v>
      </c>
      <c r="U387" t="s">
        <v>89</v>
      </c>
      <c r="W387" t="s">
        <v>754</v>
      </c>
    </row>
    <row r="388" spans="1:23" outlineLevel="2" x14ac:dyDescent="0.25">
      <c r="A388" t="s">
        <v>82</v>
      </c>
      <c r="B388" t="s">
        <v>83</v>
      </c>
      <c r="C388">
        <v>30</v>
      </c>
      <c r="D388" t="s">
        <v>84</v>
      </c>
      <c r="E388">
        <v>184</v>
      </c>
      <c r="F388" t="s">
        <v>85</v>
      </c>
      <c r="G388">
        <v>8662</v>
      </c>
      <c r="H388" t="s">
        <v>36</v>
      </c>
      <c r="I388">
        <v>1000008662</v>
      </c>
      <c r="J388">
        <v>29468233</v>
      </c>
      <c r="K388" t="s">
        <v>1902</v>
      </c>
      <c r="L388" t="s">
        <v>752</v>
      </c>
      <c r="M388" t="s">
        <v>88</v>
      </c>
      <c r="N388">
        <v>156.5</v>
      </c>
      <c r="O388">
        <v>14.22</v>
      </c>
      <c r="P388">
        <v>2.2799999999999998</v>
      </c>
      <c r="Q388">
        <v>4.2561999999999998</v>
      </c>
      <c r="R388">
        <v>0.68100000000000005</v>
      </c>
      <c r="S388" t="s">
        <v>1182</v>
      </c>
      <c r="T388">
        <v>6</v>
      </c>
      <c r="U388" t="s">
        <v>89</v>
      </c>
      <c r="W388" t="s">
        <v>754</v>
      </c>
    </row>
    <row r="389" spans="1:23" outlineLevel="2" x14ac:dyDescent="0.25">
      <c r="A389" t="s">
        <v>82</v>
      </c>
      <c r="B389" t="s">
        <v>83</v>
      </c>
      <c r="C389">
        <v>30</v>
      </c>
      <c r="D389" t="s">
        <v>84</v>
      </c>
      <c r="E389">
        <v>184</v>
      </c>
      <c r="F389" t="s">
        <v>85</v>
      </c>
      <c r="G389">
        <v>8662</v>
      </c>
      <c r="H389" t="s">
        <v>36</v>
      </c>
      <c r="I389">
        <v>1000008662</v>
      </c>
      <c r="J389">
        <v>29468443</v>
      </c>
      <c r="K389" t="s">
        <v>1905</v>
      </c>
      <c r="L389" t="s">
        <v>752</v>
      </c>
      <c r="M389" t="s">
        <v>88</v>
      </c>
      <c r="N389">
        <v>109.5</v>
      </c>
      <c r="O389">
        <v>14.22</v>
      </c>
      <c r="P389">
        <v>2.2799999999999998</v>
      </c>
      <c r="Q389">
        <v>4.2561999999999998</v>
      </c>
      <c r="R389">
        <v>0.68100000000000005</v>
      </c>
      <c r="S389" t="s">
        <v>1184</v>
      </c>
      <c r="T389">
        <v>6</v>
      </c>
      <c r="U389" t="s">
        <v>89</v>
      </c>
      <c r="W389" t="s">
        <v>754</v>
      </c>
    </row>
    <row r="390" spans="1:23" outlineLevel="2" x14ac:dyDescent="0.25">
      <c r="A390" s="8" t="s">
        <v>82</v>
      </c>
      <c r="B390" s="8" t="s">
        <v>83</v>
      </c>
      <c r="C390" s="8">
        <v>30</v>
      </c>
      <c r="D390" s="8" t="s">
        <v>84</v>
      </c>
      <c r="E390" s="8">
        <v>184</v>
      </c>
      <c r="F390" s="8" t="s">
        <v>85</v>
      </c>
      <c r="G390" s="8">
        <v>8662</v>
      </c>
      <c r="H390" s="8" t="s">
        <v>36</v>
      </c>
      <c r="I390" s="8">
        <v>1000008662</v>
      </c>
      <c r="J390" s="8">
        <v>29468694</v>
      </c>
      <c r="K390" s="8" t="s">
        <v>1908</v>
      </c>
      <c r="L390" s="8" t="s">
        <v>752</v>
      </c>
      <c r="M390" s="8" t="s">
        <v>88</v>
      </c>
      <c r="N390" s="8">
        <v>174.5</v>
      </c>
      <c r="O390" s="8">
        <v>14.22</v>
      </c>
      <c r="P390" s="8">
        <v>2.2799999999999998</v>
      </c>
      <c r="Q390" s="8">
        <v>4.2561999999999998</v>
      </c>
      <c r="R390" s="8">
        <v>0.68100000000000005</v>
      </c>
      <c r="S390" s="8" t="s">
        <v>1263</v>
      </c>
      <c r="T390" s="8">
        <v>6</v>
      </c>
      <c r="U390" s="8" t="s">
        <v>89</v>
      </c>
      <c r="V390" s="8"/>
      <c r="W390" t="s">
        <v>754</v>
      </c>
    </row>
    <row r="391" spans="1:23" outlineLevel="2" x14ac:dyDescent="0.25">
      <c r="A391" t="s">
        <v>82</v>
      </c>
      <c r="B391" t="s">
        <v>83</v>
      </c>
      <c r="C391">
        <v>30</v>
      </c>
      <c r="D391" t="s">
        <v>84</v>
      </c>
      <c r="E391">
        <v>184</v>
      </c>
      <c r="F391" t="s">
        <v>85</v>
      </c>
      <c r="G391">
        <v>8662</v>
      </c>
      <c r="H391" t="s">
        <v>36</v>
      </c>
      <c r="I391">
        <v>1000008662</v>
      </c>
      <c r="J391">
        <v>29469358</v>
      </c>
      <c r="K391" t="s">
        <v>1918</v>
      </c>
      <c r="L391" t="s">
        <v>752</v>
      </c>
      <c r="M391" t="s">
        <v>88</v>
      </c>
      <c r="N391">
        <v>136.5</v>
      </c>
      <c r="O391">
        <v>14.22</v>
      </c>
      <c r="P391">
        <v>2.2799999999999998</v>
      </c>
      <c r="Q391">
        <v>4.2561999999999998</v>
      </c>
      <c r="R391">
        <v>0.68100000000000005</v>
      </c>
      <c r="S391" t="s">
        <v>1186</v>
      </c>
      <c r="T391">
        <v>6</v>
      </c>
      <c r="U391" t="s">
        <v>89</v>
      </c>
      <c r="W391" t="s">
        <v>754</v>
      </c>
    </row>
    <row r="392" spans="1:23" outlineLevel="2" x14ac:dyDescent="0.25">
      <c r="A392" t="s">
        <v>82</v>
      </c>
      <c r="B392" t="s">
        <v>83</v>
      </c>
      <c r="C392">
        <v>30</v>
      </c>
      <c r="D392" t="s">
        <v>84</v>
      </c>
      <c r="E392">
        <v>184</v>
      </c>
      <c r="F392" t="s">
        <v>85</v>
      </c>
      <c r="G392">
        <v>8662</v>
      </c>
      <c r="H392" t="s">
        <v>36</v>
      </c>
      <c r="I392">
        <v>1000008662</v>
      </c>
      <c r="J392">
        <v>29469375</v>
      </c>
      <c r="K392" t="s">
        <v>1919</v>
      </c>
      <c r="L392" t="s">
        <v>752</v>
      </c>
      <c r="M392" t="s">
        <v>88</v>
      </c>
      <c r="N392">
        <v>127.5</v>
      </c>
      <c r="O392">
        <v>14.22</v>
      </c>
      <c r="P392">
        <v>2.2799999999999998</v>
      </c>
      <c r="Q392">
        <v>4.2561999999999998</v>
      </c>
      <c r="R392">
        <v>0.68100000000000005</v>
      </c>
      <c r="S392" t="s">
        <v>1188</v>
      </c>
      <c r="T392">
        <v>6</v>
      </c>
      <c r="U392" t="s">
        <v>89</v>
      </c>
      <c r="W392" t="s">
        <v>754</v>
      </c>
    </row>
    <row r="393" spans="1:23" outlineLevel="2" x14ac:dyDescent="0.25">
      <c r="A393" t="s">
        <v>82</v>
      </c>
      <c r="B393" t="s">
        <v>83</v>
      </c>
      <c r="C393">
        <v>30</v>
      </c>
      <c r="D393" t="s">
        <v>84</v>
      </c>
      <c r="E393">
        <v>184</v>
      </c>
      <c r="F393" t="s">
        <v>85</v>
      </c>
      <c r="G393">
        <v>8662</v>
      </c>
      <c r="H393" t="s">
        <v>36</v>
      </c>
      <c r="I393">
        <v>1000008662</v>
      </c>
      <c r="J393">
        <v>29470292</v>
      </c>
      <c r="K393" t="s">
        <v>1939</v>
      </c>
      <c r="L393" t="s">
        <v>752</v>
      </c>
      <c r="M393" t="s">
        <v>88</v>
      </c>
      <c r="N393">
        <v>161.5</v>
      </c>
      <c r="O393">
        <v>14.22</v>
      </c>
      <c r="P393">
        <v>2.2799999999999998</v>
      </c>
      <c r="Q393">
        <v>4.2561999999999998</v>
      </c>
      <c r="R393">
        <v>0.68100000000000005</v>
      </c>
      <c r="S393" t="s">
        <v>3147</v>
      </c>
      <c r="T393">
        <v>6</v>
      </c>
      <c r="U393" t="s">
        <v>89</v>
      </c>
      <c r="W393" t="s">
        <v>754</v>
      </c>
    </row>
    <row r="394" spans="1:23" outlineLevel="2" x14ac:dyDescent="0.25">
      <c r="A394" t="s">
        <v>82</v>
      </c>
      <c r="B394" t="s">
        <v>83</v>
      </c>
      <c r="C394">
        <v>30</v>
      </c>
      <c r="D394" t="s">
        <v>84</v>
      </c>
      <c r="E394">
        <v>184</v>
      </c>
      <c r="F394" t="s">
        <v>85</v>
      </c>
      <c r="G394">
        <v>8662</v>
      </c>
      <c r="H394" t="s">
        <v>36</v>
      </c>
      <c r="I394">
        <v>1000008662</v>
      </c>
      <c r="J394">
        <v>29470357</v>
      </c>
      <c r="K394" t="s">
        <v>1940</v>
      </c>
      <c r="L394" t="s">
        <v>752</v>
      </c>
      <c r="M394" t="s">
        <v>88</v>
      </c>
      <c r="N394">
        <v>505.5</v>
      </c>
      <c r="O394">
        <v>14.22</v>
      </c>
      <c r="P394">
        <v>2.2799999999999998</v>
      </c>
      <c r="Q394">
        <v>4.2561999999999998</v>
      </c>
      <c r="R394">
        <v>0.68100000000000005</v>
      </c>
      <c r="S394" t="s">
        <v>3149</v>
      </c>
      <c r="T394">
        <v>6</v>
      </c>
      <c r="U394" t="s">
        <v>89</v>
      </c>
      <c r="W394" t="s">
        <v>754</v>
      </c>
    </row>
    <row r="395" spans="1:23" outlineLevel="2" x14ac:dyDescent="0.25">
      <c r="A395" t="s">
        <v>82</v>
      </c>
      <c r="B395" t="s">
        <v>83</v>
      </c>
      <c r="C395">
        <v>30</v>
      </c>
      <c r="D395" t="s">
        <v>84</v>
      </c>
      <c r="E395">
        <v>184</v>
      </c>
      <c r="F395" t="s">
        <v>85</v>
      </c>
      <c r="G395">
        <v>8662</v>
      </c>
      <c r="H395" t="s">
        <v>36</v>
      </c>
      <c r="I395">
        <v>1000008662</v>
      </c>
      <c r="J395">
        <v>29470539</v>
      </c>
      <c r="K395" t="s">
        <v>1944</v>
      </c>
      <c r="L395" t="s">
        <v>752</v>
      </c>
      <c r="M395" t="s">
        <v>88</v>
      </c>
      <c r="N395">
        <v>171.5</v>
      </c>
      <c r="O395">
        <v>14.22</v>
      </c>
      <c r="P395">
        <v>2.2799999999999998</v>
      </c>
      <c r="Q395">
        <v>4.2561999999999998</v>
      </c>
      <c r="R395">
        <v>0.68100000000000005</v>
      </c>
      <c r="S395" t="s">
        <v>3151</v>
      </c>
      <c r="T395">
        <v>6</v>
      </c>
      <c r="U395" t="s">
        <v>89</v>
      </c>
      <c r="W395" t="s">
        <v>754</v>
      </c>
    </row>
    <row r="396" spans="1:23" outlineLevel="2" x14ac:dyDescent="0.25">
      <c r="A396" t="s">
        <v>82</v>
      </c>
      <c r="B396" t="s">
        <v>83</v>
      </c>
      <c r="C396">
        <v>30</v>
      </c>
      <c r="D396" t="s">
        <v>84</v>
      </c>
      <c r="E396">
        <v>184</v>
      </c>
      <c r="F396" t="s">
        <v>85</v>
      </c>
      <c r="G396">
        <v>8662</v>
      </c>
      <c r="H396" t="s">
        <v>36</v>
      </c>
      <c r="I396">
        <v>1000008662</v>
      </c>
      <c r="J396">
        <v>29470962</v>
      </c>
      <c r="K396" t="s">
        <v>1955</v>
      </c>
      <c r="L396" t="s">
        <v>752</v>
      </c>
      <c r="M396" t="s">
        <v>88</v>
      </c>
      <c r="N396">
        <v>461.5</v>
      </c>
      <c r="O396">
        <v>14.22</v>
      </c>
      <c r="P396">
        <v>2.2799999999999998</v>
      </c>
      <c r="Q396">
        <v>4.2561999999999998</v>
      </c>
      <c r="R396">
        <v>0.68100000000000005</v>
      </c>
      <c r="S396" t="s">
        <v>3153</v>
      </c>
      <c r="T396">
        <v>6</v>
      </c>
      <c r="U396" t="s">
        <v>89</v>
      </c>
      <c r="W396" t="s">
        <v>754</v>
      </c>
    </row>
    <row r="397" spans="1:23" outlineLevel="2" x14ac:dyDescent="0.25">
      <c r="A397" t="s">
        <v>82</v>
      </c>
      <c r="B397" t="s">
        <v>83</v>
      </c>
      <c r="C397">
        <v>30</v>
      </c>
      <c r="D397" t="s">
        <v>84</v>
      </c>
      <c r="E397">
        <v>184</v>
      </c>
      <c r="F397" t="s">
        <v>85</v>
      </c>
      <c r="G397">
        <v>8662</v>
      </c>
      <c r="H397" t="s">
        <v>36</v>
      </c>
      <c r="I397">
        <v>1000008662</v>
      </c>
      <c r="J397">
        <v>29471072</v>
      </c>
      <c r="K397" t="s">
        <v>1957</v>
      </c>
      <c r="L397" t="s">
        <v>752</v>
      </c>
      <c r="M397" t="s">
        <v>88</v>
      </c>
      <c r="N397">
        <v>802.5</v>
      </c>
      <c r="O397">
        <v>14.22</v>
      </c>
      <c r="P397">
        <v>2.2799999999999998</v>
      </c>
      <c r="Q397">
        <v>4.2561999999999998</v>
      </c>
      <c r="R397">
        <v>0.68100000000000005</v>
      </c>
      <c r="S397" t="s">
        <v>3155</v>
      </c>
      <c r="T397">
        <v>6</v>
      </c>
      <c r="U397" t="s">
        <v>89</v>
      </c>
      <c r="W397" t="s">
        <v>754</v>
      </c>
    </row>
    <row r="398" spans="1:23" outlineLevel="2" x14ac:dyDescent="0.25">
      <c r="A398" t="s">
        <v>82</v>
      </c>
      <c r="B398" t="s">
        <v>83</v>
      </c>
      <c r="C398">
        <v>30</v>
      </c>
      <c r="D398" t="s">
        <v>84</v>
      </c>
      <c r="E398">
        <v>184</v>
      </c>
      <c r="F398" t="s">
        <v>85</v>
      </c>
      <c r="G398">
        <v>8662</v>
      </c>
      <c r="H398" t="s">
        <v>36</v>
      </c>
      <c r="I398">
        <v>1000008662</v>
      </c>
      <c r="J398">
        <v>29471243</v>
      </c>
      <c r="K398" t="s">
        <v>1958</v>
      </c>
      <c r="L398" t="s">
        <v>752</v>
      </c>
      <c r="M398" t="s">
        <v>88</v>
      </c>
      <c r="N398">
        <v>187.5</v>
      </c>
      <c r="O398">
        <v>14.22</v>
      </c>
      <c r="P398">
        <v>2.2799999999999998</v>
      </c>
      <c r="Q398">
        <v>4.2561999999999998</v>
      </c>
      <c r="R398">
        <v>0.68100000000000005</v>
      </c>
      <c r="S398" t="s">
        <v>3157</v>
      </c>
      <c r="T398">
        <v>6</v>
      </c>
      <c r="U398" t="s">
        <v>89</v>
      </c>
      <c r="W398" t="s">
        <v>754</v>
      </c>
    </row>
    <row r="399" spans="1:23" outlineLevel="2" x14ac:dyDescent="0.25">
      <c r="A399" t="s">
        <v>82</v>
      </c>
      <c r="B399" t="s">
        <v>83</v>
      </c>
      <c r="C399">
        <v>30</v>
      </c>
      <c r="D399" t="s">
        <v>84</v>
      </c>
      <c r="E399">
        <v>184</v>
      </c>
      <c r="F399" t="s">
        <v>85</v>
      </c>
      <c r="G399">
        <v>8662</v>
      </c>
      <c r="H399" t="s">
        <v>36</v>
      </c>
      <c r="I399">
        <v>1000008662</v>
      </c>
      <c r="J399">
        <v>29471452</v>
      </c>
      <c r="K399" t="s">
        <v>1960</v>
      </c>
      <c r="L399" t="s">
        <v>752</v>
      </c>
      <c r="M399" t="s">
        <v>88</v>
      </c>
      <c r="N399">
        <v>88.5</v>
      </c>
      <c r="O399">
        <v>14.22</v>
      </c>
      <c r="P399">
        <v>2.2799999999999998</v>
      </c>
      <c r="Q399">
        <v>4.2561999999999998</v>
      </c>
      <c r="R399">
        <v>0.68100000000000005</v>
      </c>
      <c r="S399" t="s">
        <v>3159</v>
      </c>
      <c r="T399">
        <v>6</v>
      </c>
      <c r="U399" t="s">
        <v>89</v>
      </c>
      <c r="W399" t="s">
        <v>754</v>
      </c>
    </row>
    <row r="400" spans="1:23" outlineLevel="2" x14ac:dyDescent="0.25">
      <c r="A400" t="s">
        <v>82</v>
      </c>
      <c r="B400" t="s">
        <v>83</v>
      </c>
      <c r="C400">
        <v>30</v>
      </c>
      <c r="D400" t="s">
        <v>84</v>
      </c>
      <c r="E400">
        <v>184</v>
      </c>
      <c r="F400" t="s">
        <v>85</v>
      </c>
      <c r="G400">
        <v>8662</v>
      </c>
      <c r="H400" t="s">
        <v>36</v>
      </c>
      <c r="I400">
        <v>1000008662</v>
      </c>
      <c r="J400">
        <v>29471597</v>
      </c>
      <c r="K400" t="s">
        <v>1963</v>
      </c>
      <c r="L400" t="s">
        <v>752</v>
      </c>
      <c r="M400" t="s">
        <v>88</v>
      </c>
      <c r="N400">
        <v>113.5</v>
      </c>
      <c r="O400">
        <v>14.22</v>
      </c>
      <c r="P400">
        <v>2.2799999999999998</v>
      </c>
      <c r="Q400">
        <v>4.2561999999999998</v>
      </c>
      <c r="R400">
        <v>0.68100000000000005</v>
      </c>
      <c r="S400" t="s">
        <v>3161</v>
      </c>
      <c r="T400">
        <v>6</v>
      </c>
      <c r="U400" t="s">
        <v>89</v>
      </c>
      <c r="W400" t="s">
        <v>754</v>
      </c>
    </row>
    <row r="401" spans="1:23" outlineLevel="2" x14ac:dyDescent="0.25">
      <c r="A401" t="s">
        <v>82</v>
      </c>
      <c r="B401" t="s">
        <v>83</v>
      </c>
      <c r="C401">
        <v>30</v>
      </c>
      <c r="D401" t="s">
        <v>84</v>
      </c>
      <c r="E401">
        <v>184</v>
      </c>
      <c r="F401" t="s">
        <v>85</v>
      </c>
      <c r="G401">
        <v>8662</v>
      </c>
      <c r="H401" t="s">
        <v>36</v>
      </c>
      <c r="I401">
        <v>1000008662</v>
      </c>
      <c r="J401">
        <v>29471722</v>
      </c>
      <c r="K401" t="s">
        <v>1964</v>
      </c>
      <c r="L401" t="s">
        <v>752</v>
      </c>
      <c r="M401" t="s">
        <v>88</v>
      </c>
      <c r="N401">
        <v>137.5</v>
      </c>
      <c r="O401">
        <v>14.22</v>
      </c>
      <c r="P401">
        <v>2.2799999999999998</v>
      </c>
      <c r="Q401">
        <v>4.2561999999999998</v>
      </c>
      <c r="R401">
        <v>0.68100000000000005</v>
      </c>
      <c r="S401" t="s">
        <v>3163</v>
      </c>
      <c r="T401">
        <v>6</v>
      </c>
      <c r="U401" t="s">
        <v>89</v>
      </c>
      <c r="W401" t="s">
        <v>754</v>
      </c>
    </row>
    <row r="402" spans="1:23" outlineLevel="2" x14ac:dyDescent="0.25">
      <c r="A402" t="s">
        <v>82</v>
      </c>
      <c r="B402" t="s">
        <v>83</v>
      </c>
      <c r="C402">
        <v>30</v>
      </c>
      <c r="D402" t="s">
        <v>84</v>
      </c>
      <c r="E402">
        <v>184</v>
      </c>
      <c r="F402" t="s">
        <v>85</v>
      </c>
      <c r="G402">
        <v>8662</v>
      </c>
      <c r="H402" t="s">
        <v>36</v>
      </c>
      <c r="I402">
        <v>1000008662</v>
      </c>
      <c r="J402">
        <v>29472472</v>
      </c>
      <c r="K402" t="s">
        <v>1976</v>
      </c>
      <c r="L402" t="s">
        <v>752</v>
      </c>
      <c r="M402" t="s">
        <v>88</v>
      </c>
      <c r="N402">
        <v>44.5</v>
      </c>
      <c r="O402">
        <v>14.22</v>
      </c>
      <c r="P402">
        <v>2.2799999999999998</v>
      </c>
      <c r="Q402">
        <v>4.2561999999999998</v>
      </c>
      <c r="R402">
        <v>0.68100000000000005</v>
      </c>
      <c r="S402" t="s">
        <v>3165</v>
      </c>
      <c r="T402">
        <v>6</v>
      </c>
      <c r="U402" t="s">
        <v>89</v>
      </c>
      <c r="W402" t="s">
        <v>754</v>
      </c>
    </row>
    <row r="403" spans="1:23" outlineLevel="2" x14ac:dyDescent="0.25">
      <c r="A403" t="s">
        <v>82</v>
      </c>
      <c r="B403" t="s">
        <v>83</v>
      </c>
      <c r="C403">
        <v>30</v>
      </c>
      <c r="D403" t="s">
        <v>84</v>
      </c>
      <c r="E403">
        <v>184</v>
      </c>
      <c r="F403" t="s">
        <v>85</v>
      </c>
      <c r="G403">
        <v>8662</v>
      </c>
      <c r="H403" t="s">
        <v>36</v>
      </c>
      <c r="I403">
        <v>1000008662</v>
      </c>
      <c r="J403">
        <v>29472731</v>
      </c>
      <c r="K403" t="s">
        <v>1981</v>
      </c>
      <c r="L403" t="s">
        <v>752</v>
      </c>
      <c r="M403" t="s">
        <v>88</v>
      </c>
      <c r="N403">
        <v>110.5</v>
      </c>
      <c r="O403">
        <v>14.22</v>
      </c>
      <c r="P403">
        <v>2.2799999999999998</v>
      </c>
      <c r="Q403">
        <v>4.2561999999999998</v>
      </c>
      <c r="R403">
        <v>0.68100000000000005</v>
      </c>
      <c r="S403" t="s">
        <v>3167</v>
      </c>
      <c r="T403">
        <v>6</v>
      </c>
      <c r="U403" t="s">
        <v>89</v>
      </c>
      <c r="W403" t="s">
        <v>754</v>
      </c>
    </row>
    <row r="404" spans="1:23" outlineLevel="2" x14ac:dyDescent="0.25">
      <c r="A404" t="s">
        <v>82</v>
      </c>
      <c r="B404" t="s">
        <v>83</v>
      </c>
      <c r="C404">
        <v>30</v>
      </c>
      <c r="D404" t="s">
        <v>84</v>
      </c>
      <c r="E404">
        <v>184</v>
      </c>
      <c r="F404" t="s">
        <v>85</v>
      </c>
      <c r="G404">
        <v>8662</v>
      </c>
      <c r="H404" t="s">
        <v>36</v>
      </c>
      <c r="I404">
        <v>1000008662</v>
      </c>
      <c r="J404">
        <v>29472910</v>
      </c>
      <c r="K404" t="s">
        <v>1987</v>
      </c>
      <c r="L404" t="s">
        <v>752</v>
      </c>
      <c r="M404" t="s">
        <v>88</v>
      </c>
      <c r="N404">
        <v>234.5</v>
      </c>
      <c r="O404">
        <v>14.22</v>
      </c>
      <c r="P404">
        <v>2.2799999999999998</v>
      </c>
      <c r="Q404">
        <v>4.2561999999999998</v>
      </c>
      <c r="R404">
        <v>0.68100000000000005</v>
      </c>
      <c r="S404" t="s">
        <v>3169</v>
      </c>
      <c r="T404">
        <v>6</v>
      </c>
      <c r="U404" t="s">
        <v>89</v>
      </c>
      <c r="W404" t="s">
        <v>754</v>
      </c>
    </row>
    <row r="405" spans="1:23" outlineLevel="2" x14ac:dyDescent="0.25">
      <c r="A405" t="s">
        <v>82</v>
      </c>
      <c r="B405" t="s">
        <v>83</v>
      </c>
      <c r="C405">
        <v>30</v>
      </c>
      <c r="D405" t="s">
        <v>84</v>
      </c>
      <c r="E405">
        <v>184</v>
      </c>
      <c r="F405" t="s">
        <v>85</v>
      </c>
      <c r="G405">
        <v>8662</v>
      </c>
      <c r="H405" t="s">
        <v>36</v>
      </c>
      <c r="I405">
        <v>1000008662</v>
      </c>
      <c r="J405">
        <v>29473063</v>
      </c>
      <c r="K405" t="s">
        <v>1993</v>
      </c>
      <c r="L405" t="s">
        <v>752</v>
      </c>
      <c r="M405" t="s">
        <v>88</v>
      </c>
      <c r="N405">
        <v>307.5</v>
      </c>
      <c r="O405">
        <v>14.22</v>
      </c>
      <c r="P405">
        <v>2.2799999999999998</v>
      </c>
      <c r="Q405">
        <v>4.2561999999999998</v>
      </c>
      <c r="R405">
        <v>0.68100000000000005</v>
      </c>
      <c r="S405" t="s">
        <v>3171</v>
      </c>
      <c r="T405">
        <v>6</v>
      </c>
      <c r="U405" t="s">
        <v>89</v>
      </c>
      <c r="W405" t="s">
        <v>754</v>
      </c>
    </row>
    <row r="406" spans="1:23" outlineLevel="2" x14ac:dyDescent="0.25">
      <c r="A406" t="s">
        <v>82</v>
      </c>
      <c r="B406" t="s">
        <v>83</v>
      </c>
      <c r="C406">
        <v>30</v>
      </c>
      <c r="D406" t="s">
        <v>84</v>
      </c>
      <c r="E406">
        <v>184</v>
      </c>
      <c r="F406" t="s">
        <v>85</v>
      </c>
      <c r="G406">
        <v>8662</v>
      </c>
      <c r="H406" t="s">
        <v>36</v>
      </c>
      <c r="I406">
        <v>1000008662</v>
      </c>
      <c r="J406">
        <v>29473218</v>
      </c>
      <c r="K406" t="s">
        <v>1995</v>
      </c>
      <c r="L406" t="s">
        <v>752</v>
      </c>
      <c r="M406" t="s">
        <v>88</v>
      </c>
      <c r="N406">
        <v>121.5</v>
      </c>
      <c r="O406">
        <v>14.22</v>
      </c>
      <c r="P406">
        <v>2.2799999999999998</v>
      </c>
      <c r="Q406">
        <v>4.2561999999999998</v>
      </c>
      <c r="R406">
        <v>0.68100000000000005</v>
      </c>
      <c r="S406" t="s">
        <v>3173</v>
      </c>
      <c r="T406">
        <v>6</v>
      </c>
      <c r="U406" t="s">
        <v>89</v>
      </c>
      <c r="W406" t="s">
        <v>754</v>
      </c>
    </row>
    <row r="407" spans="1:23" outlineLevel="2" x14ac:dyDescent="0.25">
      <c r="A407" t="s">
        <v>82</v>
      </c>
      <c r="B407" t="s">
        <v>83</v>
      </c>
      <c r="C407">
        <v>30</v>
      </c>
      <c r="D407" t="s">
        <v>84</v>
      </c>
      <c r="E407">
        <v>184</v>
      </c>
      <c r="F407" t="s">
        <v>85</v>
      </c>
      <c r="G407">
        <v>8662</v>
      </c>
      <c r="H407" t="s">
        <v>36</v>
      </c>
      <c r="I407">
        <v>1000008662</v>
      </c>
      <c r="J407">
        <v>29473441</v>
      </c>
      <c r="K407" t="s">
        <v>2000</v>
      </c>
      <c r="L407" t="s">
        <v>752</v>
      </c>
      <c r="M407" t="s">
        <v>88</v>
      </c>
      <c r="N407">
        <v>166.5</v>
      </c>
      <c r="O407">
        <v>14.22</v>
      </c>
      <c r="P407">
        <v>2.2799999999999998</v>
      </c>
      <c r="Q407">
        <v>4.2561999999999998</v>
      </c>
      <c r="R407">
        <v>0.68100000000000005</v>
      </c>
      <c r="S407" t="s">
        <v>3175</v>
      </c>
      <c r="T407">
        <v>6</v>
      </c>
      <c r="U407" t="s">
        <v>89</v>
      </c>
      <c r="W407" t="s">
        <v>754</v>
      </c>
    </row>
    <row r="408" spans="1:23" outlineLevel="2" x14ac:dyDescent="0.25">
      <c r="A408" t="s">
        <v>82</v>
      </c>
      <c r="B408" t="s">
        <v>83</v>
      </c>
      <c r="C408">
        <v>30</v>
      </c>
      <c r="D408" t="s">
        <v>84</v>
      </c>
      <c r="E408">
        <v>184</v>
      </c>
      <c r="F408" t="s">
        <v>85</v>
      </c>
      <c r="G408">
        <v>8662</v>
      </c>
      <c r="H408" t="s">
        <v>36</v>
      </c>
      <c r="I408">
        <v>1000008662</v>
      </c>
      <c r="J408">
        <v>29473641</v>
      </c>
      <c r="K408" t="s">
        <v>2004</v>
      </c>
      <c r="L408" t="s">
        <v>752</v>
      </c>
      <c r="M408" t="s">
        <v>88</v>
      </c>
      <c r="N408">
        <v>143.5</v>
      </c>
      <c r="O408">
        <v>14.22</v>
      </c>
      <c r="P408">
        <v>2.2799999999999998</v>
      </c>
      <c r="Q408">
        <v>4.2561999999999998</v>
      </c>
      <c r="R408">
        <v>0.68100000000000005</v>
      </c>
      <c r="S408" t="s">
        <v>3177</v>
      </c>
      <c r="T408">
        <v>6</v>
      </c>
      <c r="U408" t="s">
        <v>89</v>
      </c>
      <c r="W408" t="s">
        <v>754</v>
      </c>
    </row>
    <row r="409" spans="1:23" outlineLevel="2" x14ac:dyDescent="0.25">
      <c r="A409" t="s">
        <v>82</v>
      </c>
      <c r="B409" t="s">
        <v>83</v>
      </c>
      <c r="C409">
        <v>30</v>
      </c>
      <c r="D409" t="s">
        <v>84</v>
      </c>
      <c r="E409">
        <v>184</v>
      </c>
      <c r="F409" t="s">
        <v>85</v>
      </c>
      <c r="G409">
        <v>8662</v>
      </c>
      <c r="H409" t="s">
        <v>36</v>
      </c>
      <c r="I409">
        <v>1000008662</v>
      </c>
      <c r="J409">
        <v>29473798</v>
      </c>
      <c r="K409" t="s">
        <v>2007</v>
      </c>
      <c r="L409" t="s">
        <v>752</v>
      </c>
      <c r="M409" t="s">
        <v>88</v>
      </c>
      <c r="N409">
        <v>70.5</v>
      </c>
      <c r="O409">
        <v>14.22</v>
      </c>
      <c r="P409">
        <v>2.2799999999999998</v>
      </c>
      <c r="Q409">
        <v>4.2561999999999998</v>
      </c>
      <c r="R409">
        <v>0.68100000000000005</v>
      </c>
      <c r="S409" t="s">
        <v>3179</v>
      </c>
      <c r="T409">
        <v>6</v>
      </c>
      <c r="U409" t="s">
        <v>89</v>
      </c>
      <c r="W409" t="s">
        <v>754</v>
      </c>
    </row>
    <row r="410" spans="1:23" outlineLevel="2" x14ac:dyDescent="0.25">
      <c r="A410" t="s">
        <v>82</v>
      </c>
      <c r="B410" t="s">
        <v>83</v>
      </c>
      <c r="C410">
        <v>30</v>
      </c>
      <c r="D410" t="s">
        <v>84</v>
      </c>
      <c r="E410">
        <v>184</v>
      </c>
      <c r="F410" t="s">
        <v>85</v>
      </c>
      <c r="G410">
        <v>8662</v>
      </c>
      <c r="H410" t="s">
        <v>36</v>
      </c>
      <c r="I410">
        <v>1000008662</v>
      </c>
      <c r="J410">
        <v>29474453</v>
      </c>
      <c r="K410" t="s">
        <v>2019</v>
      </c>
      <c r="L410" t="s">
        <v>752</v>
      </c>
      <c r="M410" t="s">
        <v>88</v>
      </c>
      <c r="N410">
        <v>670.5</v>
      </c>
      <c r="O410">
        <v>14.22</v>
      </c>
      <c r="P410">
        <v>2.2799999999999998</v>
      </c>
      <c r="Q410">
        <v>4.2561999999999998</v>
      </c>
      <c r="R410">
        <v>0.68100000000000005</v>
      </c>
      <c r="S410" t="s">
        <v>3181</v>
      </c>
      <c r="T410">
        <v>6</v>
      </c>
      <c r="U410" t="s">
        <v>89</v>
      </c>
      <c r="W410" t="s">
        <v>754</v>
      </c>
    </row>
    <row r="411" spans="1:23" outlineLevel="2" x14ac:dyDescent="0.25">
      <c r="A411" t="s">
        <v>82</v>
      </c>
      <c r="B411" t="s">
        <v>83</v>
      </c>
      <c r="C411">
        <v>30</v>
      </c>
      <c r="D411" t="s">
        <v>84</v>
      </c>
      <c r="E411">
        <v>184</v>
      </c>
      <c r="F411" t="s">
        <v>85</v>
      </c>
      <c r="G411">
        <v>8662</v>
      </c>
      <c r="H411" t="s">
        <v>36</v>
      </c>
      <c r="I411">
        <v>1000008662</v>
      </c>
      <c r="J411">
        <v>29474623</v>
      </c>
      <c r="K411" t="s">
        <v>2020</v>
      </c>
      <c r="L411" t="s">
        <v>752</v>
      </c>
      <c r="M411" t="s">
        <v>88</v>
      </c>
      <c r="N411">
        <v>116.5</v>
      </c>
      <c r="O411">
        <v>14.22</v>
      </c>
      <c r="P411">
        <v>2.2799999999999998</v>
      </c>
      <c r="Q411">
        <v>4.2561999999999998</v>
      </c>
      <c r="R411">
        <v>0.68100000000000005</v>
      </c>
      <c r="S411" t="s">
        <v>3183</v>
      </c>
      <c r="T411">
        <v>6</v>
      </c>
      <c r="U411" t="s">
        <v>89</v>
      </c>
      <c r="W411" t="s">
        <v>754</v>
      </c>
    </row>
    <row r="412" spans="1:23" outlineLevel="2" x14ac:dyDescent="0.25">
      <c r="A412" t="s">
        <v>82</v>
      </c>
      <c r="B412" t="s">
        <v>83</v>
      </c>
      <c r="C412">
        <v>30</v>
      </c>
      <c r="D412" t="s">
        <v>84</v>
      </c>
      <c r="E412">
        <v>184</v>
      </c>
      <c r="F412" t="s">
        <v>85</v>
      </c>
      <c r="G412">
        <v>8662</v>
      </c>
      <c r="H412" t="s">
        <v>36</v>
      </c>
      <c r="I412">
        <v>1000008662</v>
      </c>
      <c r="J412">
        <v>29475314</v>
      </c>
      <c r="K412" t="s">
        <v>2029</v>
      </c>
      <c r="L412" t="s">
        <v>752</v>
      </c>
      <c r="M412" t="s">
        <v>88</v>
      </c>
      <c r="N412">
        <v>131.5</v>
      </c>
      <c r="O412">
        <v>14.22</v>
      </c>
      <c r="P412">
        <v>2.2799999999999998</v>
      </c>
      <c r="Q412">
        <v>4.2561999999999998</v>
      </c>
      <c r="R412">
        <v>0.68100000000000005</v>
      </c>
      <c r="S412" t="s">
        <v>3185</v>
      </c>
      <c r="T412">
        <v>6</v>
      </c>
      <c r="U412" t="s">
        <v>89</v>
      </c>
      <c r="W412" t="s">
        <v>754</v>
      </c>
    </row>
    <row r="413" spans="1:23" outlineLevel="2" x14ac:dyDescent="0.25">
      <c r="A413" t="s">
        <v>82</v>
      </c>
      <c r="B413" t="s">
        <v>83</v>
      </c>
      <c r="C413">
        <v>30</v>
      </c>
      <c r="D413" t="s">
        <v>84</v>
      </c>
      <c r="E413">
        <v>184</v>
      </c>
      <c r="F413" t="s">
        <v>85</v>
      </c>
      <c r="G413">
        <v>8662</v>
      </c>
      <c r="H413" t="s">
        <v>36</v>
      </c>
      <c r="I413">
        <v>1000008662</v>
      </c>
      <c r="J413">
        <v>29475494</v>
      </c>
      <c r="K413" t="s">
        <v>2031</v>
      </c>
      <c r="L413" t="s">
        <v>752</v>
      </c>
      <c r="M413" t="s">
        <v>88</v>
      </c>
      <c r="N413">
        <v>146.5</v>
      </c>
      <c r="O413">
        <v>14.22</v>
      </c>
      <c r="P413">
        <v>2.2799999999999998</v>
      </c>
      <c r="Q413">
        <v>4.2561999999999998</v>
      </c>
      <c r="R413">
        <v>0.68100000000000005</v>
      </c>
      <c r="S413" t="s">
        <v>597</v>
      </c>
      <c r="T413">
        <v>6</v>
      </c>
      <c r="U413" t="s">
        <v>89</v>
      </c>
      <c r="W413" t="s">
        <v>754</v>
      </c>
    </row>
    <row r="414" spans="1:23" outlineLevel="2" x14ac:dyDescent="0.25">
      <c r="A414" t="s">
        <v>82</v>
      </c>
      <c r="B414" t="s">
        <v>83</v>
      </c>
      <c r="C414">
        <v>30</v>
      </c>
      <c r="D414" t="s">
        <v>84</v>
      </c>
      <c r="E414">
        <v>184</v>
      </c>
      <c r="F414" t="s">
        <v>85</v>
      </c>
      <c r="G414">
        <v>8662</v>
      </c>
      <c r="H414" t="s">
        <v>36</v>
      </c>
      <c r="I414">
        <v>1000008662</v>
      </c>
      <c r="J414">
        <v>29475673</v>
      </c>
      <c r="K414" t="s">
        <v>2037</v>
      </c>
      <c r="L414" t="s">
        <v>752</v>
      </c>
      <c r="M414" t="s">
        <v>88</v>
      </c>
      <c r="N414">
        <v>63.5</v>
      </c>
      <c r="O414">
        <v>14.22</v>
      </c>
      <c r="P414">
        <v>2.2799999999999998</v>
      </c>
      <c r="Q414">
        <v>4.2561999999999998</v>
      </c>
      <c r="R414">
        <v>0.68100000000000005</v>
      </c>
      <c r="S414" t="s">
        <v>3188</v>
      </c>
      <c r="T414">
        <v>6</v>
      </c>
      <c r="U414" t="s">
        <v>89</v>
      </c>
      <c r="W414" t="s">
        <v>754</v>
      </c>
    </row>
    <row r="415" spans="1:23" outlineLevel="2" x14ac:dyDescent="0.25">
      <c r="A415" t="s">
        <v>82</v>
      </c>
      <c r="B415" t="s">
        <v>83</v>
      </c>
      <c r="C415">
        <v>30</v>
      </c>
      <c r="D415" t="s">
        <v>84</v>
      </c>
      <c r="E415">
        <v>184</v>
      </c>
      <c r="F415" t="s">
        <v>85</v>
      </c>
      <c r="G415">
        <v>8662</v>
      </c>
      <c r="H415" t="s">
        <v>36</v>
      </c>
      <c r="I415">
        <v>1000008662</v>
      </c>
      <c r="J415">
        <v>29476210</v>
      </c>
      <c r="K415" t="s">
        <v>2045</v>
      </c>
      <c r="L415" t="s">
        <v>752</v>
      </c>
      <c r="M415" t="s">
        <v>88</v>
      </c>
      <c r="N415">
        <v>45.5</v>
      </c>
      <c r="O415">
        <v>14.22</v>
      </c>
      <c r="P415">
        <v>2.2799999999999998</v>
      </c>
      <c r="Q415">
        <v>4.2561999999999998</v>
      </c>
      <c r="R415">
        <v>0.68100000000000005</v>
      </c>
      <c r="S415" t="s">
        <v>3190</v>
      </c>
      <c r="T415">
        <v>6</v>
      </c>
      <c r="U415" t="s">
        <v>89</v>
      </c>
      <c r="W415" t="s">
        <v>754</v>
      </c>
    </row>
    <row r="416" spans="1:23" outlineLevel="2" x14ac:dyDescent="0.25">
      <c r="A416" t="s">
        <v>82</v>
      </c>
      <c r="B416" t="s">
        <v>83</v>
      </c>
      <c r="C416">
        <v>30</v>
      </c>
      <c r="D416" t="s">
        <v>84</v>
      </c>
      <c r="E416">
        <v>184</v>
      </c>
      <c r="F416" t="s">
        <v>85</v>
      </c>
      <c r="G416">
        <v>8662</v>
      </c>
      <c r="H416" t="s">
        <v>36</v>
      </c>
      <c r="I416">
        <v>1000008662</v>
      </c>
      <c r="J416">
        <v>29476514</v>
      </c>
      <c r="K416" t="s">
        <v>2049</v>
      </c>
      <c r="L416" t="s">
        <v>752</v>
      </c>
      <c r="M416" t="s">
        <v>88</v>
      </c>
      <c r="N416">
        <v>536.5</v>
      </c>
      <c r="O416">
        <v>14.22</v>
      </c>
      <c r="P416">
        <v>2.2799999999999998</v>
      </c>
      <c r="Q416">
        <v>4.2561999999999998</v>
      </c>
      <c r="R416">
        <v>0.68100000000000005</v>
      </c>
      <c r="S416" t="s">
        <v>3192</v>
      </c>
      <c r="T416">
        <v>6</v>
      </c>
      <c r="U416" t="s">
        <v>89</v>
      </c>
      <c r="W416" t="s">
        <v>754</v>
      </c>
    </row>
    <row r="417" spans="1:23" outlineLevel="2" x14ac:dyDescent="0.25">
      <c r="A417" t="s">
        <v>82</v>
      </c>
      <c r="B417" t="s">
        <v>83</v>
      </c>
      <c r="C417">
        <v>30</v>
      </c>
      <c r="D417" t="s">
        <v>84</v>
      </c>
      <c r="E417">
        <v>184</v>
      </c>
      <c r="F417" t="s">
        <v>85</v>
      </c>
      <c r="G417">
        <v>8662</v>
      </c>
      <c r="H417" t="s">
        <v>36</v>
      </c>
      <c r="I417">
        <v>1000008662</v>
      </c>
      <c r="J417">
        <v>29476975</v>
      </c>
      <c r="K417" t="s">
        <v>2055</v>
      </c>
      <c r="L417" t="s">
        <v>752</v>
      </c>
      <c r="M417" t="s">
        <v>88</v>
      </c>
      <c r="N417">
        <v>89.5</v>
      </c>
      <c r="O417">
        <v>14.22</v>
      </c>
      <c r="P417">
        <v>2.2799999999999998</v>
      </c>
      <c r="Q417">
        <v>4.2561999999999998</v>
      </c>
      <c r="R417">
        <v>0.68100000000000005</v>
      </c>
      <c r="S417" t="s">
        <v>3194</v>
      </c>
      <c r="T417">
        <v>6</v>
      </c>
      <c r="U417" t="s">
        <v>89</v>
      </c>
      <c r="W417" t="s">
        <v>754</v>
      </c>
    </row>
    <row r="418" spans="1:23" outlineLevel="2" x14ac:dyDescent="0.25">
      <c r="A418" t="s">
        <v>82</v>
      </c>
      <c r="B418" t="s">
        <v>83</v>
      </c>
      <c r="C418">
        <v>30</v>
      </c>
      <c r="D418" t="s">
        <v>84</v>
      </c>
      <c r="E418">
        <v>184</v>
      </c>
      <c r="F418" t="s">
        <v>85</v>
      </c>
      <c r="G418">
        <v>8662</v>
      </c>
      <c r="H418" t="s">
        <v>36</v>
      </c>
      <c r="I418">
        <v>1000008662</v>
      </c>
      <c r="J418">
        <v>29477386</v>
      </c>
      <c r="K418" t="s">
        <v>2061</v>
      </c>
      <c r="L418" t="s">
        <v>752</v>
      </c>
      <c r="M418" t="s">
        <v>88</v>
      </c>
      <c r="N418">
        <v>44.5</v>
      </c>
      <c r="O418">
        <v>14.22</v>
      </c>
      <c r="P418">
        <v>2.2799999999999998</v>
      </c>
      <c r="Q418">
        <v>4.2561999999999998</v>
      </c>
      <c r="R418">
        <v>0.68100000000000005</v>
      </c>
      <c r="S418" t="s">
        <v>3196</v>
      </c>
      <c r="T418">
        <v>6</v>
      </c>
      <c r="U418" t="s">
        <v>89</v>
      </c>
      <c r="W418" t="s">
        <v>754</v>
      </c>
    </row>
    <row r="419" spans="1:23" outlineLevel="2" x14ac:dyDescent="0.25">
      <c r="A419" t="s">
        <v>82</v>
      </c>
      <c r="B419" t="s">
        <v>83</v>
      </c>
      <c r="C419">
        <v>30</v>
      </c>
      <c r="D419" t="s">
        <v>84</v>
      </c>
      <c r="E419">
        <v>184</v>
      </c>
      <c r="F419" t="s">
        <v>85</v>
      </c>
      <c r="G419">
        <v>8662</v>
      </c>
      <c r="H419" t="s">
        <v>36</v>
      </c>
      <c r="I419">
        <v>1000008662</v>
      </c>
      <c r="J419">
        <v>29477570</v>
      </c>
      <c r="K419" t="s">
        <v>2063</v>
      </c>
      <c r="L419" t="s">
        <v>752</v>
      </c>
      <c r="M419" t="s">
        <v>88</v>
      </c>
      <c r="N419">
        <v>352.5</v>
      </c>
      <c r="O419">
        <v>14.22</v>
      </c>
      <c r="P419">
        <v>2.2799999999999998</v>
      </c>
      <c r="Q419">
        <v>4.2561999999999998</v>
      </c>
      <c r="R419">
        <v>0.68100000000000005</v>
      </c>
      <c r="S419" t="s">
        <v>3198</v>
      </c>
      <c r="T419">
        <v>6</v>
      </c>
      <c r="U419" t="s">
        <v>89</v>
      </c>
      <c r="W419" t="s">
        <v>754</v>
      </c>
    </row>
    <row r="420" spans="1:23" outlineLevel="2" x14ac:dyDescent="0.25">
      <c r="A420" t="s">
        <v>82</v>
      </c>
      <c r="B420" t="s">
        <v>83</v>
      </c>
      <c r="C420">
        <v>30</v>
      </c>
      <c r="D420" t="s">
        <v>84</v>
      </c>
      <c r="E420">
        <v>184</v>
      </c>
      <c r="F420" t="s">
        <v>85</v>
      </c>
      <c r="G420">
        <v>8662</v>
      </c>
      <c r="H420" t="s">
        <v>36</v>
      </c>
      <c r="I420">
        <v>1000008662</v>
      </c>
      <c r="J420">
        <v>29477818</v>
      </c>
      <c r="K420" t="s">
        <v>2065</v>
      </c>
      <c r="L420" t="s">
        <v>752</v>
      </c>
      <c r="M420" t="s">
        <v>88</v>
      </c>
      <c r="N420">
        <v>94.5</v>
      </c>
      <c r="O420">
        <v>14.22</v>
      </c>
      <c r="P420">
        <v>2.2799999999999998</v>
      </c>
      <c r="Q420">
        <v>4.2561999999999998</v>
      </c>
      <c r="R420">
        <v>0.68100000000000005</v>
      </c>
      <c r="S420" t="s">
        <v>3200</v>
      </c>
      <c r="T420">
        <v>6</v>
      </c>
      <c r="U420" t="s">
        <v>89</v>
      </c>
      <c r="W420" t="s">
        <v>754</v>
      </c>
    </row>
    <row r="421" spans="1:23" outlineLevel="2" x14ac:dyDescent="0.25">
      <c r="A421" t="s">
        <v>82</v>
      </c>
      <c r="B421" t="s">
        <v>83</v>
      </c>
      <c r="C421">
        <v>30</v>
      </c>
      <c r="D421" t="s">
        <v>84</v>
      </c>
      <c r="E421">
        <v>184</v>
      </c>
      <c r="F421" t="s">
        <v>85</v>
      </c>
      <c r="G421">
        <v>8662</v>
      </c>
      <c r="H421" t="s">
        <v>36</v>
      </c>
      <c r="I421">
        <v>1000008662</v>
      </c>
      <c r="J421">
        <v>29478050</v>
      </c>
      <c r="K421" t="s">
        <v>2066</v>
      </c>
      <c r="L421" t="s">
        <v>752</v>
      </c>
      <c r="M421" t="s">
        <v>88</v>
      </c>
      <c r="N421">
        <v>706.5</v>
      </c>
      <c r="O421">
        <v>14.22</v>
      </c>
      <c r="P421">
        <v>2.2799999999999998</v>
      </c>
      <c r="Q421">
        <v>4.2561999999999998</v>
      </c>
      <c r="R421">
        <v>0.68100000000000005</v>
      </c>
      <c r="S421" t="s">
        <v>3202</v>
      </c>
      <c r="T421">
        <v>6</v>
      </c>
      <c r="U421" t="s">
        <v>89</v>
      </c>
      <c r="W421" t="s">
        <v>754</v>
      </c>
    </row>
    <row r="422" spans="1:23" outlineLevel="2" x14ac:dyDescent="0.25">
      <c r="A422" t="s">
        <v>82</v>
      </c>
      <c r="B422" t="s">
        <v>83</v>
      </c>
      <c r="C422">
        <v>30</v>
      </c>
      <c r="D422" t="s">
        <v>84</v>
      </c>
      <c r="E422">
        <v>184</v>
      </c>
      <c r="F422" t="s">
        <v>85</v>
      </c>
      <c r="G422">
        <v>8662</v>
      </c>
      <c r="H422" t="s">
        <v>36</v>
      </c>
      <c r="I422">
        <v>1000008662</v>
      </c>
      <c r="J422">
        <v>29478266</v>
      </c>
      <c r="K422" t="s">
        <v>2070</v>
      </c>
      <c r="L422" t="s">
        <v>752</v>
      </c>
      <c r="M422" t="s">
        <v>88</v>
      </c>
      <c r="N422">
        <v>67.5</v>
      </c>
      <c r="O422">
        <v>14.22</v>
      </c>
      <c r="P422">
        <v>2.2799999999999998</v>
      </c>
      <c r="Q422">
        <v>4.2561999999999998</v>
      </c>
      <c r="R422">
        <v>0.68100000000000005</v>
      </c>
      <c r="S422" t="s">
        <v>3204</v>
      </c>
      <c r="T422">
        <v>6</v>
      </c>
      <c r="U422" t="s">
        <v>89</v>
      </c>
      <c r="W422" t="s">
        <v>754</v>
      </c>
    </row>
    <row r="423" spans="1:23" outlineLevel="2" x14ac:dyDescent="0.25">
      <c r="A423" t="s">
        <v>82</v>
      </c>
      <c r="B423" t="s">
        <v>83</v>
      </c>
      <c r="C423">
        <v>30</v>
      </c>
      <c r="D423" t="s">
        <v>84</v>
      </c>
      <c r="E423">
        <v>184</v>
      </c>
      <c r="F423" t="s">
        <v>85</v>
      </c>
      <c r="G423">
        <v>8662</v>
      </c>
      <c r="H423" t="s">
        <v>36</v>
      </c>
      <c r="I423">
        <v>1000008662</v>
      </c>
      <c r="J423">
        <v>29481827</v>
      </c>
      <c r="K423" t="s">
        <v>2116</v>
      </c>
      <c r="L423" t="s">
        <v>752</v>
      </c>
      <c r="M423" t="s">
        <v>88</v>
      </c>
      <c r="N423">
        <v>140.5</v>
      </c>
      <c r="O423">
        <v>14.22</v>
      </c>
      <c r="P423">
        <v>2.2799999999999998</v>
      </c>
      <c r="Q423">
        <v>4.2561999999999998</v>
      </c>
      <c r="R423">
        <v>0.68100000000000005</v>
      </c>
      <c r="S423" t="s">
        <v>3206</v>
      </c>
      <c r="T423">
        <v>6</v>
      </c>
      <c r="U423" t="s">
        <v>89</v>
      </c>
      <c r="W423" t="s">
        <v>754</v>
      </c>
    </row>
    <row r="424" spans="1:23" outlineLevel="2" x14ac:dyDescent="0.25">
      <c r="A424" t="s">
        <v>82</v>
      </c>
      <c r="B424" t="s">
        <v>83</v>
      </c>
      <c r="C424">
        <v>30</v>
      </c>
      <c r="D424" t="s">
        <v>84</v>
      </c>
      <c r="E424">
        <v>184</v>
      </c>
      <c r="F424" t="s">
        <v>85</v>
      </c>
      <c r="G424">
        <v>8662</v>
      </c>
      <c r="H424" t="s">
        <v>36</v>
      </c>
      <c r="I424">
        <v>1000008662</v>
      </c>
      <c r="J424">
        <v>29482454</v>
      </c>
      <c r="K424" t="s">
        <v>2124</v>
      </c>
      <c r="L424" t="s">
        <v>752</v>
      </c>
      <c r="M424" t="s">
        <v>88</v>
      </c>
      <c r="N424">
        <v>182.5</v>
      </c>
      <c r="O424">
        <v>14.22</v>
      </c>
      <c r="P424">
        <v>2.2799999999999998</v>
      </c>
      <c r="Q424">
        <v>4.2561999999999998</v>
      </c>
      <c r="R424">
        <v>0.68100000000000005</v>
      </c>
      <c r="S424" t="s">
        <v>3208</v>
      </c>
      <c r="T424">
        <v>6</v>
      </c>
      <c r="U424" t="s">
        <v>89</v>
      </c>
      <c r="W424" t="s">
        <v>754</v>
      </c>
    </row>
    <row r="425" spans="1:23" outlineLevel="2" x14ac:dyDescent="0.25">
      <c r="A425" t="s">
        <v>82</v>
      </c>
      <c r="B425" t="s">
        <v>83</v>
      </c>
      <c r="C425">
        <v>30</v>
      </c>
      <c r="D425" t="s">
        <v>84</v>
      </c>
      <c r="E425">
        <v>184</v>
      </c>
      <c r="F425" t="s">
        <v>85</v>
      </c>
      <c r="G425">
        <v>8662</v>
      </c>
      <c r="H425" t="s">
        <v>36</v>
      </c>
      <c r="I425">
        <v>1000008662</v>
      </c>
      <c r="J425">
        <v>29485522</v>
      </c>
      <c r="K425" t="s">
        <v>2144</v>
      </c>
      <c r="L425" t="s">
        <v>752</v>
      </c>
      <c r="M425" t="s">
        <v>88</v>
      </c>
      <c r="N425">
        <v>129.5</v>
      </c>
      <c r="O425">
        <v>14.22</v>
      </c>
      <c r="P425">
        <v>2.2799999999999998</v>
      </c>
      <c r="Q425">
        <v>4.2561999999999998</v>
      </c>
      <c r="R425">
        <v>0.68100000000000005</v>
      </c>
      <c r="S425" t="s">
        <v>3210</v>
      </c>
      <c r="T425">
        <v>6</v>
      </c>
      <c r="U425" t="s">
        <v>89</v>
      </c>
      <c r="W425" t="s">
        <v>754</v>
      </c>
    </row>
    <row r="426" spans="1:23" outlineLevel="2" x14ac:dyDescent="0.25">
      <c r="A426" t="s">
        <v>82</v>
      </c>
      <c r="B426" t="s">
        <v>83</v>
      </c>
      <c r="C426">
        <v>30</v>
      </c>
      <c r="D426" t="s">
        <v>84</v>
      </c>
      <c r="E426">
        <v>184</v>
      </c>
      <c r="F426" t="s">
        <v>85</v>
      </c>
      <c r="G426">
        <v>8662</v>
      </c>
      <c r="H426" t="s">
        <v>36</v>
      </c>
      <c r="I426">
        <v>1000008662</v>
      </c>
      <c r="J426">
        <v>29487166</v>
      </c>
      <c r="K426" t="s">
        <v>2153</v>
      </c>
      <c r="L426" t="s">
        <v>753</v>
      </c>
      <c r="M426" t="s">
        <v>88</v>
      </c>
      <c r="N426">
        <v>104.5</v>
      </c>
      <c r="O426">
        <v>14.22</v>
      </c>
      <c r="P426">
        <v>2.2799999999999998</v>
      </c>
      <c r="Q426">
        <v>4.2561999999999998</v>
      </c>
      <c r="R426">
        <v>0.68100000000000005</v>
      </c>
      <c r="S426" t="s">
        <v>3212</v>
      </c>
      <c r="T426">
        <v>6</v>
      </c>
      <c r="U426" t="s">
        <v>89</v>
      </c>
      <c r="W426" t="s">
        <v>754</v>
      </c>
    </row>
    <row r="427" spans="1:23" outlineLevel="2" x14ac:dyDescent="0.25">
      <c r="A427" t="s">
        <v>82</v>
      </c>
      <c r="B427" t="s">
        <v>83</v>
      </c>
      <c r="C427">
        <v>30</v>
      </c>
      <c r="D427" t="s">
        <v>84</v>
      </c>
      <c r="E427">
        <v>184</v>
      </c>
      <c r="F427" t="s">
        <v>85</v>
      </c>
      <c r="G427">
        <v>8662</v>
      </c>
      <c r="H427" t="s">
        <v>36</v>
      </c>
      <c r="I427">
        <v>1000008662</v>
      </c>
      <c r="J427">
        <v>29489239</v>
      </c>
      <c r="K427" t="s">
        <v>2169</v>
      </c>
      <c r="L427" t="s">
        <v>752</v>
      </c>
      <c r="M427" t="s">
        <v>88</v>
      </c>
      <c r="N427">
        <v>65.5</v>
      </c>
      <c r="O427">
        <v>14.22</v>
      </c>
      <c r="P427">
        <v>2.2799999999999998</v>
      </c>
      <c r="Q427">
        <v>4.2561999999999998</v>
      </c>
      <c r="R427">
        <v>0.68100000000000005</v>
      </c>
      <c r="S427" t="s">
        <v>3214</v>
      </c>
      <c r="T427">
        <v>6</v>
      </c>
      <c r="U427" t="s">
        <v>89</v>
      </c>
      <c r="W427" t="s">
        <v>754</v>
      </c>
    </row>
    <row r="428" spans="1:23" outlineLevel="2" x14ac:dyDescent="0.25">
      <c r="A428" t="s">
        <v>82</v>
      </c>
      <c r="B428" t="s">
        <v>83</v>
      </c>
      <c r="C428">
        <v>30</v>
      </c>
      <c r="D428" t="s">
        <v>84</v>
      </c>
      <c r="E428">
        <v>184</v>
      </c>
      <c r="F428" t="s">
        <v>85</v>
      </c>
      <c r="G428">
        <v>8662</v>
      </c>
      <c r="H428" t="s">
        <v>36</v>
      </c>
      <c r="I428">
        <v>1000008662</v>
      </c>
      <c r="J428">
        <v>29490006</v>
      </c>
      <c r="K428" t="s">
        <v>2174</v>
      </c>
      <c r="L428" t="s">
        <v>752</v>
      </c>
      <c r="M428" t="s">
        <v>88</v>
      </c>
      <c r="N428">
        <v>122.5</v>
      </c>
      <c r="O428">
        <v>14.22</v>
      </c>
      <c r="P428">
        <v>2.2799999999999998</v>
      </c>
      <c r="Q428">
        <v>4.2561999999999998</v>
      </c>
      <c r="R428">
        <v>0.68100000000000005</v>
      </c>
      <c r="S428" t="s">
        <v>3216</v>
      </c>
      <c r="T428">
        <v>6</v>
      </c>
      <c r="U428" t="s">
        <v>89</v>
      </c>
      <c r="W428" t="s">
        <v>754</v>
      </c>
    </row>
    <row r="429" spans="1:23" outlineLevel="2" x14ac:dyDescent="0.25">
      <c r="A429" t="s">
        <v>82</v>
      </c>
      <c r="B429" t="s">
        <v>83</v>
      </c>
      <c r="C429">
        <v>30</v>
      </c>
      <c r="D429" t="s">
        <v>84</v>
      </c>
      <c r="E429">
        <v>184</v>
      </c>
      <c r="F429" t="s">
        <v>85</v>
      </c>
      <c r="G429">
        <v>8662</v>
      </c>
      <c r="H429" t="s">
        <v>36</v>
      </c>
      <c r="I429">
        <v>1000008662</v>
      </c>
      <c r="J429">
        <v>29490315</v>
      </c>
      <c r="K429" t="s">
        <v>2177</v>
      </c>
      <c r="L429" t="s">
        <v>752</v>
      </c>
      <c r="M429" t="s">
        <v>88</v>
      </c>
      <c r="N429">
        <v>164.5</v>
      </c>
      <c r="O429">
        <v>14.22</v>
      </c>
      <c r="P429">
        <v>2.2799999999999998</v>
      </c>
      <c r="Q429">
        <v>4.2561999999999998</v>
      </c>
      <c r="R429">
        <v>0.68100000000000005</v>
      </c>
      <c r="S429" t="s">
        <v>3218</v>
      </c>
      <c r="T429">
        <v>6</v>
      </c>
      <c r="U429" t="s">
        <v>89</v>
      </c>
      <c r="W429" t="s">
        <v>754</v>
      </c>
    </row>
    <row r="430" spans="1:23" outlineLevel="2" x14ac:dyDescent="0.25">
      <c r="A430" t="s">
        <v>82</v>
      </c>
      <c r="B430" t="s">
        <v>83</v>
      </c>
      <c r="C430">
        <v>30</v>
      </c>
      <c r="D430" t="s">
        <v>84</v>
      </c>
      <c r="E430">
        <v>184</v>
      </c>
      <c r="F430" t="s">
        <v>85</v>
      </c>
      <c r="G430">
        <v>8662</v>
      </c>
      <c r="H430" t="s">
        <v>36</v>
      </c>
      <c r="I430">
        <v>1000008662</v>
      </c>
      <c r="J430">
        <v>29491586</v>
      </c>
      <c r="K430" t="s">
        <v>2188</v>
      </c>
      <c r="L430" t="s">
        <v>752</v>
      </c>
      <c r="M430" t="s">
        <v>88</v>
      </c>
      <c r="N430">
        <v>112.5</v>
      </c>
      <c r="O430">
        <v>14.22</v>
      </c>
      <c r="P430">
        <v>2.2799999999999998</v>
      </c>
      <c r="Q430">
        <v>4.2561999999999998</v>
      </c>
      <c r="R430">
        <v>0.68100000000000005</v>
      </c>
      <c r="S430" t="s">
        <v>3220</v>
      </c>
      <c r="T430">
        <v>6</v>
      </c>
      <c r="U430" t="s">
        <v>89</v>
      </c>
      <c r="W430" t="s">
        <v>754</v>
      </c>
    </row>
    <row r="431" spans="1:23" outlineLevel="2" x14ac:dyDescent="0.25">
      <c r="A431" t="s">
        <v>82</v>
      </c>
      <c r="B431" t="s">
        <v>83</v>
      </c>
      <c r="C431">
        <v>30</v>
      </c>
      <c r="D431" t="s">
        <v>84</v>
      </c>
      <c r="E431">
        <v>184</v>
      </c>
      <c r="F431" t="s">
        <v>85</v>
      </c>
      <c r="G431">
        <v>8662</v>
      </c>
      <c r="H431" t="s">
        <v>36</v>
      </c>
      <c r="I431">
        <v>1000008662</v>
      </c>
      <c r="J431">
        <v>29492055</v>
      </c>
      <c r="K431" t="s">
        <v>2191</v>
      </c>
      <c r="L431" t="s">
        <v>752</v>
      </c>
      <c r="M431" t="s">
        <v>88</v>
      </c>
      <c r="N431">
        <v>127.5</v>
      </c>
      <c r="O431">
        <v>14.22</v>
      </c>
      <c r="P431">
        <v>2.2799999999999998</v>
      </c>
      <c r="Q431">
        <v>4.2561999999999998</v>
      </c>
      <c r="R431">
        <v>0.68100000000000005</v>
      </c>
      <c r="S431" t="s">
        <v>3222</v>
      </c>
      <c r="T431">
        <v>6</v>
      </c>
      <c r="U431" t="s">
        <v>89</v>
      </c>
      <c r="W431" t="s">
        <v>754</v>
      </c>
    </row>
    <row r="432" spans="1:23" outlineLevel="2" x14ac:dyDescent="0.25">
      <c r="A432" t="s">
        <v>82</v>
      </c>
      <c r="B432" t="s">
        <v>83</v>
      </c>
      <c r="C432">
        <v>30</v>
      </c>
      <c r="D432" t="s">
        <v>84</v>
      </c>
      <c r="E432">
        <v>184</v>
      </c>
      <c r="F432" t="s">
        <v>85</v>
      </c>
      <c r="G432">
        <v>8662</v>
      </c>
      <c r="H432" t="s">
        <v>36</v>
      </c>
      <c r="I432">
        <v>1000008662</v>
      </c>
      <c r="J432">
        <v>29493920</v>
      </c>
      <c r="K432" t="s">
        <v>2207</v>
      </c>
      <c r="L432" t="s">
        <v>752</v>
      </c>
      <c r="M432" t="s">
        <v>88</v>
      </c>
      <c r="N432">
        <v>94.5</v>
      </c>
      <c r="O432">
        <v>14.22</v>
      </c>
      <c r="P432">
        <v>2.2799999999999998</v>
      </c>
      <c r="Q432">
        <v>4.2561999999999998</v>
      </c>
      <c r="R432">
        <v>0.68100000000000005</v>
      </c>
      <c r="S432" t="s">
        <v>3224</v>
      </c>
      <c r="T432">
        <v>6</v>
      </c>
      <c r="U432" t="s">
        <v>89</v>
      </c>
      <c r="W432" t="s">
        <v>754</v>
      </c>
    </row>
    <row r="433" spans="1:23" outlineLevel="2" x14ac:dyDescent="0.25">
      <c r="A433" t="s">
        <v>82</v>
      </c>
      <c r="B433" t="s">
        <v>83</v>
      </c>
      <c r="C433">
        <v>30</v>
      </c>
      <c r="D433" t="s">
        <v>84</v>
      </c>
      <c r="E433">
        <v>184</v>
      </c>
      <c r="F433" t="s">
        <v>85</v>
      </c>
      <c r="G433">
        <v>8662</v>
      </c>
      <c r="H433" t="s">
        <v>36</v>
      </c>
      <c r="I433">
        <v>1000008662</v>
      </c>
      <c r="J433">
        <v>29494063</v>
      </c>
      <c r="K433" t="s">
        <v>2210</v>
      </c>
      <c r="L433" t="s">
        <v>752</v>
      </c>
      <c r="M433" t="s">
        <v>88</v>
      </c>
      <c r="N433">
        <v>139.5</v>
      </c>
      <c r="O433">
        <v>14.22</v>
      </c>
      <c r="P433">
        <v>2.2799999999999998</v>
      </c>
      <c r="Q433">
        <v>4.2561999999999998</v>
      </c>
      <c r="R433">
        <v>0.68100000000000005</v>
      </c>
      <c r="S433" t="s">
        <v>3226</v>
      </c>
      <c r="T433">
        <v>6</v>
      </c>
      <c r="U433" t="s">
        <v>89</v>
      </c>
      <c r="W433" t="s">
        <v>754</v>
      </c>
    </row>
    <row r="434" spans="1:23" outlineLevel="2" x14ac:dyDescent="0.25">
      <c r="A434" t="s">
        <v>82</v>
      </c>
      <c r="B434" t="s">
        <v>83</v>
      </c>
      <c r="C434">
        <v>30</v>
      </c>
      <c r="D434" t="s">
        <v>84</v>
      </c>
      <c r="E434">
        <v>184</v>
      </c>
      <c r="F434" t="s">
        <v>85</v>
      </c>
      <c r="G434">
        <v>8662</v>
      </c>
      <c r="H434" t="s">
        <v>36</v>
      </c>
      <c r="I434">
        <v>1000008662</v>
      </c>
      <c r="J434">
        <v>29495041</v>
      </c>
      <c r="K434" t="s">
        <v>2217</v>
      </c>
      <c r="L434" t="s">
        <v>752</v>
      </c>
      <c r="M434" t="s">
        <v>88</v>
      </c>
      <c r="N434">
        <v>94.5</v>
      </c>
      <c r="O434">
        <v>14.22</v>
      </c>
      <c r="P434">
        <v>2.2799999999999998</v>
      </c>
      <c r="Q434">
        <v>4.2561999999999998</v>
      </c>
      <c r="R434">
        <v>0.68100000000000005</v>
      </c>
      <c r="S434" t="s">
        <v>3228</v>
      </c>
      <c r="T434">
        <v>6</v>
      </c>
      <c r="U434" t="s">
        <v>89</v>
      </c>
      <c r="W434" t="s">
        <v>754</v>
      </c>
    </row>
    <row r="435" spans="1:23" outlineLevel="2" x14ac:dyDescent="0.25">
      <c r="A435" t="s">
        <v>82</v>
      </c>
      <c r="B435" t="s">
        <v>83</v>
      </c>
      <c r="C435">
        <v>30</v>
      </c>
      <c r="D435" t="s">
        <v>84</v>
      </c>
      <c r="E435">
        <v>184</v>
      </c>
      <c r="F435" t="s">
        <v>85</v>
      </c>
      <c r="G435">
        <v>8662</v>
      </c>
      <c r="H435" t="s">
        <v>36</v>
      </c>
      <c r="I435">
        <v>1000008662</v>
      </c>
      <c r="J435">
        <v>29495111</v>
      </c>
      <c r="K435" t="s">
        <v>2218</v>
      </c>
      <c r="L435" t="s">
        <v>752</v>
      </c>
      <c r="M435" t="s">
        <v>88</v>
      </c>
      <c r="N435">
        <v>127.5</v>
      </c>
      <c r="O435">
        <v>14.22</v>
      </c>
      <c r="P435">
        <v>2.2799999999999998</v>
      </c>
      <c r="Q435">
        <v>4.2561999999999998</v>
      </c>
      <c r="R435">
        <v>0.68100000000000005</v>
      </c>
      <c r="S435" t="s">
        <v>3230</v>
      </c>
      <c r="T435">
        <v>6</v>
      </c>
      <c r="U435" t="s">
        <v>89</v>
      </c>
      <c r="W435" t="s">
        <v>754</v>
      </c>
    </row>
    <row r="436" spans="1:23" outlineLevel="2" x14ac:dyDescent="0.25">
      <c r="A436" t="s">
        <v>82</v>
      </c>
      <c r="B436" t="s">
        <v>83</v>
      </c>
      <c r="C436">
        <v>30</v>
      </c>
      <c r="D436" t="s">
        <v>84</v>
      </c>
      <c r="E436">
        <v>184</v>
      </c>
      <c r="F436" t="s">
        <v>85</v>
      </c>
      <c r="G436">
        <v>8662</v>
      </c>
      <c r="H436" t="s">
        <v>36</v>
      </c>
      <c r="I436">
        <v>1000008662</v>
      </c>
      <c r="J436">
        <v>29495697</v>
      </c>
      <c r="K436" t="s">
        <v>2225</v>
      </c>
      <c r="L436" t="s">
        <v>752</v>
      </c>
      <c r="M436" t="s">
        <v>88</v>
      </c>
      <c r="N436">
        <v>74.5</v>
      </c>
      <c r="O436">
        <v>14.22</v>
      </c>
      <c r="P436">
        <v>2.2799999999999998</v>
      </c>
      <c r="Q436">
        <v>4.2561999999999998</v>
      </c>
      <c r="R436">
        <v>0.68100000000000005</v>
      </c>
      <c r="S436" t="s">
        <v>3232</v>
      </c>
      <c r="T436">
        <v>6</v>
      </c>
      <c r="U436" t="s">
        <v>89</v>
      </c>
      <c r="W436" t="s">
        <v>754</v>
      </c>
    </row>
    <row r="437" spans="1:23" outlineLevel="2" x14ac:dyDescent="0.25">
      <c r="A437" t="s">
        <v>82</v>
      </c>
      <c r="B437" t="s">
        <v>83</v>
      </c>
      <c r="C437">
        <v>30</v>
      </c>
      <c r="D437" t="s">
        <v>84</v>
      </c>
      <c r="E437">
        <v>184</v>
      </c>
      <c r="F437" t="s">
        <v>85</v>
      </c>
      <c r="G437">
        <v>8662</v>
      </c>
      <c r="H437" t="s">
        <v>36</v>
      </c>
      <c r="I437">
        <v>1000008662</v>
      </c>
      <c r="J437">
        <v>29496324</v>
      </c>
      <c r="K437" t="s">
        <v>2231</v>
      </c>
      <c r="L437" t="s">
        <v>752</v>
      </c>
      <c r="M437" t="s">
        <v>88</v>
      </c>
      <c r="N437">
        <v>96.5</v>
      </c>
      <c r="O437">
        <v>14.22</v>
      </c>
      <c r="P437">
        <v>2.2799999999999998</v>
      </c>
      <c r="Q437">
        <v>4.2561999999999998</v>
      </c>
      <c r="R437">
        <v>0.68100000000000005</v>
      </c>
      <c r="S437" t="s">
        <v>3234</v>
      </c>
      <c r="T437">
        <v>6</v>
      </c>
      <c r="U437" t="s">
        <v>89</v>
      </c>
      <c r="W437" t="s">
        <v>754</v>
      </c>
    </row>
    <row r="438" spans="1:23" outlineLevel="2" x14ac:dyDescent="0.25">
      <c r="A438" t="s">
        <v>82</v>
      </c>
      <c r="B438" t="s">
        <v>83</v>
      </c>
      <c r="C438">
        <v>30</v>
      </c>
      <c r="D438" t="s">
        <v>84</v>
      </c>
      <c r="E438">
        <v>184</v>
      </c>
      <c r="F438" t="s">
        <v>85</v>
      </c>
      <c r="G438">
        <v>8662</v>
      </c>
      <c r="H438" t="s">
        <v>36</v>
      </c>
      <c r="I438">
        <v>1000008662</v>
      </c>
      <c r="J438">
        <v>29497592</v>
      </c>
      <c r="K438" t="s">
        <v>2236</v>
      </c>
      <c r="L438" t="s">
        <v>752</v>
      </c>
      <c r="M438" t="s">
        <v>88</v>
      </c>
      <c r="N438">
        <v>101.5</v>
      </c>
      <c r="O438">
        <v>14.22</v>
      </c>
      <c r="P438">
        <v>2.2799999999999998</v>
      </c>
      <c r="Q438">
        <v>4.2561999999999998</v>
      </c>
      <c r="R438">
        <v>0.68100000000000005</v>
      </c>
      <c r="S438" t="s">
        <v>3236</v>
      </c>
      <c r="T438">
        <v>6</v>
      </c>
      <c r="U438" t="s">
        <v>89</v>
      </c>
      <c r="W438" t="s">
        <v>754</v>
      </c>
    </row>
    <row r="439" spans="1:23" outlineLevel="2" x14ac:dyDescent="0.25">
      <c r="A439" t="s">
        <v>82</v>
      </c>
      <c r="B439" t="s">
        <v>83</v>
      </c>
      <c r="C439">
        <v>30</v>
      </c>
      <c r="D439" t="s">
        <v>84</v>
      </c>
      <c r="E439">
        <v>184</v>
      </c>
      <c r="F439" t="s">
        <v>85</v>
      </c>
      <c r="G439">
        <v>8662</v>
      </c>
      <c r="H439" t="s">
        <v>36</v>
      </c>
      <c r="I439">
        <v>1000008662</v>
      </c>
      <c r="J439">
        <v>29499422</v>
      </c>
      <c r="K439" t="s">
        <v>2249</v>
      </c>
      <c r="L439" t="s">
        <v>752</v>
      </c>
      <c r="M439" t="s">
        <v>88</v>
      </c>
      <c r="N439">
        <v>64.5</v>
      </c>
      <c r="O439">
        <v>14.22</v>
      </c>
      <c r="P439">
        <v>2.2799999999999998</v>
      </c>
      <c r="Q439">
        <v>4.2561999999999998</v>
      </c>
      <c r="R439">
        <v>0.68100000000000005</v>
      </c>
      <c r="S439" t="s">
        <v>3238</v>
      </c>
      <c r="T439">
        <v>6</v>
      </c>
      <c r="U439" t="s">
        <v>89</v>
      </c>
      <c r="W439" t="s">
        <v>754</v>
      </c>
    </row>
    <row r="440" spans="1:23" outlineLevel="2" x14ac:dyDescent="0.25">
      <c r="A440" t="s">
        <v>82</v>
      </c>
      <c r="B440" t="s">
        <v>83</v>
      </c>
      <c r="C440">
        <v>30</v>
      </c>
      <c r="D440" t="s">
        <v>84</v>
      </c>
      <c r="E440">
        <v>184</v>
      </c>
      <c r="F440" t="s">
        <v>85</v>
      </c>
      <c r="G440">
        <v>8662</v>
      </c>
      <c r="H440" t="s">
        <v>36</v>
      </c>
      <c r="I440">
        <v>1000008662</v>
      </c>
      <c r="J440">
        <v>29499788</v>
      </c>
      <c r="K440" t="s">
        <v>2251</v>
      </c>
      <c r="L440" t="s">
        <v>752</v>
      </c>
      <c r="M440" t="s">
        <v>88</v>
      </c>
      <c r="N440">
        <v>83.5</v>
      </c>
      <c r="O440">
        <v>14.22</v>
      </c>
      <c r="P440">
        <v>2.2799999999999998</v>
      </c>
      <c r="Q440">
        <v>4.2561999999999998</v>
      </c>
      <c r="R440">
        <v>0.68100000000000005</v>
      </c>
      <c r="S440" t="s">
        <v>3240</v>
      </c>
      <c r="T440">
        <v>6</v>
      </c>
      <c r="U440" t="s">
        <v>89</v>
      </c>
      <c r="W440" t="s">
        <v>754</v>
      </c>
    </row>
    <row r="441" spans="1:23" outlineLevel="2" x14ac:dyDescent="0.25">
      <c r="A441" t="s">
        <v>82</v>
      </c>
      <c r="B441" t="s">
        <v>83</v>
      </c>
      <c r="C441">
        <v>30</v>
      </c>
      <c r="D441" t="s">
        <v>84</v>
      </c>
      <c r="E441">
        <v>184</v>
      </c>
      <c r="F441" t="s">
        <v>85</v>
      </c>
      <c r="G441">
        <v>8662</v>
      </c>
      <c r="H441" t="s">
        <v>36</v>
      </c>
      <c r="I441">
        <v>1000008662</v>
      </c>
      <c r="J441">
        <v>29501928</v>
      </c>
      <c r="K441" t="s">
        <v>2267</v>
      </c>
      <c r="L441" t="s">
        <v>752</v>
      </c>
      <c r="M441" t="s">
        <v>88</v>
      </c>
      <c r="N441">
        <v>97.5</v>
      </c>
      <c r="O441">
        <v>14.22</v>
      </c>
      <c r="P441">
        <v>2.2799999999999998</v>
      </c>
      <c r="Q441">
        <v>4.2561999999999998</v>
      </c>
      <c r="R441">
        <v>0.68100000000000005</v>
      </c>
      <c r="S441" t="s">
        <v>3242</v>
      </c>
      <c r="T441">
        <v>6</v>
      </c>
      <c r="U441" t="s">
        <v>89</v>
      </c>
      <c r="W441" t="s">
        <v>754</v>
      </c>
    </row>
    <row r="442" spans="1:23" outlineLevel="2" x14ac:dyDescent="0.25">
      <c r="A442" t="s">
        <v>82</v>
      </c>
      <c r="B442" t="s">
        <v>83</v>
      </c>
      <c r="C442">
        <v>30</v>
      </c>
      <c r="D442" t="s">
        <v>84</v>
      </c>
      <c r="E442">
        <v>184</v>
      </c>
      <c r="F442" t="s">
        <v>85</v>
      </c>
      <c r="G442">
        <v>8662</v>
      </c>
      <c r="H442" t="s">
        <v>36</v>
      </c>
      <c r="I442">
        <v>1000008662</v>
      </c>
      <c r="J442">
        <v>29502558</v>
      </c>
      <c r="K442" t="s">
        <v>2273</v>
      </c>
      <c r="L442" t="s">
        <v>752</v>
      </c>
      <c r="M442" t="s">
        <v>88</v>
      </c>
      <c r="N442">
        <v>686.5</v>
      </c>
      <c r="O442">
        <v>14.22</v>
      </c>
      <c r="P442">
        <v>2.2799999999999998</v>
      </c>
      <c r="Q442">
        <v>4.2561999999999998</v>
      </c>
      <c r="R442">
        <v>0.68100000000000005</v>
      </c>
      <c r="S442" t="s">
        <v>3244</v>
      </c>
      <c r="T442">
        <v>6</v>
      </c>
      <c r="U442" t="s">
        <v>89</v>
      </c>
      <c r="W442" t="s">
        <v>754</v>
      </c>
    </row>
    <row r="443" spans="1:23" outlineLevel="2" x14ac:dyDescent="0.25">
      <c r="A443" t="s">
        <v>82</v>
      </c>
      <c r="B443" t="s">
        <v>83</v>
      </c>
      <c r="C443">
        <v>30</v>
      </c>
      <c r="D443" t="s">
        <v>84</v>
      </c>
      <c r="E443">
        <v>184</v>
      </c>
      <c r="F443" t="s">
        <v>85</v>
      </c>
      <c r="G443">
        <v>8662</v>
      </c>
      <c r="H443" t="s">
        <v>36</v>
      </c>
      <c r="I443">
        <v>1000008662</v>
      </c>
      <c r="J443">
        <v>29503331</v>
      </c>
      <c r="K443" t="s">
        <v>2277</v>
      </c>
      <c r="L443" t="s">
        <v>752</v>
      </c>
      <c r="M443" t="s">
        <v>88</v>
      </c>
      <c r="N443">
        <v>60.5</v>
      </c>
      <c r="O443">
        <v>14.22</v>
      </c>
      <c r="P443">
        <v>2.2799999999999998</v>
      </c>
      <c r="Q443">
        <v>4.2561999999999998</v>
      </c>
      <c r="R443">
        <v>0.68100000000000005</v>
      </c>
      <c r="S443" t="s">
        <v>3246</v>
      </c>
      <c r="T443">
        <v>6</v>
      </c>
      <c r="U443" t="s">
        <v>89</v>
      </c>
      <c r="W443" t="s">
        <v>754</v>
      </c>
    </row>
    <row r="444" spans="1:23" outlineLevel="2" x14ac:dyDescent="0.25">
      <c r="A444" t="s">
        <v>82</v>
      </c>
      <c r="B444" t="s">
        <v>83</v>
      </c>
      <c r="C444">
        <v>30</v>
      </c>
      <c r="D444" t="s">
        <v>84</v>
      </c>
      <c r="E444">
        <v>184</v>
      </c>
      <c r="F444" t="s">
        <v>85</v>
      </c>
      <c r="G444">
        <v>8662</v>
      </c>
      <c r="H444" t="s">
        <v>36</v>
      </c>
      <c r="I444">
        <v>1000008662</v>
      </c>
      <c r="J444">
        <v>29503432</v>
      </c>
      <c r="K444" t="s">
        <v>2278</v>
      </c>
      <c r="L444" t="s">
        <v>752</v>
      </c>
      <c r="M444" t="s">
        <v>88</v>
      </c>
      <c r="N444">
        <v>230.5</v>
      </c>
      <c r="O444">
        <v>14.22</v>
      </c>
      <c r="P444">
        <v>2.2799999999999998</v>
      </c>
      <c r="Q444">
        <v>4.2561999999999998</v>
      </c>
      <c r="R444">
        <v>0.68100000000000005</v>
      </c>
      <c r="S444" t="s">
        <v>3248</v>
      </c>
      <c r="T444">
        <v>6</v>
      </c>
      <c r="U444" t="s">
        <v>89</v>
      </c>
      <c r="W444" t="s">
        <v>754</v>
      </c>
    </row>
    <row r="445" spans="1:23" outlineLevel="2" x14ac:dyDescent="0.25">
      <c r="A445" t="s">
        <v>82</v>
      </c>
      <c r="B445" t="s">
        <v>83</v>
      </c>
      <c r="C445">
        <v>30</v>
      </c>
      <c r="D445" t="s">
        <v>84</v>
      </c>
      <c r="E445">
        <v>184</v>
      </c>
      <c r="F445" t="s">
        <v>85</v>
      </c>
      <c r="G445">
        <v>8662</v>
      </c>
      <c r="H445" t="s">
        <v>36</v>
      </c>
      <c r="I445">
        <v>1000008662</v>
      </c>
      <c r="J445">
        <v>29505304</v>
      </c>
      <c r="K445" t="s">
        <v>2288</v>
      </c>
      <c r="L445" t="s">
        <v>752</v>
      </c>
      <c r="M445" t="s">
        <v>88</v>
      </c>
      <c r="N445">
        <v>65.5</v>
      </c>
      <c r="O445">
        <v>14.22</v>
      </c>
      <c r="P445">
        <v>2.2799999999999998</v>
      </c>
      <c r="Q445">
        <v>4.2561999999999998</v>
      </c>
      <c r="R445">
        <v>0.68100000000000005</v>
      </c>
      <c r="S445" t="s">
        <v>3250</v>
      </c>
      <c r="T445">
        <v>6</v>
      </c>
      <c r="U445" t="s">
        <v>89</v>
      </c>
      <c r="W445" t="s">
        <v>754</v>
      </c>
    </row>
    <row r="446" spans="1:23" outlineLevel="2" x14ac:dyDescent="0.25">
      <c r="A446" t="s">
        <v>82</v>
      </c>
      <c r="B446" t="s">
        <v>83</v>
      </c>
      <c r="C446">
        <v>30</v>
      </c>
      <c r="D446" t="s">
        <v>84</v>
      </c>
      <c r="E446">
        <v>184</v>
      </c>
      <c r="F446" t="s">
        <v>85</v>
      </c>
      <c r="G446">
        <v>8662</v>
      </c>
      <c r="H446" t="s">
        <v>36</v>
      </c>
      <c r="I446">
        <v>1000008662</v>
      </c>
      <c r="J446">
        <v>29505469</v>
      </c>
      <c r="K446" t="s">
        <v>2292</v>
      </c>
      <c r="L446" t="s">
        <v>752</v>
      </c>
      <c r="M446" t="s">
        <v>88</v>
      </c>
      <c r="N446">
        <v>186.5</v>
      </c>
      <c r="O446">
        <v>14.22</v>
      </c>
      <c r="P446">
        <v>2.2799999999999998</v>
      </c>
      <c r="Q446">
        <v>4.2561999999999998</v>
      </c>
      <c r="R446">
        <v>0.68100000000000005</v>
      </c>
      <c r="S446" t="s">
        <v>3252</v>
      </c>
      <c r="T446">
        <v>6</v>
      </c>
      <c r="U446" t="s">
        <v>89</v>
      </c>
      <c r="W446" t="s">
        <v>754</v>
      </c>
    </row>
    <row r="447" spans="1:23" outlineLevel="2" x14ac:dyDescent="0.25">
      <c r="A447" s="7" t="s">
        <v>82</v>
      </c>
      <c r="B447" s="7" t="s">
        <v>83</v>
      </c>
      <c r="C447" s="7">
        <v>30</v>
      </c>
      <c r="D447" s="7" t="s">
        <v>84</v>
      </c>
      <c r="E447" s="7">
        <v>184</v>
      </c>
      <c r="F447" s="7" t="s">
        <v>85</v>
      </c>
      <c r="G447" s="7">
        <v>8662</v>
      </c>
      <c r="H447" s="7" t="s">
        <v>36</v>
      </c>
      <c r="I447" s="7">
        <v>1000008662</v>
      </c>
      <c r="J447" s="7">
        <v>29505523</v>
      </c>
      <c r="K447" s="7" t="s">
        <v>2294</v>
      </c>
      <c r="L447" s="7" t="s">
        <v>753</v>
      </c>
      <c r="M447" s="7" t="s">
        <v>88</v>
      </c>
      <c r="N447" s="7">
        <v>182.5</v>
      </c>
      <c r="O447" s="7">
        <v>14.22</v>
      </c>
      <c r="P447" s="7">
        <v>2.2799999999999998</v>
      </c>
      <c r="Q447" s="7">
        <v>4.2561999999999998</v>
      </c>
      <c r="R447" s="7">
        <v>0.68100000000000005</v>
      </c>
      <c r="S447" s="7" t="s">
        <v>3254</v>
      </c>
      <c r="T447" s="7">
        <v>6</v>
      </c>
      <c r="U447" s="7" t="s">
        <v>89</v>
      </c>
      <c r="V447" s="7"/>
      <c r="W447" t="s">
        <v>754</v>
      </c>
    </row>
    <row r="448" spans="1:23" outlineLevel="2" x14ac:dyDescent="0.25">
      <c r="A448" t="s">
        <v>82</v>
      </c>
      <c r="B448" t="s">
        <v>83</v>
      </c>
      <c r="C448">
        <v>30</v>
      </c>
      <c r="D448" t="s">
        <v>84</v>
      </c>
      <c r="E448">
        <v>184</v>
      </c>
      <c r="F448" t="s">
        <v>85</v>
      </c>
      <c r="G448">
        <v>8662</v>
      </c>
      <c r="H448" t="s">
        <v>36</v>
      </c>
      <c r="I448">
        <v>1000008662</v>
      </c>
      <c r="J448">
        <v>29512689</v>
      </c>
      <c r="K448" t="s">
        <v>2315</v>
      </c>
      <c r="L448" t="s">
        <v>753</v>
      </c>
      <c r="M448" t="s">
        <v>88</v>
      </c>
      <c r="N448">
        <v>118.5</v>
      </c>
      <c r="O448">
        <v>14.22</v>
      </c>
      <c r="P448">
        <v>2.2799999999999998</v>
      </c>
      <c r="Q448">
        <v>4.2561999999999998</v>
      </c>
      <c r="R448">
        <v>0.68100000000000005</v>
      </c>
      <c r="S448" t="s">
        <v>3256</v>
      </c>
      <c r="T448">
        <v>6</v>
      </c>
      <c r="U448" t="s">
        <v>89</v>
      </c>
      <c r="W448" t="s">
        <v>754</v>
      </c>
    </row>
    <row r="449" spans="1:23" outlineLevel="2" x14ac:dyDescent="0.25">
      <c r="A449" t="s">
        <v>82</v>
      </c>
      <c r="B449" t="s">
        <v>83</v>
      </c>
      <c r="C449">
        <v>30</v>
      </c>
      <c r="D449" t="s">
        <v>84</v>
      </c>
      <c r="E449">
        <v>184</v>
      </c>
      <c r="F449" t="s">
        <v>85</v>
      </c>
      <c r="G449">
        <v>8662</v>
      </c>
      <c r="H449" t="s">
        <v>36</v>
      </c>
      <c r="I449">
        <v>1000008662</v>
      </c>
      <c r="J449">
        <v>29513799</v>
      </c>
      <c r="K449" t="s">
        <v>2317</v>
      </c>
      <c r="L449" t="s">
        <v>752</v>
      </c>
      <c r="M449" t="s">
        <v>88</v>
      </c>
      <c r="N449">
        <v>98.5</v>
      </c>
      <c r="O449">
        <v>14.22</v>
      </c>
      <c r="P449">
        <v>2.2799999999999998</v>
      </c>
      <c r="Q449">
        <v>4.2561999999999998</v>
      </c>
      <c r="R449">
        <v>0.68100000000000005</v>
      </c>
      <c r="S449" t="s">
        <v>3258</v>
      </c>
      <c r="T449">
        <v>6</v>
      </c>
      <c r="U449" t="s">
        <v>89</v>
      </c>
      <c r="W449" t="s">
        <v>754</v>
      </c>
    </row>
    <row r="450" spans="1:23" outlineLevel="2" x14ac:dyDescent="0.25">
      <c r="A450" t="s">
        <v>82</v>
      </c>
      <c r="B450" t="s">
        <v>83</v>
      </c>
      <c r="C450">
        <v>30</v>
      </c>
      <c r="D450" t="s">
        <v>84</v>
      </c>
      <c r="E450">
        <v>184</v>
      </c>
      <c r="F450" t="s">
        <v>85</v>
      </c>
      <c r="G450">
        <v>8662</v>
      </c>
      <c r="H450" t="s">
        <v>36</v>
      </c>
      <c r="I450">
        <v>1000008662</v>
      </c>
      <c r="J450">
        <v>29514027</v>
      </c>
      <c r="K450" t="s">
        <v>2320</v>
      </c>
      <c r="L450" t="s">
        <v>752</v>
      </c>
      <c r="M450" t="s">
        <v>88</v>
      </c>
      <c r="N450">
        <v>44.5</v>
      </c>
      <c r="O450">
        <v>14.22</v>
      </c>
      <c r="P450">
        <v>2.2799999999999998</v>
      </c>
      <c r="Q450">
        <v>4.2561999999999998</v>
      </c>
      <c r="R450">
        <v>0.68100000000000005</v>
      </c>
      <c r="S450" t="s">
        <v>3260</v>
      </c>
      <c r="T450">
        <v>6</v>
      </c>
      <c r="U450" t="s">
        <v>89</v>
      </c>
      <c r="W450" t="s">
        <v>754</v>
      </c>
    </row>
    <row r="451" spans="1:23" outlineLevel="2" x14ac:dyDescent="0.25">
      <c r="A451" t="s">
        <v>82</v>
      </c>
      <c r="B451" t="s">
        <v>83</v>
      </c>
      <c r="C451">
        <v>30</v>
      </c>
      <c r="D451" t="s">
        <v>84</v>
      </c>
      <c r="E451">
        <v>184</v>
      </c>
      <c r="F451" t="s">
        <v>85</v>
      </c>
      <c r="G451">
        <v>8663</v>
      </c>
      <c r="H451" t="s">
        <v>42</v>
      </c>
      <c r="I451">
        <v>1000008663</v>
      </c>
      <c r="J451">
        <v>29427198</v>
      </c>
      <c r="K451" t="s">
        <v>1646</v>
      </c>
      <c r="L451" t="s">
        <v>752</v>
      </c>
      <c r="M451" t="s">
        <v>88</v>
      </c>
      <c r="N451">
        <v>445.5</v>
      </c>
      <c r="O451">
        <v>14.22</v>
      </c>
      <c r="P451">
        <v>2.2799999999999998</v>
      </c>
      <c r="Q451">
        <v>4.2561999999999998</v>
      </c>
      <c r="R451">
        <v>0.68100000000000005</v>
      </c>
      <c r="S451" t="s">
        <v>1574</v>
      </c>
      <c r="T451">
        <v>6</v>
      </c>
      <c r="U451" t="s">
        <v>89</v>
      </c>
      <c r="W451" t="s">
        <v>754</v>
      </c>
    </row>
    <row r="452" spans="1:23" outlineLevel="2" x14ac:dyDescent="0.25">
      <c r="A452" t="s">
        <v>82</v>
      </c>
      <c r="B452" t="s">
        <v>83</v>
      </c>
      <c r="C452">
        <v>30</v>
      </c>
      <c r="D452" t="s">
        <v>84</v>
      </c>
      <c r="E452">
        <v>184</v>
      </c>
      <c r="F452" t="s">
        <v>85</v>
      </c>
      <c r="G452">
        <v>8663</v>
      </c>
      <c r="H452" t="s">
        <v>42</v>
      </c>
      <c r="I452">
        <v>1000008663</v>
      </c>
      <c r="J452">
        <v>29427221</v>
      </c>
      <c r="K452" t="s">
        <v>1648</v>
      </c>
      <c r="L452" t="s">
        <v>752</v>
      </c>
      <c r="M452" t="s">
        <v>88</v>
      </c>
      <c r="N452">
        <v>689.5</v>
      </c>
      <c r="O452">
        <v>14.22</v>
      </c>
      <c r="P452">
        <v>2.2799999999999998</v>
      </c>
      <c r="Q452">
        <v>4.2561999999999998</v>
      </c>
      <c r="R452">
        <v>0.68100000000000005</v>
      </c>
      <c r="S452" t="s">
        <v>586</v>
      </c>
      <c r="T452">
        <v>6</v>
      </c>
      <c r="U452" t="s">
        <v>89</v>
      </c>
      <c r="W452" t="s">
        <v>754</v>
      </c>
    </row>
    <row r="453" spans="1:23" outlineLevel="2" x14ac:dyDescent="0.25">
      <c r="A453" s="8" t="s">
        <v>82</v>
      </c>
      <c r="B453" s="8" t="s">
        <v>83</v>
      </c>
      <c r="C453" s="8">
        <v>30</v>
      </c>
      <c r="D453" s="8" t="s">
        <v>84</v>
      </c>
      <c r="E453" s="8">
        <v>184</v>
      </c>
      <c r="F453" s="8" t="s">
        <v>85</v>
      </c>
      <c r="G453" s="8">
        <v>8663</v>
      </c>
      <c r="H453" s="8" t="s">
        <v>42</v>
      </c>
      <c r="I453" s="8">
        <v>1000008663</v>
      </c>
      <c r="J453" s="8">
        <v>29427477</v>
      </c>
      <c r="K453" s="8" t="s">
        <v>1649</v>
      </c>
      <c r="L453" s="8" t="s">
        <v>752</v>
      </c>
      <c r="M453" s="8" t="s">
        <v>88</v>
      </c>
      <c r="N453" s="8">
        <v>120.5</v>
      </c>
      <c r="O453" s="8">
        <v>14.22</v>
      </c>
      <c r="P453" s="8">
        <v>2.2799999999999998</v>
      </c>
      <c r="Q453" s="8">
        <v>4.2561999999999998</v>
      </c>
      <c r="R453" s="8">
        <v>0.68100000000000005</v>
      </c>
      <c r="S453" s="8" t="s">
        <v>507</v>
      </c>
      <c r="T453" s="8">
        <v>6</v>
      </c>
      <c r="U453" s="8" t="s">
        <v>89</v>
      </c>
      <c r="V453" s="8"/>
      <c r="W453" t="s">
        <v>754</v>
      </c>
    </row>
    <row r="454" spans="1:23" outlineLevel="2" x14ac:dyDescent="0.25">
      <c r="A454" t="s">
        <v>82</v>
      </c>
      <c r="B454" t="s">
        <v>83</v>
      </c>
      <c r="C454">
        <v>30</v>
      </c>
      <c r="D454" t="s">
        <v>84</v>
      </c>
      <c r="E454">
        <v>184</v>
      </c>
      <c r="F454" t="s">
        <v>85</v>
      </c>
      <c r="G454">
        <v>8663</v>
      </c>
      <c r="H454" t="s">
        <v>42</v>
      </c>
      <c r="I454">
        <v>1000008663</v>
      </c>
      <c r="J454">
        <v>29427496</v>
      </c>
      <c r="K454" t="s">
        <v>1650</v>
      </c>
      <c r="L454" t="s">
        <v>752</v>
      </c>
      <c r="M454" t="s">
        <v>88</v>
      </c>
      <c r="N454">
        <v>129.5</v>
      </c>
      <c r="O454">
        <v>14.22</v>
      </c>
      <c r="P454">
        <v>2.2799999999999998</v>
      </c>
      <c r="Q454">
        <v>4.2561999999999998</v>
      </c>
      <c r="R454">
        <v>0.68100000000000005</v>
      </c>
      <c r="S454" t="s">
        <v>508</v>
      </c>
      <c r="T454">
        <v>6</v>
      </c>
      <c r="U454" t="s">
        <v>89</v>
      </c>
      <c r="W454" t="s">
        <v>754</v>
      </c>
    </row>
    <row r="455" spans="1:23" outlineLevel="2" x14ac:dyDescent="0.25">
      <c r="A455" t="s">
        <v>82</v>
      </c>
      <c r="B455" t="s">
        <v>83</v>
      </c>
      <c r="C455">
        <v>30</v>
      </c>
      <c r="D455" t="s">
        <v>84</v>
      </c>
      <c r="E455">
        <v>184</v>
      </c>
      <c r="F455" t="s">
        <v>85</v>
      </c>
      <c r="G455">
        <v>8663</v>
      </c>
      <c r="H455" t="s">
        <v>42</v>
      </c>
      <c r="I455">
        <v>1000008663</v>
      </c>
      <c r="J455">
        <v>29427580</v>
      </c>
      <c r="K455" t="s">
        <v>1651</v>
      </c>
      <c r="L455" t="s">
        <v>752</v>
      </c>
      <c r="M455" t="s">
        <v>88</v>
      </c>
      <c r="N455">
        <v>135.5</v>
      </c>
      <c r="O455">
        <v>14.22</v>
      </c>
      <c r="P455">
        <v>2.2799999999999998</v>
      </c>
      <c r="Q455">
        <v>4.2561999999999998</v>
      </c>
      <c r="R455">
        <v>0.68100000000000005</v>
      </c>
      <c r="S455" t="s">
        <v>1578</v>
      </c>
      <c r="T455">
        <v>6</v>
      </c>
      <c r="U455" t="s">
        <v>89</v>
      </c>
      <c r="W455" t="s">
        <v>754</v>
      </c>
    </row>
    <row r="456" spans="1:23" outlineLevel="2" x14ac:dyDescent="0.25">
      <c r="A456" t="s">
        <v>82</v>
      </c>
      <c r="B456" t="s">
        <v>83</v>
      </c>
      <c r="C456">
        <v>30</v>
      </c>
      <c r="D456" t="s">
        <v>84</v>
      </c>
      <c r="E456">
        <v>184</v>
      </c>
      <c r="F456" t="s">
        <v>85</v>
      </c>
      <c r="G456">
        <v>8663</v>
      </c>
      <c r="H456" t="s">
        <v>42</v>
      </c>
      <c r="I456">
        <v>1000008663</v>
      </c>
      <c r="J456">
        <v>29429717</v>
      </c>
      <c r="K456" t="s">
        <v>1669</v>
      </c>
      <c r="L456" t="s">
        <v>752</v>
      </c>
      <c r="M456" t="s">
        <v>88</v>
      </c>
      <c r="N456">
        <v>304.5</v>
      </c>
      <c r="O456">
        <v>14.22</v>
      </c>
      <c r="P456">
        <v>2.2799999999999998</v>
      </c>
      <c r="Q456">
        <v>4.2561999999999998</v>
      </c>
      <c r="R456">
        <v>0.68100000000000005</v>
      </c>
      <c r="S456" t="s">
        <v>445</v>
      </c>
      <c r="T456">
        <v>6</v>
      </c>
      <c r="U456" t="s">
        <v>89</v>
      </c>
      <c r="W456" t="s">
        <v>754</v>
      </c>
    </row>
    <row r="457" spans="1:23" outlineLevel="2" x14ac:dyDescent="0.25">
      <c r="A457" s="8" t="s">
        <v>82</v>
      </c>
      <c r="B457" s="8" t="s">
        <v>83</v>
      </c>
      <c r="C457" s="8">
        <v>30</v>
      </c>
      <c r="D457" s="8" t="s">
        <v>84</v>
      </c>
      <c r="E457" s="8">
        <v>184</v>
      </c>
      <c r="F457" s="8" t="s">
        <v>85</v>
      </c>
      <c r="G457" s="8">
        <v>8663</v>
      </c>
      <c r="H457" s="8" t="s">
        <v>42</v>
      </c>
      <c r="I457" s="8">
        <v>1000008663</v>
      </c>
      <c r="J457" s="8">
        <v>29431066</v>
      </c>
      <c r="K457" s="8" t="s">
        <v>1677</v>
      </c>
      <c r="L457" s="8" t="s">
        <v>752</v>
      </c>
      <c r="M457" s="8" t="s">
        <v>88</v>
      </c>
      <c r="N457" s="8">
        <v>98.5</v>
      </c>
      <c r="O457" s="8">
        <v>14.22</v>
      </c>
      <c r="P457" s="8">
        <v>2.2799999999999998</v>
      </c>
      <c r="Q457" s="8">
        <v>4.2561999999999998</v>
      </c>
      <c r="R457" s="8">
        <v>0.68100000000000005</v>
      </c>
      <c r="S457" s="8" t="s">
        <v>452</v>
      </c>
      <c r="T457" s="8">
        <v>6</v>
      </c>
      <c r="U457" s="8" t="s">
        <v>89</v>
      </c>
      <c r="V457" s="8"/>
      <c r="W457" t="s">
        <v>754</v>
      </c>
    </row>
    <row r="458" spans="1:23" outlineLevel="2" x14ac:dyDescent="0.25">
      <c r="A458" s="8" t="s">
        <v>82</v>
      </c>
      <c r="B458" s="8" t="s">
        <v>83</v>
      </c>
      <c r="C458" s="8">
        <v>30</v>
      </c>
      <c r="D458" s="8" t="s">
        <v>84</v>
      </c>
      <c r="E458" s="8">
        <v>184</v>
      </c>
      <c r="F458" s="8" t="s">
        <v>85</v>
      </c>
      <c r="G458" s="8">
        <v>8663</v>
      </c>
      <c r="H458" s="8" t="s">
        <v>42</v>
      </c>
      <c r="I458" s="8">
        <v>1000008663</v>
      </c>
      <c r="J458" s="8">
        <v>29432115</v>
      </c>
      <c r="K458" s="8" t="s">
        <v>1683</v>
      </c>
      <c r="L458" s="8" t="s">
        <v>752</v>
      </c>
      <c r="M458" s="8" t="s">
        <v>88</v>
      </c>
      <c r="N458" s="8">
        <v>189.5</v>
      </c>
      <c r="O458" s="8">
        <v>14.22</v>
      </c>
      <c r="P458" s="8">
        <v>2.2799999999999998</v>
      </c>
      <c r="Q458" s="8">
        <v>4.2561999999999998</v>
      </c>
      <c r="R458" s="8">
        <v>0.68100000000000005</v>
      </c>
      <c r="S458" s="8" t="s">
        <v>588</v>
      </c>
      <c r="T458" s="8">
        <v>6</v>
      </c>
      <c r="U458" s="8" t="s">
        <v>89</v>
      </c>
      <c r="V458" s="8"/>
      <c r="W458" t="s">
        <v>754</v>
      </c>
    </row>
    <row r="459" spans="1:23" outlineLevel="2" x14ac:dyDescent="0.25">
      <c r="A459" t="s">
        <v>82</v>
      </c>
      <c r="B459" t="s">
        <v>83</v>
      </c>
      <c r="C459">
        <v>30</v>
      </c>
      <c r="D459" t="s">
        <v>84</v>
      </c>
      <c r="E459">
        <v>184</v>
      </c>
      <c r="F459" t="s">
        <v>85</v>
      </c>
      <c r="G459">
        <v>8663</v>
      </c>
      <c r="H459" t="s">
        <v>42</v>
      </c>
      <c r="I459">
        <v>1000008663</v>
      </c>
      <c r="J459">
        <v>29435011</v>
      </c>
      <c r="K459" t="s">
        <v>1702</v>
      </c>
      <c r="L459" t="s">
        <v>752</v>
      </c>
      <c r="M459" t="s">
        <v>88</v>
      </c>
      <c r="N459">
        <v>131.5</v>
      </c>
      <c r="O459">
        <v>14.22</v>
      </c>
      <c r="P459">
        <v>2.2799999999999998</v>
      </c>
      <c r="Q459">
        <v>4.2561999999999998</v>
      </c>
      <c r="R459">
        <v>0.68100000000000005</v>
      </c>
      <c r="S459" t="s">
        <v>600</v>
      </c>
      <c r="T459">
        <v>6</v>
      </c>
      <c r="U459" t="s">
        <v>89</v>
      </c>
      <c r="W459" t="s">
        <v>754</v>
      </c>
    </row>
    <row r="460" spans="1:23" outlineLevel="2" x14ac:dyDescent="0.25">
      <c r="A460" t="s">
        <v>82</v>
      </c>
      <c r="B460" t="s">
        <v>83</v>
      </c>
      <c r="C460">
        <v>30</v>
      </c>
      <c r="D460" t="s">
        <v>84</v>
      </c>
      <c r="E460">
        <v>184</v>
      </c>
      <c r="F460" t="s">
        <v>85</v>
      </c>
      <c r="G460">
        <v>8663</v>
      </c>
      <c r="H460" t="s">
        <v>42</v>
      </c>
      <c r="I460">
        <v>1000008663</v>
      </c>
      <c r="J460">
        <v>29438863</v>
      </c>
      <c r="K460" t="s">
        <v>1726</v>
      </c>
      <c r="L460" t="s">
        <v>752</v>
      </c>
      <c r="M460" t="s">
        <v>88</v>
      </c>
      <c r="N460">
        <v>56.5</v>
      </c>
      <c r="O460">
        <v>14.22</v>
      </c>
      <c r="P460">
        <v>2.2799999999999998</v>
      </c>
      <c r="Q460">
        <v>4.2561999999999998</v>
      </c>
      <c r="R460">
        <v>0.68100000000000005</v>
      </c>
      <c r="S460" t="s">
        <v>792</v>
      </c>
      <c r="T460">
        <v>6</v>
      </c>
      <c r="U460" t="s">
        <v>89</v>
      </c>
      <c r="W460" t="s">
        <v>754</v>
      </c>
    </row>
    <row r="461" spans="1:23" outlineLevel="2" x14ac:dyDescent="0.25">
      <c r="A461" t="s">
        <v>82</v>
      </c>
      <c r="B461" t="s">
        <v>83</v>
      </c>
      <c r="C461">
        <v>30</v>
      </c>
      <c r="D461" t="s">
        <v>84</v>
      </c>
      <c r="E461">
        <v>184</v>
      </c>
      <c r="F461" t="s">
        <v>85</v>
      </c>
      <c r="G461">
        <v>8663</v>
      </c>
      <c r="H461" t="s">
        <v>42</v>
      </c>
      <c r="I461">
        <v>1000008663</v>
      </c>
      <c r="J461">
        <v>29439891</v>
      </c>
      <c r="K461" t="s">
        <v>1732</v>
      </c>
      <c r="L461" t="s">
        <v>752</v>
      </c>
      <c r="M461" t="s">
        <v>88</v>
      </c>
      <c r="N461">
        <v>85.5</v>
      </c>
      <c r="O461">
        <v>14.22</v>
      </c>
      <c r="P461">
        <v>2.2799999999999998</v>
      </c>
      <c r="Q461">
        <v>4.2561999999999998</v>
      </c>
      <c r="R461">
        <v>0.68100000000000005</v>
      </c>
      <c r="S461" t="s">
        <v>525</v>
      </c>
      <c r="T461">
        <v>6</v>
      </c>
      <c r="U461" t="s">
        <v>89</v>
      </c>
      <c r="W461" t="s">
        <v>754</v>
      </c>
    </row>
    <row r="462" spans="1:23" outlineLevel="2" x14ac:dyDescent="0.25">
      <c r="A462" t="s">
        <v>82</v>
      </c>
      <c r="B462" t="s">
        <v>83</v>
      </c>
      <c r="C462">
        <v>30</v>
      </c>
      <c r="D462" t="s">
        <v>84</v>
      </c>
      <c r="E462">
        <v>184</v>
      </c>
      <c r="F462" t="s">
        <v>85</v>
      </c>
      <c r="G462">
        <v>8663</v>
      </c>
      <c r="H462" t="s">
        <v>42</v>
      </c>
      <c r="I462">
        <v>1000008663</v>
      </c>
      <c r="J462">
        <v>29439907</v>
      </c>
      <c r="K462" t="s">
        <v>1733</v>
      </c>
      <c r="L462" t="s">
        <v>752</v>
      </c>
      <c r="M462" t="s">
        <v>88</v>
      </c>
      <c r="N462">
        <v>45.5</v>
      </c>
      <c r="O462">
        <v>14.22</v>
      </c>
      <c r="P462">
        <v>2.2799999999999998</v>
      </c>
      <c r="Q462">
        <v>4.2561999999999998</v>
      </c>
      <c r="R462">
        <v>0.68100000000000005</v>
      </c>
      <c r="S462" t="s">
        <v>524</v>
      </c>
      <c r="T462">
        <v>6</v>
      </c>
      <c r="U462" t="s">
        <v>89</v>
      </c>
      <c r="W462" t="s">
        <v>754</v>
      </c>
    </row>
    <row r="463" spans="1:23" outlineLevel="2" x14ac:dyDescent="0.25">
      <c r="A463" s="8" t="s">
        <v>82</v>
      </c>
      <c r="B463" s="8" t="s">
        <v>83</v>
      </c>
      <c r="C463" s="8">
        <v>30</v>
      </c>
      <c r="D463" s="8" t="s">
        <v>84</v>
      </c>
      <c r="E463" s="8">
        <v>184</v>
      </c>
      <c r="F463" s="8" t="s">
        <v>85</v>
      </c>
      <c r="G463" s="8">
        <v>8663</v>
      </c>
      <c r="H463" s="8" t="s">
        <v>42</v>
      </c>
      <c r="I463" s="8">
        <v>1000008663</v>
      </c>
      <c r="J463" s="8">
        <v>29442896</v>
      </c>
      <c r="K463" s="8" t="s">
        <v>1752</v>
      </c>
      <c r="L463" s="8" t="s">
        <v>752</v>
      </c>
      <c r="M463" s="8" t="s">
        <v>88</v>
      </c>
      <c r="N463" s="8">
        <v>165.5</v>
      </c>
      <c r="O463" s="8">
        <v>14.22</v>
      </c>
      <c r="P463" s="8">
        <v>2.2799999999999998</v>
      </c>
      <c r="Q463" s="8">
        <v>4.2561999999999998</v>
      </c>
      <c r="R463" s="8">
        <v>0.68100000000000005</v>
      </c>
      <c r="S463" s="8" t="s">
        <v>674</v>
      </c>
      <c r="T463" s="8">
        <v>6</v>
      </c>
      <c r="U463" s="8" t="s">
        <v>89</v>
      </c>
      <c r="V463" s="8"/>
      <c r="W463" t="s">
        <v>754</v>
      </c>
    </row>
    <row r="464" spans="1:23" outlineLevel="2" x14ac:dyDescent="0.25">
      <c r="A464" t="s">
        <v>82</v>
      </c>
      <c r="B464" t="s">
        <v>83</v>
      </c>
      <c r="C464">
        <v>30</v>
      </c>
      <c r="D464" t="s">
        <v>84</v>
      </c>
      <c r="E464">
        <v>184</v>
      </c>
      <c r="F464" t="s">
        <v>85</v>
      </c>
      <c r="G464">
        <v>8663</v>
      </c>
      <c r="H464" t="s">
        <v>42</v>
      </c>
      <c r="I464">
        <v>1000008663</v>
      </c>
      <c r="J464">
        <v>29443174</v>
      </c>
      <c r="K464" t="s">
        <v>1757</v>
      </c>
      <c r="L464" t="s">
        <v>752</v>
      </c>
      <c r="M464" t="s">
        <v>88</v>
      </c>
      <c r="N464">
        <v>189.5</v>
      </c>
      <c r="O464">
        <v>14.22</v>
      </c>
      <c r="P464">
        <v>2.2799999999999998</v>
      </c>
      <c r="Q464">
        <v>4.2561999999999998</v>
      </c>
      <c r="R464">
        <v>0.68100000000000005</v>
      </c>
      <c r="S464" t="s">
        <v>1399</v>
      </c>
      <c r="T464">
        <v>6</v>
      </c>
      <c r="U464" t="s">
        <v>89</v>
      </c>
      <c r="W464" t="s">
        <v>754</v>
      </c>
    </row>
    <row r="465" spans="1:23" outlineLevel="2" x14ac:dyDescent="0.25">
      <c r="A465" s="8" t="s">
        <v>82</v>
      </c>
      <c r="B465" s="8" t="s">
        <v>83</v>
      </c>
      <c r="C465" s="8">
        <v>30</v>
      </c>
      <c r="D465" s="8" t="s">
        <v>84</v>
      </c>
      <c r="E465" s="8">
        <v>184</v>
      </c>
      <c r="F465" s="8" t="s">
        <v>85</v>
      </c>
      <c r="G465" s="8">
        <v>8663</v>
      </c>
      <c r="H465" s="8" t="s">
        <v>42</v>
      </c>
      <c r="I465" s="8">
        <v>1000008663</v>
      </c>
      <c r="J465" s="8">
        <v>29444376</v>
      </c>
      <c r="K465" s="8" t="s">
        <v>1763</v>
      </c>
      <c r="L465" s="8" t="s">
        <v>753</v>
      </c>
      <c r="M465" s="8" t="s">
        <v>88</v>
      </c>
      <c r="N465" s="8">
        <v>93.5</v>
      </c>
      <c r="O465" s="8">
        <v>14.22</v>
      </c>
      <c r="P465" s="8">
        <v>2.2799999999999998</v>
      </c>
      <c r="Q465" s="8">
        <v>4.2561999999999998</v>
      </c>
      <c r="R465" s="8">
        <v>0.68100000000000005</v>
      </c>
      <c r="S465" s="8" t="s">
        <v>1454</v>
      </c>
      <c r="T465" s="8">
        <v>6</v>
      </c>
      <c r="U465" s="8" t="s">
        <v>89</v>
      </c>
      <c r="V465" s="8"/>
      <c r="W465" t="s">
        <v>754</v>
      </c>
    </row>
    <row r="466" spans="1:23" outlineLevel="2" x14ac:dyDescent="0.25">
      <c r="A466" t="s">
        <v>82</v>
      </c>
      <c r="B466" t="s">
        <v>83</v>
      </c>
      <c r="C466">
        <v>30</v>
      </c>
      <c r="D466" t="s">
        <v>84</v>
      </c>
      <c r="E466">
        <v>184</v>
      </c>
      <c r="F466" t="s">
        <v>85</v>
      </c>
      <c r="G466">
        <v>8663</v>
      </c>
      <c r="H466" t="s">
        <v>42</v>
      </c>
      <c r="I466">
        <v>1000008663</v>
      </c>
      <c r="J466">
        <v>29444875</v>
      </c>
      <c r="K466" t="s">
        <v>1773</v>
      </c>
      <c r="L466" t="s">
        <v>752</v>
      </c>
      <c r="M466" t="s">
        <v>88</v>
      </c>
      <c r="N466">
        <v>130.5</v>
      </c>
      <c r="O466">
        <v>14.22</v>
      </c>
      <c r="P466">
        <v>2.2799999999999998</v>
      </c>
      <c r="Q466">
        <v>4.2561999999999998</v>
      </c>
      <c r="R466">
        <v>0.68100000000000005</v>
      </c>
      <c r="S466" t="s">
        <v>1401</v>
      </c>
      <c r="T466">
        <v>6</v>
      </c>
      <c r="U466" t="s">
        <v>89</v>
      </c>
      <c r="W466" t="s">
        <v>754</v>
      </c>
    </row>
    <row r="467" spans="1:23" outlineLevel="2" x14ac:dyDescent="0.25">
      <c r="A467" s="8" t="s">
        <v>82</v>
      </c>
      <c r="B467" s="8" t="s">
        <v>83</v>
      </c>
      <c r="C467" s="8">
        <v>30</v>
      </c>
      <c r="D467" s="8" t="s">
        <v>84</v>
      </c>
      <c r="E467" s="8">
        <v>184</v>
      </c>
      <c r="F467" s="8" t="s">
        <v>85</v>
      </c>
      <c r="G467" s="8">
        <v>8663</v>
      </c>
      <c r="H467" s="8" t="s">
        <v>42</v>
      </c>
      <c r="I467" s="8">
        <v>1000008663</v>
      </c>
      <c r="J467" s="8">
        <v>29448452</v>
      </c>
      <c r="K467" s="8" t="s">
        <v>1792</v>
      </c>
      <c r="L467" s="8" t="s">
        <v>752</v>
      </c>
      <c r="M467" s="8" t="s">
        <v>88</v>
      </c>
      <c r="N467" s="8">
        <v>44.5</v>
      </c>
      <c r="O467" s="8">
        <v>14.22</v>
      </c>
      <c r="P467" s="8">
        <v>2.2799999999999998</v>
      </c>
      <c r="Q467" s="8">
        <v>4.2561999999999998</v>
      </c>
      <c r="R467" s="8">
        <v>0.68100000000000005</v>
      </c>
      <c r="S467" s="8" t="s">
        <v>1456</v>
      </c>
      <c r="T467" s="8">
        <v>6</v>
      </c>
      <c r="U467" s="8" t="s">
        <v>89</v>
      </c>
      <c r="V467" s="8"/>
    </row>
    <row r="468" spans="1:23" outlineLevel="2" x14ac:dyDescent="0.25">
      <c r="A468" t="s">
        <v>82</v>
      </c>
      <c r="B468" t="s">
        <v>83</v>
      </c>
      <c r="C468">
        <v>30</v>
      </c>
      <c r="D468" t="s">
        <v>84</v>
      </c>
      <c r="E468">
        <v>184</v>
      </c>
      <c r="F468" t="s">
        <v>85</v>
      </c>
      <c r="G468">
        <v>8663</v>
      </c>
      <c r="H468" t="s">
        <v>42</v>
      </c>
      <c r="I468">
        <v>1000008663</v>
      </c>
      <c r="J468">
        <v>29449812</v>
      </c>
      <c r="K468" t="s">
        <v>1800</v>
      </c>
      <c r="L468" t="s">
        <v>752</v>
      </c>
      <c r="M468" t="s">
        <v>88</v>
      </c>
      <c r="N468">
        <v>106.5</v>
      </c>
      <c r="O468">
        <v>14.22</v>
      </c>
      <c r="P468">
        <v>2.2799999999999998</v>
      </c>
      <c r="Q468">
        <v>4.2561999999999998</v>
      </c>
      <c r="R468">
        <v>0.68100000000000005</v>
      </c>
      <c r="S468" t="s">
        <v>1190</v>
      </c>
      <c r="T468">
        <v>6</v>
      </c>
      <c r="U468" t="s">
        <v>89</v>
      </c>
      <c r="W468" t="s">
        <v>754</v>
      </c>
    </row>
    <row r="469" spans="1:23" outlineLevel="2" x14ac:dyDescent="0.25">
      <c r="A469" t="s">
        <v>82</v>
      </c>
      <c r="B469" t="s">
        <v>83</v>
      </c>
      <c r="C469">
        <v>30</v>
      </c>
      <c r="D469" t="s">
        <v>84</v>
      </c>
      <c r="E469">
        <v>184</v>
      </c>
      <c r="F469" t="s">
        <v>85</v>
      </c>
      <c r="G469">
        <v>8663</v>
      </c>
      <c r="H469" t="s">
        <v>42</v>
      </c>
      <c r="I469">
        <v>1000008663</v>
      </c>
      <c r="J469">
        <v>29450563</v>
      </c>
      <c r="K469" t="s">
        <v>1812</v>
      </c>
      <c r="L469" t="s">
        <v>752</v>
      </c>
      <c r="M469" t="s">
        <v>88</v>
      </c>
      <c r="N469">
        <v>151.5</v>
      </c>
      <c r="O469">
        <v>14.22</v>
      </c>
      <c r="P469">
        <v>2.2799999999999998</v>
      </c>
      <c r="Q469">
        <v>4.2561999999999998</v>
      </c>
      <c r="R469">
        <v>0.68100000000000005</v>
      </c>
      <c r="S469" t="s">
        <v>1192</v>
      </c>
      <c r="T469">
        <v>6</v>
      </c>
      <c r="U469" t="s">
        <v>89</v>
      </c>
      <c r="W469" t="s">
        <v>754</v>
      </c>
    </row>
    <row r="470" spans="1:23" outlineLevel="2" x14ac:dyDescent="0.25">
      <c r="A470" s="8" t="s">
        <v>82</v>
      </c>
      <c r="B470" s="8" t="s">
        <v>83</v>
      </c>
      <c r="C470" s="8">
        <v>30</v>
      </c>
      <c r="D470" s="8" t="s">
        <v>84</v>
      </c>
      <c r="E470" s="8">
        <v>184</v>
      </c>
      <c r="F470" s="8" t="s">
        <v>85</v>
      </c>
      <c r="G470" s="8">
        <v>8663</v>
      </c>
      <c r="H470" s="8" t="s">
        <v>42</v>
      </c>
      <c r="I470" s="8">
        <v>1000008663</v>
      </c>
      <c r="J470" s="8">
        <v>29450757</v>
      </c>
      <c r="K470" s="8" t="s">
        <v>1817</v>
      </c>
      <c r="L470" s="8" t="s">
        <v>753</v>
      </c>
      <c r="M470" s="8" t="s">
        <v>88</v>
      </c>
      <c r="N470" s="8">
        <v>160.5</v>
      </c>
      <c r="O470" s="8">
        <v>14.22</v>
      </c>
      <c r="P470" s="8">
        <v>2.2799999999999998</v>
      </c>
      <c r="Q470" s="8">
        <v>4.2561999999999998</v>
      </c>
      <c r="R470" s="8">
        <v>0.68100000000000005</v>
      </c>
      <c r="S470" s="8" t="s">
        <v>1265</v>
      </c>
      <c r="T470" s="8">
        <v>6</v>
      </c>
      <c r="U470" s="8" t="s">
        <v>89</v>
      </c>
      <c r="V470" s="8"/>
      <c r="W470" t="s">
        <v>754</v>
      </c>
    </row>
    <row r="471" spans="1:23" outlineLevel="2" x14ac:dyDescent="0.25">
      <c r="A471" t="s">
        <v>82</v>
      </c>
      <c r="B471" t="s">
        <v>83</v>
      </c>
      <c r="C471">
        <v>30</v>
      </c>
      <c r="D471" t="s">
        <v>84</v>
      </c>
      <c r="E471">
        <v>184</v>
      </c>
      <c r="F471" t="s">
        <v>85</v>
      </c>
      <c r="G471">
        <v>8663</v>
      </c>
      <c r="H471" t="s">
        <v>42</v>
      </c>
      <c r="I471">
        <v>1000008663</v>
      </c>
      <c r="J471">
        <v>29451131</v>
      </c>
      <c r="K471" t="s">
        <v>1818</v>
      </c>
      <c r="L471" t="s">
        <v>752</v>
      </c>
      <c r="M471" t="s">
        <v>88</v>
      </c>
      <c r="N471">
        <v>44.5</v>
      </c>
      <c r="O471">
        <v>14.22</v>
      </c>
      <c r="P471">
        <v>2.2799999999999998</v>
      </c>
      <c r="Q471">
        <v>4.2561999999999998</v>
      </c>
      <c r="R471">
        <v>0.68100000000000005</v>
      </c>
      <c r="S471" t="s">
        <v>1194</v>
      </c>
      <c r="T471">
        <v>6</v>
      </c>
      <c r="U471" t="s">
        <v>89</v>
      </c>
      <c r="W471" t="s">
        <v>754</v>
      </c>
    </row>
    <row r="472" spans="1:23" outlineLevel="2" x14ac:dyDescent="0.25">
      <c r="A472" s="7" t="s">
        <v>82</v>
      </c>
      <c r="B472" s="7" t="s">
        <v>83</v>
      </c>
      <c r="C472" s="7">
        <v>30</v>
      </c>
      <c r="D472" s="7" t="s">
        <v>84</v>
      </c>
      <c r="E472" s="7">
        <v>184</v>
      </c>
      <c r="F472" s="7" t="s">
        <v>85</v>
      </c>
      <c r="G472" s="7">
        <v>8663</v>
      </c>
      <c r="H472" s="7" t="s">
        <v>42</v>
      </c>
      <c r="I472" s="7">
        <v>1000008663</v>
      </c>
      <c r="J472" s="7">
        <v>29454579</v>
      </c>
      <c r="K472" s="7" t="s">
        <v>1829</v>
      </c>
      <c r="L472" s="7" t="s">
        <v>752</v>
      </c>
      <c r="M472" s="7" t="s">
        <v>88</v>
      </c>
      <c r="N472" s="7">
        <v>710.5</v>
      </c>
      <c r="O472" s="7">
        <v>14.22</v>
      </c>
      <c r="P472" s="7">
        <v>2.2799999999999998</v>
      </c>
      <c r="Q472" s="7">
        <v>4.2561999999999998</v>
      </c>
      <c r="R472" s="7">
        <v>0.68100000000000005</v>
      </c>
      <c r="S472" s="7" t="s">
        <v>1196</v>
      </c>
      <c r="T472" s="7">
        <v>6</v>
      </c>
      <c r="U472" s="7" t="s">
        <v>89</v>
      </c>
      <c r="V472" s="7"/>
      <c r="W472" t="s">
        <v>754</v>
      </c>
    </row>
    <row r="473" spans="1:23" outlineLevel="2" x14ac:dyDescent="0.25">
      <c r="A473" t="s">
        <v>82</v>
      </c>
      <c r="B473" t="s">
        <v>83</v>
      </c>
      <c r="C473">
        <v>30</v>
      </c>
      <c r="D473" t="s">
        <v>84</v>
      </c>
      <c r="E473">
        <v>184</v>
      </c>
      <c r="F473" t="s">
        <v>85</v>
      </c>
      <c r="G473">
        <v>8663</v>
      </c>
      <c r="H473" t="s">
        <v>42</v>
      </c>
      <c r="I473">
        <v>1000008663</v>
      </c>
      <c r="J473">
        <v>29454642</v>
      </c>
      <c r="K473" t="s">
        <v>1831</v>
      </c>
      <c r="L473" t="s">
        <v>752</v>
      </c>
      <c r="M473" t="s">
        <v>88</v>
      </c>
      <c r="N473">
        <v>53.5</v>
      </c>
      <c r="O473">
        <v>14.22</v>
      </c>
      <c r="P473">
        <v>2.2799999999999998</v>
      </c>
      <c r="Q473">
        <v>4.2561999999999998</v>
      </c>
      <c r="R473">
        <v>0.68100000000000005</v>
      </c>
      <c r="S473" t="s">
        <v>1198</v>
      </c>
      <c r="T473">
        <v>6</v>
      </c>
      <c r="U473" t="s">
        <v>89</v>
      </c>
      <c r="W473" t="s">
        <v>754</v>
      </c>
    </row>
    <row r="474" spans="1:23" outlineLevel="2" x14ac:dyDescent="0.25">
      <c r="A474" t="s">
        <v>82</v>
      </c>
      <c r="B474" t="s">
        <v>83</v>
      </c>
      <c r="C474">
        <v>30</v>
      </c>
      <c r="D474" t="s">
        <v>84</v>
      </c>
      <c r="E474">
        <v>184</v>
      </c>
      <c r="F474" t="s">
        <v>85</v>
      </c>
      <c r="G474">
        <v>8663</v>
      </c>
      <c r="H474" t="s">
        <v>42</v>
      </c>
      <c r="I474">
        <v>1000008663</v>
      </c>
      <c r="J474">
        <v>29456832</v>
      </c>
      <c r="K474" t="s">
        <v>1836</v>
      </c>
      <c r="L474" t="s">
        <v>752</v>
      </c>
      <c r="M474" t="s">
        <v>88</v>
      </c>
      <c r="N474">
        <v>137.5</v>
      </c>
      <c r="O474">
        <v>14.22</v>
      </c>
      <c r="P474">
        <v>2.2799999999999998</v>
      </c>
      <c r="Q474">
        <v>4.2561999999999998</v>
      </c>
      <c r="R474">
        <v>0.68100000000000005</v>
      </c>
      <c r="S474" t="s">
        <v>1200</v>
      </c>
      <c r="T474">
        <v>6</v>
      </c>
      <c r="U474" t="s">
        <v>89</v>
      </c>
      <c r="W474" t="s">
        <v>754</v>
      </c>
    </row>
    <row r="475" spans="1:23" outlineLevel="2" x14ac:dyDescent="0.25">
      <c r="A475" t="s">
        <v>82</v>
      </c>
      <c r="B475" t="s">
        <v>83</v>
      </c>
      <c r="C475">
        <v>30</v>
      </c>
      <c r="D475" t="s">
        <v>84</v>
      </c>
      <c r="E475">
        <v>184</v>
      </c>
      <c r="F475" t="s">
        <v>85</v>
      </c>
      <c r="G475">
        <v>8663</v>
      </c>
      <c r="H475" t="s">
        <v>42</v>
      </c>
      <c r="I475">
        <v>1000008663</v>
      </c>
      <c r="J475">
        <v>29456893</v>
      </c>
      <c r="K475" t="s">
        <v>1837</v>
      </c>
      <c r="L475" t="s">
        <v>752</v>
      </c>
      <c r="M475" t="s">
        <v>88</v>
      </c>
      <c r="N475">
        <v>95.5</v>
      </c>
      <c r="O475">
        <v>14.22</v>
      </c>
      <c r="P475">
        <v>2.2799999999999998</v>
      </c>
      <c r="Q475">
        <v>4.2561999999999998</v>
      </c>
      <c r="R475">
        <v>0.68100000000000005</v>
      </c>
      <c r="S475" t="s">
        <v>1202</v>
      </c>
      <c r="T475">
        <v>6</v>
      </c>
      <c r="U475" t="s">
        <v>89</v>
      </c>
      <c r="W475" t="s">
        <v>754</v>
      </c>
    </row>
    <row r="476" spans="1:23" outlineLevel="2" x14ac:dyDescent="0.25">
      <c r="A476" t="s">
        <v>82</v>
      </c>
      <c r="B476" t="s">
        <v>83</v>
      </c>
      <c r="C476">
        <v>30</v>
      </c>
      <c r="D476" t="s">
        <v>84</v>
      </c>
      <c r="E476">
        <v>184</v>
      </c>
      <c r="F476" t="s">
        <v>85</v>
      </c>
      <c r="G476">
        <v>8663</v>
      </c>
      <c r="H476" t="s">
        <v>42</v>
      </c>
      <c r="I476">
        <v>1000008663</v>
      </c>
      <c r="J476">
        <v>29457539</v>
      </c>
      <c r="K476" t="s">
        <v>1839</v>
      </c>
      <c r="L476" t="s">
        <v>752</v>
      </c>
      <c r="M476" t="s">
        <v>88</v>
      </c>
      <c r="N476">
        <v>167.5</v>
      </c>
      <c r="O476">
        <v>14.22</v>
      </c>
      <c r="P476">
        <v>2.2799999999999998</v>
      </c>
      <c r="Q476">
        <v>4.2561999999999998</v>
      </c>
      <c r="R476">
        <v>0.68100000000000005</v>
      </c>
      <c r="S476" t="s">
        <v>1204</v>
      </c>
      <c r="T476">
        <v>6</v>
      </c>
      <c r="U476" t="s">
        <v>89</v>
      </c>
      <c r="W476" t="s">
        <v>754</v>
      </c>
    </row>
    <row r="477" spans="1:23" outlineLevel="2" x14ac:dyDescent="0.25">
      <c r="A477" t="s">
        <v>82</v>
      </c>
      <c r="B477" t="s">
        <v>83</v>
      </c>
      <c r="C477">
        <v>30</v>
      </c>
      <c r="D477" t="s">
        <v>84</v>
      </c>
      <c r="E477">
        <v>184</v>
      </c>
      <c r="F477" t="s">
        <v>85</v>
      </c>
      <c r="G477">
        <v>8663</v>
      </c>
      <c r="H477" t="s">
        <v>42</v>
      </c>
      <c r="I477">
        <v>1000008663</v>
      </c>
      <c r="J477">
        <v>29470479</v>
      </c>
      <c r="K477" t="s">
        <v>1942</v>
      </c>
      <c r="L477" t="s">
        <v>752</v>
      </c>
      <c r="M477" t="s">
        <v>88</v>
      </c>
      <c r="N477">
        <v>372.5</v>
      </c>
      <c r="O477">
        <v>14.22</v>
      </c>
      <c r="P477">
        <v>2.2799999999999998</v>
      </c>
      <c r="Q477">
        <v>4.2561999999999998</v>
      </c>
      <c r="R477">
        <v>0.68100000000000005</v>
      </c>
      <c r="S477" t="s">
        <v>3262</v>
      </c>
      <c r="T477">
        <v>6</v>
      </c>
      <c r="U477" t="s">
        <v>89</v>
      </c>
      <c r="W477" t="s">
        <v>754</v>
      </c>
    </row>
    <row r="478" spans="1:23" outlineLevel="2" x14ac:dyDescent="0.25">
      <c r="A478" s="8" t="s">
        <v>82</v>
      </c>
      <c r="B478" s="8" t="s">
        <v>83</v>
      </c>
      <c r="C478" s="8">
        <v>30</v>
      </c>
      <c r="D478" s="8" t="s">
        <v>84</v>
      </c>
      <c r="E478" s="8">
        <v>184</v>
      </c>
      <c r="F478" s="8" t="s">
        <v>85</v>
      </c>
      <c r="G478" s="8">
        <v>8663</v>
      </c>
      <c r="H478" s="8" t="s">
        <v>42</v>
      </c>
      <c r="I478" s="8">
        <v>1000008663</v>
      </c>
      <c r="J478" s="8">
        <v>29473846</v>
      </c>
      <c r="K478" s="8" t="s">
        <v>2009</v>
      </c>
      <c r="L478" s="8" t="s">
        <v>752</v>
      </c>
      <c r="M478" s="8" t="s">
        <v>88</v>
      </c>
      <c r="N478" s="8">
        <v>103.5</v>
      </c>
      <c r="O478" s="8">
        <v>14.22</v>
      </c>
      <c r="P478" s="8">
        <v>2.2799999999999998</v>
      </c>
      <c r="Q478" s="8">
        <v>4.2561999999999998</v>
      </c>
      <c r="R478" s="8">
        <v>0.68100000000000005</v>
      </c>
      <c r="S478" s="8" t="s">
        <v>3505</v>
      </c>
      <c r="T478" s="8">
        <v>6</v>
      </c>
      <c r="U478" s="8" t="s">
        <v>89</v>
      </c>
      <c r="V478" s="8"/>
      <c r="W478" t="s">
        <v>754</v>
      </c>
    </row>
    <row r="479" spans="1:23" outlineLevel="2" x14ac:dyDescent="0.25">
      <c r="A479" t="s">
        <v>82</v>
      </c>
      <c r="B479" t="s">
        <v>83</v>
      </c>
      <c r="C479">
        <v>30</v>
      </c>
      <c r="D479" t="s">
        <v>84</v>
      </c>
      <c r="E479">
        <v>184</v>
      </c>
      <c r="F479" t="s">
        <v>85</v>
      </c>
      <c r="G479">
        <v>8663</v>
      </c>
      <c r="H479" t="s">
        <v>42</v>
      </c>
      <c r="I479">
        <v>1000008663</v>
      </c>
      <c r="J479">
        <v>29475888</v>
      </c>
      <c r="K479" t="s">
        <v>2038</v>
      </c>
      <c r="L479" t="s">
        <v>752</v>
      </c>
      <c r="M479" t="s">
        <v>88</v>
      </c>
      <c r="N479">
        <v>177.5</v>
      </c>
      <c r="O479">
        <v>14.22</v>
      </c>
      <c r="P479">
        <v>2.2799999999999998</v>
      </c>
      <c r="Q479">
        <v>4.2561999999999998</v>
      </c>
      <c r="R479">
        <v>0.68100000000000005</v>
      </c>
      <c r="S479" t="s">
        <v>3264</v>
      </c>
      <c r="T479">
        <v>6</v>
      </c>
      <c r="U479" t="s">
        <v>89</v>
      </c>
      <c r="W479" t="s">
        <v>754</v>
      </c>
    </row>
    <row r="480" spans="1:23" outlineLevel="2" x14ac:dyDescent="0.25">
      <c r="A480" t="s">
        <v>82</v>
      </c>
      <c r="B480" t="s">
        <v>83</v>
      </c>
      <c r="C480">
        <v>30</v>
      </c>
      <c r="D480" t="s">
        <v>84</v>
      </c>
      <c r="E480">
        <v>184</v>
      </c>
      <c r="F480" t="s">
        <v>85</v>
      </c>
      <c r="G480">
        <v>8663</v>
      </c>
      <c r="H480" t="s">
        <v>42</v>
      </c>
      <c r="I480">
        <v>1000008663</v>
      </c>
      <c r="J480">
        <v>29480311</v>
      </c>
      <c r="K480" t="s">
        <v>2096</v>
      </c>
      <c r="L480" t="s">
        <v>752</v>
      </c>
      <c r="M480" t="s">
        <v>88</v>
      </c>
      <c r="N480">
        <v>77.5</v>
      </c>
      <c r="O480">
        <v>14.22</v>
      </c>
      <c r="P480">
        <v>2.2799999999999998</v>
      </c>
      <c r="Q480">
        <v>4.2561999999999998</v>
      </c>
      <c r="R480">
        <v>0.68100000000000005</v>
      </c>
      <c r="S480" t="s">
        <v>3266</v>
      </c>
      <c r="T480">
        <v>6</v>
      </c>
      <c r="U480" t="s">
        <v>89</v>
      </c>
      <c r="W480" t="s">
        <v>754</v>
      </c>
    </row>
    <row r="481" spans="1:23" outlineLevel="2" x14ac:dyDescent="0.25">
      <c r="A481" t="s">
        <v>82</v>
      </c>
      <c r="B481" t="s">
        <v>83</v>
      </c>
      <c r="C481">
        <v>30</v>
      </c>
      <c r="D481" t="s">
        <v>84</v>
      </c>
      <c r="E481">
        <v>184</v>
      </c>
      <c r="F481" t="s">
        <v>85</v>
      </c>
      <c r="G481">
        <v>8663</v>
      </c>
      <c r="H481" t="s">
        <v>42</v>
      </c>
      <c r="I481">
        <v>1000008663</v>
      </c>
      <c r="J481">
        <v>29481944</v>
      </c>
      <c r="K481" t="s">
        <v>2117</v>
      </c>
      <c r="L481" t="s">
        <v>752</v>
      </c>
      <c r="M481" t="s">
        <v>88</v>
      </c>
      <c r="N481">
        <v>186.5</v>
      </c>
      <c r="O481">
        <v>14.22</v>
      </c>
      <c r="P481">
        <v>2.2799999999999998</v>
      </c>
      <c r="Q481">
        <v>4.2561999999999998</v>
      </c>
      <c r="R481">
        <v>0.68100000000000005</v>
      </c>
      <c r="S481" t="s">
        <v>3268</v>
      </c>
      <c r="T481">
        <v>6</v>
      </c>
      <c r="U481" t="s">
        <v>89</v>
      </c>
      <c r="W481" t="s">
        <v>754</v>
      </c>
    </row>
    <row r="482" spans="1:23" outlineLevel="2" x14ac:dyDescent="0.25">
      <c r="A482" t="s">
        <v>82</v>
      </c>
      <c r="B482" t="s">
        <v>83</v>
      </c>
      <c r="C482">
        <v>30</v>
      </c>
      <c r="D482" t="s">
        <v>84</v>
      </c>
      <c r="E482">
        <v>184</v>
      </c>
      <c r="F482" t="s">
        <v>85</v>
      </c>
      <c r="G482">
        <v>8663</v>
      </c>
      <c r="H482" t="s">
        <v>42</v>
      </c>
      <c r="I482">
        <v>1000008663</v>
      </c>
      <c r="J482">
        <v>29490117</v>
      </c>
      <c r="K482" t="s">
        <v>2175</v>
      </c>
      <c r="L482" t="s">
        <v>753</v>
      </c>
      <c r="M482" t="s">
        <v>88</v>
      </c>
      <c r="N482">
        <v>336.5</v>
      </c>
      <c r="O482">
        <v>14.22</v>
      </c>
      <c r="P482">
        <v>2.2799999999999998</v>
      </c>
      <c r="Q482">
        <v>4.2561999999999998</v>
      </c>
      <c r="R482">
        <v>0.68100000000000005</v>
      </c>
      <c r="S482" t="s">
        <v>3270</v>
      </c>
      <c r="T482">
        <v>6</v>
      </c>
      <c r="U482" t="s">
        <v>89</v>
      </c>
      <c r="W482" t="s">
        <v>754</v>
      </c>
    </row>
    <row r="483" spans="1:23" outlineLevel="2" x14ac:dyDescent="0.25">
      <c r="A483" t="s">
        <v>82</v>
      </c>
      <c r="B483" t="s">
        <v>83</v>
      </c>
      <c r="C483">
        <v>30</v>
      </c>
      <c r="D483" t="s">
        <v>84</v>
      </c>
      <c r="E483">
        <v>184</v>
      </c>
      <c r="F483" t="s">
        <v>85</v>
      </c>
      <c r="G483">
        <v>8663</v>
      </c>
      <c r="H483" t="s">
        <v>42</v>
      </c>
      <c r="I483">
        <v>1000008663</v>
      </c>
      <c r="J483">
        <v>29490669</v>
      </c>
      <c r="K483" t="s">
        <v>2183</v>
      </c>
      <c r="L483" t="s">
        <v>752</v>
      </c>
      <c r="M483" t="s">
        <v>88</v>
      </c>
      <c r="N483">
        <v>2062.5</v>
      </c>
      <c r="O483">
        <v>14.22</v>
      </c>
      <c r="P483">
        <v>2.2799999999999998</v>
      </c>
      <c r="Q483">
        <v>4.2561999999999998</v>
      </c>
      <c r="R483">
        <v>0.68100000000000005</v>
      </c>
      <c r="S483" t="s">
        <v>3272</v>
      </c>
      <c r="T483">
        <v>6</v>
      </c>
      <c r="U483" t="s">
        <v>89</v>
      </c>
      <c r="W483" t="s">
        <v>754</v>
      </c>
    </row>
    <row r="484" spans="1:23" outlineLevel="2" x14ac:dyDescent="0.25">
      <c r="A484" t="s">
        <v>82</v>
      </c>
      <c r="B484" t="s">
        <v>83</v>
      </c>
      <c r="C484">
        <v>30</v>
      </c>
      <c r="D484" t="s">
        <v>84</v>
      </c>
      <c r="E484">
        <v>184</v>
      </c>
      <c r="F484" t="s">
        <v>85</v>
      </c>
      <c r="G484">
        <v>8663</v>
      </c>
      <c r="H484" t="s">
        <v>42</v>
      </c>
      <c r="I484">
        <v>1000008663</v>
      </c>
      <c r="J484">
        <v>29492013</v>
      </c>
      <c r="K484" t="s">
        <v>2190</v>
      </c>
      <c r="L484" t="s">
        <v>752</v>
      </c>
      <c r="M484" t="s">
        <v>88</v>
      </c>
      <c r="N484">
        <v>623.5</v>
      </c>
      <c r="O484">
        <v>14.22</v>
      </c>
      <c r="P484">
        <v>2.2799999999999998</v>
      </c>
      <c r="Q484">
        <v>4.2561999999999998</v>
      </c>
      <c r="R484">
        <v>0.68100000000000005</v>
      </c>
      <c r="S484" t="s">
        <v>3274</v>
      </c>
      <c r="T484">
        <v>6</v>
      </c>
      <c r="U484" t="s">
        <v>89</v>
      </c>
      <c r="W484" t="s">
        <v>754</v>
      </c>
    </row>
    <row r="485" spans="1:23" outlineLevel="2" x14ac:dyDescent="0.25">
      <c r="A485" s="8" t="s">
        <v>82</v>
      </c>
      <c r="B485" s="8" t="s">
        <v>83</v>
      </c>
      <c r="C485" s="8">
        <v>30</v>
      </c>
      <c r="D485" s="8" t="s">
        <v>84</v>
      </c>
      <c r="E485" s="8">
        <v>184</v>
      </c>
      <c r="F485" s="8" t="s">
        <v>85</v>
      </c>
      <c r="G485" s="8">
        <v>8663</v>
      </c>
      <c r="H485" s="8" t="s">
        <v>42</v>
      </c>
      <c r="I485" s="8">
        <v>1000008663</v>
      </c>
      <c r="J485" s="8">
        <v>29493120</v>
      </c>
      <c r="K485" s="8" t="s">
        <v>2201</v>
      </c>
      <c r="L485" s="8" t="s">
        <v>752</v>
      </c>
      <c r="M485" s="8" t="s">
        <v>88</v>
      </c>
      <c r="N485" s="8">
        <v>106.5</v>
      </c>
      <c r="O485" s="8">
        <v>14.22</v>
      </c>
      <c r="P485" s="8">
        <v>2.2799999999999998</v>
      </c>
      <c r="Q485" s="8">
        <v>4.2561999999999998</v>
      </c>
      <c r="R485" s="8">
        <v>0.68100000000000005</v>
      </c>
      <c r="S485" s="8" t="s">
        <v>3507</v>
      </c>
      <c r="T485" s="8">
        <v>6</v>
      </c>
      <c r="U485" s="8" t="s">
        <v>89</v>
      </c>
      <c r="V485" s="8"/>
      <c r="W485" t="s">
        <v>754</v>
      </c>
    </row>
    <row r="486" spans="1:23" outlineLevel="2" x14ac:dyDescent="0.25">
      <c r="A486" t="s">
        <v>82</v>
      </c>
      <c r="B486" t="s">
        <v>83</v>
      </c>
      <c r="C486">
        <v>30</v>
      </c>
      <c r="D486" t="s">
        <v>84</v>
      </c>
      <c r="E486">
        <v>184</v>
      </c>
      <c r="F486" t="s">
        <v>85</v>
      </c>
      <c r="G486">
        <v>8663</v>
      </c>
      <c r="H486" t="s">
        <v>42</v>
      </c>
      <c r="I486">
        <v>1000008663</v>
      </c>
      <c r="J486">
        <v>29493432</v>
      </c>
      <c r="K486" t="s">
        <v>2205</v>
      </c>
      <c r="L486" t="s">
        <v>752</v>
      </c>
      <c r="M486" t="s">
        <v>88</v>
      </c>
      <c r="N486">
        <v>101.5</v>
      </c>
      <c r="O486">
        <v>14.22</v>
      </c>
      <c r="P486">
        <v>2.2799999999999998</v>
      </c>
      <c r="Q486">
        <v>4.2561999999999998</v>
      </c>
      <c r="R486">
        <v>0.68100000000000005</v>
      </c>
      <c r="S486" t="s">
        <v>585</v>
      </c>
      <c r="T486">
        <v>6</v>
      </c>
      <c r="U486" t="s">
        <v>89</v>
      </c>
    </row>
    <row r="487" spans="1:23" outlineLevel="2" x14ac:dyDescent="0.25">
      <c r="A487" t="s">
        <v>82</v>
      </c>
      <c r="B487" t="s">
        <v>83</v>
      </c>
      <c r="C487">
        <v>30</v>
      </c>
      <c r="D487" t="s">
        <v>84</v>
      </c>
      <c r="E487">
        <v>184</v>
      </c>
      <c r="F487" t="s">
        <v>85</v>
      </c>
      <c r="G487">
        <v>8663</v>
      </c>
      <c r="H487" t="s">
        <v>42</v>
      </c>
      <c r="I487">
        <v>1000008663</v>
      </c>
      <c r="J487">
        <v>29494947</v>
      </c>
      <c r="K487" t="s">
        <v>2215</v>
      </c>
      <c r="L487" t="s">
        <v>752</v>
      </c>
      <c r="M487" t="s">
        <v>88</v>
      </c>
      <c r="N487">
        <v>152.5</v>
      </c>
      <c r="O487">
        <v>14.22</v>
      </c>
      <c r="P487">
        <v>2.2799999999999998</v>
      </c>
      <c r="Q487">
        <v>4.2561999999999998</v>
      </c>
      <c r="R487">
        <v>0.68100000000000005</v>
      </c>
      <c r="S487" t="s">
        <v>3277</v>
      </c>
      <c r="T487">
        <v>6</v>
      </c>
      <c r="U487" t="s">
        <v>89</v>
      </c>
    </row>
    <row r="488" spans="1:23" outlineLevel="2" x14ac:dyDescent="0.25">
      <c r="A488" t="s">
        <v>82</v>
      </c>
      <c r="B488" t="s">
        <v>83</v>
      </c>
      <c r="C488">
        <v>30</v>
      </c>
      <c r="D488" t="s">
        <v>84</v>
      </c>
      <c r="E488">
        <v>184</v>
      </c>
      <c r="F488" t="s">
        <v>85</v>
      </c>
      <c r="G488">
        <v>8663</v>
      </c>
      <c r="H488" t="s">
        <v>42</v>
      </c>
      <c r="I488">
        <v>1000008663</v>
      </c>
      <c r="J488">
        <v>29495555</v>
      </c>
      <c r="K488" t="s">
        <v>2224</v>
      </c>
      <c r="L488" t="s">
        <v>752</v>
      </c>
      <c r="M488" t="s">
        <v>88</v>
      </c>
      <c r="N488">
        <v>287.5</v>
      </c>
      <c r="O488">
        <v>14.22</v>
      </c>
      <c r="P488">
        <v>2.2799999999999998</v>
      </c>
      <c r="Q488">
        <v>4.2561999999999998</v>
      </c>
      <c r="R488">
        <v>0.68100000000000005</v>
      </c>
      <c r="S488" t="s">
        <v>3279</v>
      </c>
      <c r="T488">
        <v>6</v>
      </c>
      <c r="U488" t="s">
        <v>89</v>
      </c>
    </row>
    <row r="489" spans="1:23" outlineLevel="2" x14ac:dyDescent="0.25">
      <c r="A489" t="s">
        <v>82</v>
      </c>
      <c r="B489" t="s">
        <v>83</v>
      </c>
      <c r="C489">
        <v>30</v>
      </c>
      <c r="D489" t="s">
        <v>84</v>
      </c>
      <c r="E489">
        <v>184</v>
      </c>
      <c r="F489" t="s">
        <v>85</v>
      </c>
      <c r="G489">
        <v>8663</v>
      </c>
      <c r="H489" t="s">
        <v>42</v>
      </c>
      <c r="I489">
        <v>1000008663</v>
      </c>
      <c r="J489">
        <v>29505676</v>
      </c>
      <c r="K489" t="s">
        <v>2295</v>
      </c>
      <c r="L489" t="s">
        <v>752</v>
      </c>
      <c r="M489" t="s">
        <v>88</v>
      </c>
      <c r="N489">
        <v>495.5</v>
      </c>
      <c r="O489">
        <v>14.22</v>
      </c>
      <c r="P489">
        <v>2.2799999999999998</v>
      </c>
      <c r="Q489">
        <v>4.2561999999999998</v>
      </c>
      <c r="R489">
        <v>0.68100000000000005</v>
      </c>
      <c r="S489" t="s">
        <v>3281</v>
      </c>
      <c r="T489">
        <v>6</v>
      </c>
      <c r="U489" t="s">
        <v>89</v>
      </c>
      <c r="W489" t="s">
        <v>754</v>
      </c>
    </row>
    <row r="490" spans="1:23" outlineLevel="2" x14ac:dyDescent="0.25">
      <c r="A490" t="s">
        <v>82</v>
      </c>
      <c r="B490" t="s">
        <v>83</v>
      </c>
      <c r="C490">
        <v>30</v>
      </c>
      <c r="D490" t="s">
        <v>84</v>
      </c>
      <c r="E490">
        <v>184</v>
      </c>
      <c r="F490" t="s">
        <v>85</v>
      </c>
      <c r="G490">
        <v>8663</v>
      </c>
      <c r="H490" t="s">
        <v>42</v>
      </c>
      <c r="I490">
        <v>1000008663</v>
      </c>
      <c r="J490">
        <v>29506115</v>
      </c>
      <c r="K490" t="s">
        <v>2297</v>
      </c>
      <c r="L490" t="s">
        <v>753</v>
      </c>
      <c r="M490" t="s">
        <v>88</v>
      </c>
      <c r="N490">
        <v>75.5</v>
      </c>
      <c r="O490">
        <v>14.22</v>
      </c>
      <c r="P490">
        <v>2.2799999999999998</v>
      </c>
      <c r="Q490">
        <v>4.2561999999999998</v>
      </c>
      <c r="R490">
        <v>0.68100000000000005</v>
      </c>
      <c r="S490" t="s">
        <v>3283</v>
      </c>
      <c r="T490">
        <v>6</v>
      </c>
      <c r="U490" t="s">
        <v>89</v>
      </c>
      <c r="W490" t="s">
        <v>754</v>
      </c>
    </row>
    <row r="491" spans="1:23" outlineLevel="2" x14ac:dyDescent="0.25">
      <c r="A491" s="8" t="s">
        <v>82</v>
      </c>
      <c r="B491" s="8" t="s">
        <v>83</v>
      </c>
      <c r="C491" s="8">
        <v>30</v>
      </c>
      <c r="D491" s="8" t="s">
        <v>84</v>
      </c>
      <c r="E491" s="8">
        <v>184</v>
      </c>
      <c r="F491" s="8" t="s">
        <v>85</v>
      </c>
      <c r="G491" s="8">
        <v>8663</v>
      </c>
      <c r="H491" s="8" t="s">
        <v>42</v>
      </c>
      <c r="I491" s="8">
        <v>1000008663</v>
      </c>
      <c r="J491" s="8">
        <v>29506750</v>
      </c>
      <c r="K491" s="8" t="s">
        <v>2299</v>
      </c>
      <c r="L491" s="8" t="s">
        <v>753</v>
      </c>
      <c r="M491" s="8" t="s">
        <v>88</v>
      </c>
      <c r="N491" s="8">
        <v>165.5</v>
      </c>
      <c r="O491" s="8">
        <v>14.22</v>
      </c>
      <c r="P491" s="8">
        <v>2.2799999999999998</v>
      </c>
      <c r="Q491" s="8">
        <v>4.2561999999999998</v>
      </c>
      <c r="R491" s="8">
        <v>0.68100000000000005</v>
      </c>
      <c r="S491" s="8" t="s">
        <v>3509</v>
      </c>
      <c r="T491" s="8">
        <v>6</v>
      </c>
      <c r="U491" s="8" t="s">
        <v>89</v>
      </c>
      <c r="V491" s="8"/>
      <c r="W491" t="s">
        <v>754</v>
      </c>
    </row>
    <row r="492" spans="1:23" outlineLevel="2" x14ac:dyDescent="0.25">
      <c r="A492" t="s">
        <v>82</v>
      </c>
      <c r="B492" t="s">
        <v>83</v>
      </c>
      <c r="C492">
        <v>30</v>
      </c>
      <c r="D492" t="s">
        <v>84</v>
      </c>
      <c r="E492">
        <v>184</v>
      </c>
      <c r="F492" t="s">
        <v>85</v>
      </c>
      <c r="G492">
        <v>8663</v>
      </c>
      <c r="H492" t="s">
        <v>42</v>
      </c>
      <c r="I492">
        <v>1000008663</v>
      </c>
      <c r="J492">
        <v>29508020</v>
      </c>
      <c r="K492" t="s">
        <v>2302</v>
      </c>
      <c r="L492" t="s">
        <v>752</v>
      </c>
      <c r="M492" t="s">
        <v>88</v>
      </c>
      <c r="N492">
        <v>58.5</v>
      </c>
      <c r="O492">
        <v>14.22</v>
      </c>
      <c r="P492">
        <v>2.2799999999999998</v>
      </c>
      <c r="Q492">
        <v>4.2561999999999998</v>
      </c>
      <c r="R492">
        <v>0.68100000000000005</v>
      </c>
      <c r="S492" t="s">
        <v>3285</v>
      </c>
      <c r="T492">
        <v>6</v>
      </c>
      <c r="U492" t="s">
        <v>89</v>
      </c>
    </row>
    <row r="493" spans="1:23" outlineLevel="2" x14ac:dyDescent="0.25">
      <c r="A493" t="s">
        <v>82</v>
      </c>
      <c r="B493" t="s">
        <v>83</v>
      </c>
      <c r="C493">
        <v>30</v>
      </c>
      <c r="D493" t="s">
        <v>84</v>
      </c>
      <c r="E493">
        <v>184</v>
      </c>
      <c r="F493" t="s">
        <v>85</v>
      </c>
      <c r="G493">
        <v>8664</v>
      </c>
      <c r="H493" t="s">
        <v>27</v>
      </c>
      <c r="I493">
        <v>1000008664</v>
      </c>
      <c r="J493">
        <v>29426861</v>
      </c>
      <c r="K493" t="s">
        <v>1641</v>
      </c>
      <c r="L493" t="s">
        <v>752</v>
      </c>
      <c r="M493" t="s">
        <v>88</v>
      </c>
      <c r="N493">
        <v>55.5</v>
      </c>
      <c r="O493">
        <v>14.22</v>
      </c>
      <c r="P493">
        <v>2.2799999999999998</v>
      </c>
      <c r="Q493">
        <v>4.2561999999999998</v>
      </c>
      <c r="R493">
        <v>0.68100000000000005</v>
      </c>
      <c r="S493" t="s">
        <v>459</v>
      </c>
      <c r="T493">
        <v>6</v>
      </c>
      <c r="U493" t="s">
        <v>89</v>
      </c>
      <c r="W493" t="s">
        <v>754</v>
      </c>
    </row>
    <row r="494" spans="1:23" outlineLevel="2" x14ac:dyDescent="0.25">
      <c r="A494" t="s">
        <v>82</v>
      </c>
      <c r="B494" t="s">
        <v>83</v>
      </c>
      <c r="C494">
        <v>30</v>
      </c>
      <c r="D494" t="s">
        <v>84</v>
      </c>
      <c r="E494">
        <v>184</v>
      </c>
      <c r="F494" t="s">
        <v>85</v>
      </c>
      <c r="G494">
        <v>8664</v>
      </c>
      <c r="H494" t="s">
        <v>27</v>
      </c>
      <c r="I494">
        <v>1000008664</v>
      </c>
      <c r="J494">
        <v>29428337</v>
      </c>
      <c r="K494" t="s">
        <v>1654</v>
      </c>
      <c r="L494" t="s">
        <v>752</v>
      </c>
      <c r="M494" t="s">
        <v>88</v>
      </c>
      <c r="N494">
        <v>116.5</v>
      </c>
      <c r="O494">
        <v>14.22</v>
      </c>
      <c r="P494">
        <v>2.2799999999999998</v>
      </c>
      <c r="Q494">
        <v>4.2561999999999998</v>
      </c>
      <c r="R494">
        <v>0.68100000000000005</v>
      </c>
      <c r="S494" t="s">
        <v>602</v>
      </c>
      <c r="T494">
        <v>6</v>
      </c>
      <c r="U494" t="s">
        <v>89</v>
      </c>
      <c r="W494" t="s">
        <v>754</v>
      </c>
    </row>
    <row r="495" spans="1:23" outlineLevel="2" x14ac:dyDescent="0.25">
      <c r="A495" t="s">
        <v>82</v>
      </c>
      <c r="B495" t="s">
        <v>83</v>
      </c>
      <c r="C495">
        <v>30</v>
      </c>
      <c r="D495" t="s">
        <v>84</v>
      </c>
      <c r="E495">
        <v>184</v>
      </c>
      <c r="F495" t="s">
        <v>85</v>
      </c>
      <c r="G495">
        <v>8664</v>
      </c>
      <c r="H495" t="s">
        <v>27</v>
      </c>
      <c r="I495">
        <v>1000008664</v>
      </c>
      <c r="J495">
        <v>29429023</v>
      </c>
      <c r="K495" t="s">
        <v>1660</v>
      </c>
      <c r="L495" t="s">
        <v>752</v>
      </c>
      <c r="M495" t="s">
        <v>88</v>
      </c>
      <c r="N495">
        <v>239.5</v>
      </c>
      <c r="O495">
        <v>14.22</v>
      </c>
      <c r="P495">
        <v>2.2799999999999998</v>
      </c>
      <c r="Q495">
        <v>4.2561999999999998</v>
      </c>
      <c r="R495">
        <v>0.68100000000000005</v>
      </c>
      <c r="S495" t="s">
        <v>478</v>
      </c>
      <c r="T495">
        <v>6</v>
      </c>
      <c r="U495" t="s">
        <v>89</v>
      </c>
      <c r="W495" t="s">
        <v>754</v>
      </c>
    </row>
    <row r="496" spans="1:23" outlineLevel="2" x14ac:dyDescent="0.25">
      <c r="A496" t="s">
        <v>82</v>
      </c>
      <c r="B496" t="s">
        <v>83</v>
      </c>
      <c r="C496">
        <v>30</v>
      </c>
      <c r="D496" t="s">
        <v>84</v>
      </c>
      <c r="E496">
        <v>184</v>
      </c>
      <c r="F496" t="s">
        <v>85</v>
      </c>
      <c r="G496">
        <v>8664</v>
      </c>
      <c r="H496" t="s">
        <v>27</v>
      </c>
      <c r="I496">
        <v>1000008664</v>
      </c>
      <c r="J496">
        <v>29429043</v>
      </c>
      <c r="K496" t="s">
        <v>1661</v>
      </c>
      <c r="L496" t="s">
        <v>752</v>
      </c>
      <c r="M496" t="s">
        <v>88</v>
      </c>
      <c r="N496">
        <v>44.5</v>
      </c>
      <c r="O496">
        <v>14.22</v>
      </c>
      <c r="P496">
        <v>2.2799999999999998</v>
      </c>
      <c r="Q496">
        <v>4.2561999999999998</v>
      </c>
      <c r="R496">
        <v>0.68100000000000005</v>
      </c>
      <c r="S496" t="s">
        <v>479</v>
      </c>
      <c r="T496">
        <v>6</v>
      </c>
      <c r="U496" t="s">
        <v>89</v>
      </c>
      <c r="W496" t="s">
        <v>754</v>
      </c>
    </row>
    <row r="497" spans="1:23" outlineLevel="2" x14ac:dyDescent="0.25">
      <c r="A497" t="s">
        <v>82</v>
      </c>
      <c r="B497" t="s">
        <v>83</v>
      </c>
      <c r="C497">
        <v>30</v>
      </c>
      <c r="D497" t="s">
        <v>84</v>
      </c>
      <c r="E497">
        <v>184</v>
      </c>
      <c r="F497" t="s">
        <v>85</v>
      </c>
      <c r="G497">
        <v>8664</v>
      </c>
      <c r="H497" t="s">
        <v>27</v>
      </c>
      <c r="I497">
        <v>1000008664</v>
      </c>
      <c r="J497">
        <v>29430510</v>
      </c>
      <c r="K497" t="s">
        <v>1673</v>
      </c>
      <c r="L497" t="s">
        <v>752</v>
      </c>
      <c r="M497" t="s">
        <v>88</v>
      </c>
      <c r="N497">
        <v>308.5</v>
      </c>
      <c r="O497">
        <v>14.22</v>
      </c>
      <c r="P497">
        <v>2.2799999999999998</v>
      </c>
      <c r="Q497">
        <v>4.2561999999999998</v>
      </c>
      <c r="R497">
        <v>0.68100000000000005</v>
      </c>
      <c r="S497" t="s">
        <v>473</v>
      </c>
      <c r="T497">
        <v>6</v>
      </c>
      <c r="U497" t="s">
        <v>89</v>
      </c>
      <c r="W497" t="s">
        <v>754</v>
      </c>
    </row>
    <row r="498" spans="1:23" outlineLevel="2" x14ac:dyDescent="0.25">
      <c r="A498" t="s">
        <v>82</v>
      </c>
      <c r="B498" t="s">
        <v>83</v>
      </c>
      <c r="C498">
        <v>30</v>
      </c>
      <c r="D498" t="s">
        <v>84</v>
      </c>
      <c r="E498">
        <v>184</v>
      </c>
      <c r="F498" t="s">
        <v>85</v>
      </c>
      <c r="G498">
        <v>8664</v>
      </c>
      <c r="H498" t="s">
        <v>27</v>
      </c>
      <c r="I498">
        <v>1000008664</v>
      </c>
      <c r="J498">
        <v>29432367</v>
      </c>
      <c r="K498" t="s">
        <v>1685</v>
      </c>
      <c r="L498" t="s">
        <v>752</v>
      </c>
      <c r="M498" t="s">
        <v>88</v>
      </c>
      <c r="N498">
        <v>51.5</v>
      </c>
      <c r="O498">
        <v>14.22</v>
      </c>
      <c r="P498">
        <v>2.2799999999999998</v>
      </c>
      <c r="Q498">
        <v>4.2561999999999998</v>
      </c>
      <c r="R498">
        <v>0.68100000000000005</v>
      </c>
      <c r="S498" t="s">
        <v>599</v>
      </c>
      <c r="T498">
        <v>6</v>
      </c>
      <c r="U498" t="s">
        <v>89</v>
      </c>
      <c r="W498" t="s">
        <v>754</v>
      </c>
    </row>
    <row r="499" spans="1:23" outlineLevel="2" x14ac:dyDescent="0.25">
      <c r="A499" t="s">
        <v>82</v>
      </c>
      <c r="B499" t="s">
        <v>83</v>
      </c>
      <c r="C499">
        <v>30</v>
      </c>
      <c r="D499" t="s">
        <v>84</v>
      </c>
      <c r="E499">
        <v>184</v>
      </c>
      <c r="F499" t="s">
        <v>85</v>
      </c>
      <c r="G499">
        <v>8664</v>
      </c>
      <c r="H499" t="s">
        <v>27</v>
      </c>
      <c r="I499">
        <v>1000008664</v>
      </c>
      <c r="J499">
        <v>29433128</v>
      </c>
      <c r="K499" t="s">
        <v>1692</v>
      </c>
      <c r="L499" t="s">
        <v>752</v>
      </c>
      <c r="M499" t="s">
        <v>88</v>
      </c>
      <c r="N499">
        <v>45.5</v>
      </c>
      <c r="O499">
        <v>14.22</v>
      </c>
      <c r="P499">
        <v>2.2799999999999998</v>
      </c>
      <c r="Q499">
        <v>4.2561999999999998</v>
      </c>
      <c r="R499">
        <v>0.68100000000000005</v>
      </c>
      <c r="S499" t="s">
        <v>485</v>
      </c>
      <c r="T499">
        <v>6</v>
      </c>
      <c r="U499" t="s">
        <v>89</v>
      </c>
      <c r="W499" t="s">
        <v>754</v>
      </c>
    </row>
    <row r="500" spans="1:23" outlineLevel="2" x14ac:dyDescent="0.25">
      <c r="A500" t="s">
        <v>82</v>
      </c>
      <c r="B500" t="s">
        <v>83</v>
      </c>
      <c r="C500">
        <v>30</v>
      </c>
      <c r="D500" t="s">
        <v>84</v>
      </c>
      <c r="E500">
        <v>184</v>
      </c>
      <c r="F500" t="s">
        <v>85</v>
      </c>
      <c r="G500">
        <v>8664</v>
      </c>
      <c r="H500" t="s">
        <v>27</v>
      </c>
      <c r="I500">
        <v>1000008664</v>
      </c>
      <c r="J500">
        <v>29434574</v>
      </c>
      <c r="K500" t="s">
        <v>1698</v>
      </c>
      <c r="L500" t="s">
        <v>752</v>
      </c>
      <c r="M500" t="s">
        <v>88</v>
      </c>
      <c r="N500">
        <v>44.5</v>
      </c>
      <c r="O500">
        <v>14.22</v>
      </c>
      <c r="P500">
        <v>2.2799999999999998</v>
      </c>
      <c r="Q500">
        <v>4.2561999999999998</v>
      </c>
      <c r="R500">
        <v>0.68100000000000005</v>
      </c>
      <c r="S500" t="s">
        <v>796</v>
      </c>
      <c r="T500">
        <v>6</v>
      </c>
      <c r="U500" t="s">
        <v>89</v>
      </c>
      <c r="W500" t="s">
        <v>754</v>
      </c>
    </row>
    <row r="501" spans="1:23" outlineLevel="2" x14ac:dyDescent="0.25">
      <c r="A501" t="s">
        <v>82</v>
      </c>
      <c r="B501" t="s">
        <v>83</v>
      </c>
      <c r="C501">
        <v>30</v>
      </c>
      <c r="D501" t="s">
        <v>84</v>
      </c>
      <c r="E501">
        <v>184</v>
      </c>
      <c r="F501" t="s">
        <v>85</v>
      </c>
      <c r="G501">
        <v>8664</v>
      </c>
      <c r="H501" t="s">
        <v>27</v>
      </c>
      <c r="I501">
        <v>1000008664</v>
      </c>
      <c r="J501">
        <v>29434998</v>
      </c>
      <c r="K501" t="s">
        <v>1701</v>
      </c>
      <c r="L501" t="s">
        <v>753</v>
      </c>
      <c r="M501" t="s">
        <v>88</v>
      </c>
      <c r="N501">
        <v>74.5</v>
      </c>
      <c r="O501">
        <v>14.22</v>
      </c>
      <c r="P501">
        <v>2.2799999999999998</v>
      </c>
      <c r="Q501">
        <v>4.2561999999999998</v>
      </c>
      <c r="R501">
        <v>0.68100000000000005</v>
      </c>
      <c r="S501" t="s">
        <v>798</v>
      </c>
      <c r="T501">
        <v>6</v>
      </c>
      <c r="U501" t="s">
        <v>89</v>
      </c>
      <c r="W501" t="s">
        <v>754</v>
      </c>
    </row>
    <row r="502" spans="1:23" outlineLevel="2" x14ac:dyDescent="0.25">
      <c r="A502" t="s">
        <v>82</v>
      </c>
      <c r="B502" t="s">
        <v>83</v>
      </c>
      <c r="C502">
        <v>30</v>
      </c>
      <c r="D502" t="s">
        <v>84</v>
      </c>
      <c r="E502">
        <v>184</v>
      </c>
      <c r="F502" t="s">
        <v>85</v>
      </c>
      <c r="G502">
        <v>8664</v>
      </c>
      <c r="H502" t="s">
        <v>27</v>
      </c>
      <c r="I502">
        <v>1000008664</v>
      </c>
      <c r="J502">
        <v>29436597</v>
      </c>
      <c r="K502" t="s">
        <v>1712</v>
      </c>
      <c r="L502" t="s">
        <v>752</v>
      </c>
      <c r="M502" t="s">
        <v>88</v>
      </c>
      <c r="N502">
        <v>212.5</v>
      </c>
      <c r="O502">
        <v>14.22</v>
      </c>
      <c r="P502">
        <v>2.2799999999999998</v>
      </c>
      <c r="Q502">
        <v>4.2561999999999998</v>
      </c>
      <c r="R502">
        <v>0.68100000000000005</v>
      </c>
      <c r="S502" t="s">
        <v>800</v>
      </c>
      <c r="T502">
        <v>6</v>
      </c>
      <c r="U502" t="s">
        <v>89</v>
      </c>
      <c r="W502" t="s">
        <v>754</v>
      </c>
    </row>
    <row r="503" spans="1:23" outlineLevel="2" x14ac:dyDescent="0.25">
      <c r="A503" t="s">
        <v>82</v>
      </c>
      <c r="B503" t="s">
        <v>83</v>
      </c>
      <c r="C503">
        <v>30</v>
      </c>
      <c r="D503" t="s">
        <v>84</v>
      </c>
      <c r="E503">
        <v>184</v>
      </c>
      <c r="F503" t="s">
        <v>85</v>
      </c>
      <c r="G503">
        <v>8664</v>
      </c>
      <c r="H503" t="s">
        <v>27</v>
      </c>
      <c r="I503">
        <v>1000008664</v>
      </c>
      <c r="J503">
        <v>29438266</v>
      </c>
      <c r="K503" t="s">
        <v>1722</v>
      </c>
      <c r="L503" t="s">
        <v>753</v>
      </c>
      <c r="M503" t="s">
        <v>88</v>
      </c>
      <c r="N503">
        <v>404.5</v>
      </c>
      <c r="O503">
        <v>14.22</v>
      </c>
      <c r="P503">
        <v>2.2799999999999998</v>
      </c>
      <c r="Q503">
        <v>4.2561999999999998</v>
      </c>
      <c r="R503">
        <v>0.68100000000000005</v>
      </c>
      <c r="S503" t="s">
        <v>802</v>
      </c>
      <c r="T503">
        <v>6</v>
      </c>
      <c r="U503" t="s">
        <v>89</v>
      </c>
      <c r="W503" t="s">
        <v>754</v>
      </c>
    </row>
    <row r="504" spans="1:23" outlineLevel="2" x14ac:dyDescent="0.25">
      <c r="A504" t="s">
        <v>82</v>
      </c>
      <c r="B504" t="s">
        <v>83</v>
      </c>
      <c r="C504">
        <v>30</v>
      </c>
      <c r="D504" t="s">
        <v>84</v>
      </c>
      <c r="E504">
        <v>184</v>
      </c>
      <c r="F504" t="s">
        <v>85</v>
      </c>
      <c r="G504">
        <v>8664</v>
      </c>
      <c r="H504" t="s">
        <v>27</v>
      </c>
      <c r="I504">
        <v>1000008664</v>
      </c>
      <c r="J504">
        <v>29438388</v>
      </c>
      <c r="K504" t="s">
        <v>1723</v>
      </c>
      <c r="L504" t="s">
        <v>752</v>
      </c>
      <c r="M504" t="s">
        <v>88</v>
      </c>
      <c r="N504">
        <v>44.5</v>
      </c>
      <c r="O504">
        <v>14.22</v>
      </c>
      <c r="P504">
        <v>2.2799999999999998</v>
      </c>
      <c r="Q504">
        <v>4.2561999999999998</v>
      </c>
      <c r="R504">
        <v>0.68100000000000005</v>
      </c>
      <c r="S504" t="s">
        <v>804</v>
      </c>
      <c r="T504">
        <v>6</v>
      </c>
      <c r="U504" t="s">
        <v>89</v>
      </c>
    </row>
    <row r="505" spans="1:23" outlineLevel="2" x14ac:dyDescent="0.25">
      <c r="A505" t="s">
        <v>82</v>
      </c>
      <c r="B505" t="s">
        <v>83</v>
      </c>
      <c r="C505">
        <v>30</v>
      </c>
      <c r="D505" t="s">
        <v>84</v>
      </c>
      <c r="E505">
        <v>184</v>
      </c>
      <c r="F505" t="s">
        <v>85</v>
      </c>
      <c r="G505">
        <v>8664</v>
      </c>
      <c r="H505" t="s">
        <v>27</v>
      </c>
      <c r="I505">
        <v>1000008664</v>
      </c>
      <c r="J505">
        <v>29440977</v>
      </c>
      <c r="K505" t="s">
        <v>1737</v>
      </c>
      <c r="L505" t="s">
        <v>752</v>
      </c>
      <c r="M505" t="s">
        <v>88</v>
      </c>
      <c r="N505">
        <v>94.5</v>
      </c>
      <c r="O505">
        <v>14.22</v>
      </c>
      <c r="P505">
        <v>2.2799999999999998</v>
      </c>
      <c r="Q505">
        <v>4.2561999999999998</v>
      </c>
      <c r="R505">
        <v>0.68100000000000005</v>
      </c>
      <c r="S505" t="s">
        <v>1403</v>
      </c>
      <c r="T505">
        <v>6</v>
      </c>
      <c r="U505" t="s">
        <v>89</v>
      </c>
      <c r="W505" t="s">
        <v>754</v>
      </c>
    </row>
    <row r="506" spans="1:23" outlineLevel="2" x14ac:dyDescent="0.25">
      <c r="A506" t="s">
        <v>82</v>
      </c>
      <c r="B506" t="s">
        <v>83</v>
      </c>
      <c r="C506">
        <v>30</v>
      </c>
      <c r="D506" t="s">
        <v>84</v>
      </c>
      <c r="E506">
        <v>184</v>
      </c>
      <c r="F506" t="s">
        <v>85</v>
      </c>
      <c r="G506">
        <v>8664</v>
      </c>
      <c r="H506" t="s">
        <v>27</v>
      </c>
      <c r="I506">
        <v>1000008664</v>
      </c>
      <c r="J506">
        <v>29441402</v>
      </c>
      <c r="K506" t="s">
        <v>1743</v>
      </c>
      <c r="L506" t="s">
        <v>752</v>
      </c>
      <c r="M506" t="s">
        <v>88</v>
      </c>
      <c r="N506">
        <v>88.5</v>
      </c>
      <c r="O506">
        <v>14.22</v>
      </c>
      <c r="P506">
        <v>2.2799999999999998</v>
      </c>
      <c r="Q506">
        <v>4.2561999999999998</v>
      </c>
      <c r="R506">
        <v>0.68100000000000005</v>
      </c>
      <c r="S506" t="s">
        <v>1405</v>
      </c>
      <c r="T506">
        <v>6</v>
      </c>
      <c r="U506" t="s">
        <v>89</v>
      </c>
      <c r="W506" t="s">
        <v>754</v>
      </c>
    </row>
    <row r="507" spans="1:23" outlineLevel="2" x14ac:dyDescent="0.25">
      <c r="A507" t="s">
        <v>82</v>
      </c>
      <c r="B507" t="s">
        <v>83</v>
      </c>
      <c r="C507">
        <v>30</v>
      </c>
      <c r="D507" t="s">
        <v>84</v>
      </c>
      <c r="E507">
        <v>184</v>
      </c>
      <c r="F507" t="s">
        <v>85</v>
      </c>
      <c r="G507">
        <v>8664</v>
      </c>
      <c r="H507" t="s">
        <v>27</v>
      </c>
      <c r="I507">
        <v>1000008664</v>
      </c>
      <c r="J507">
        <v>29441578</v>
      </c>
      <c r="K507" t="s">
        <v>1744</v>
      </c>
      <c r="L507" t="s">
        <v>752</v>
      </c>
      <c r="M507" t="s">
        <v>88</v>
      </c>
      <c r="N507">
        <v>143.5</v>
      </c>
      <c r="O507">
        <v>14.22</v>
      </c>
      <c r="P507">
        <v>2.2799999999999998</v>
      </c>
      <c r="Q507">
        <v>4.2561999999999998</v>
      </c>
      <c r="R507">
        <v>0.68100000000000005</v>
      </c>
      <c r="S507" t="s">
        <v>1407</v>
      </c>
      <c r="T507">
        <v>6</v>
      </c>
      <c r="U507" t="s">
        <v>89</v>
      </c>
      <c r="W507" t="s">
        <v>754</v>
      </c>
    </row>
    <row r="508" spans="1:23" outlineLevel="2" x14ac:dyDescent="0.25">
      <c r="A508" t="s">
        <v>82</v>
      </c>
      <c r="B508" t="s">
        <v>83</v>
      </c>
      <c r="C508">
        <v>30</v>
      </c>
      <c r="D508" t="s">
        <v>84</v>
      </c>
      <c r="E508">
        <v>184</v>
      </c>
      <c r="F508" t="s">
        <v>85</v>
      </c>
      <c r="G508">
        <v>8664</v>
      </c>
      <c r="H508" t="s">
        <v>27</v>
      </c>
      <c r="I508">
        <v>1000008664</v>
      </c>
      <c r="J508">
        <v>29441950</v>
      </c>
      <c r="K508" t="s">
        <v>1746</v>
      </c>
      <c r="L508" t="s">
        <v>752</v>
      </c>
      <c r="M508" t="s">
        <v>88</v>
      </c>
      <c r="N508">
        <v>153.5</v>
      </c>
      <c r="O508">
        <v>14.22</v>
      </c>
      <c r="P508">
        <v>2.2799999999999998</v>
      </c>
      <c r="Q508">
        <v>4.2561999999999998</v>
      </c>
      <c r="R508">
        <v>0.68100000000000005</v>
      </c>
      <c r="S508" t="s">
        <v>1409</v>
      </c>
      <c r="T508">
        <v>6</v>
      </c>
      <c r="U508" t="s">
        <v>89</v>
      </c>
      <c r="W508" t="s">
        <v>754</v>
      </c>
    </row>
    <row r="509" spans="1:23" outlineLevel="2" x14ac:dyDescent="0.25">
      <c r="A509" t="s">
        <v>82</v>
      </c>
      <c r="B509" t="s">
        <v>83</v>
      </c>
      <c r="C509">
        <v>30</v>
      </c>
      <c r="D509" t="s">
        <v>84</v>
      </c>
      <c r="E509">
        <v>184</v>
      </c>
      <c r="F509" t="s">
        <v>85</v>
      </c>
      <c r="G509">
        <v>8664</v>
      </c>
      <c r="H509" t="s">
        <v>27</v>
      </c>
      <c r="I509">
        <v>1000008664</v>
      </c>
      <c r="J509">
        <v>29444190</v>
      </c>
      <c r="K509" t="s">
        <v>1762</v>
      </c>
      <c r="L509" t="s">
        <v>752</v>
      </c>
      <c r="M509" t="s">
        <v>88</v>
      </c>
      <c r="N509">
        <v>86.5</v>
      </c>
      <c r="O509">
        <v>14.22</v>
      </c>
      <c r="P509">
        <v>2.2799999999999998</v>
      </c>
      <c r="Q509">
        <v>4.2561999999999998</v>
      </c>
      <c r="R509">
        <v>0.68100000000000005</v>
      </c>
      <c r="S509" t="s">
        <v>1411</v>
      </c>
      <c r="T509">
        <v>6</v>
      </c>
      <c r="U509" t="s">
        <v>89</v>
      </c>
      <c r="W509" t="s">
        <v>754</v>
      </c>
    </row>
    <row r="510" spans="1:23" outlineLevel="2" x14ac:dyDescent="0.25">
      <c r="A510" t="s">
        <v>82</v>
      </c>
      <c r="B510" t="s">
        <v>83</v>
      </c>
      <c r="C510">
        <v>30</v>
      </c>
      <c r="D510" t="s">
        <v>84</v>
      </c>
      <c r="E510">
        <v>184</v>
      </c>
      <c r="F510" t="s">
        <v>85</v>
      </c>
      <c r="G510">
        <v>8664</v>
      </c>
      <c r="H510" t="s">
        <v>27</v>
      </c>
      <c r="I510">
        <v>1000008664</v>
      </c>
      <c r="J510">
        <v>29444560</v>
      </c>
      <c r="K510" t="s">
        <v>1765</v>
      </c>
      <c r="L510" t="s">
        <v>752</v>
      </c>
      <c r="M510" t="s">
        <v>88</v>
      </c>
      <c r="N510">
        <v>144.5</v>
      </c>
      <c r="O510">
        <v>14.22</v>
      </c>
      <c r="P510">
        <v>2.2799999999999998</v>
      </c>
      <c r="Q510">
        <v>4.2561999999999998</v>
      </c>
      <c r="R510">
        <v>0.68100000000000005</v>
      </c>
      <c r="S510" t="s">
        <v>1413</v>
      </c>
      <c r="T510">
        <v>6</v>
      </c>
      <c r="U510" t="s">
        <v>89</v>
      </c>
      <c r="W510" t="s">
        <v>754</v>
      </c>
    </row>
    <row r="511" spans="1:23" outlineLevel="2" x14ac:dyDescent="0.25">
      <c r="A511" t="s">
        <v>82</v>
      </c>
      <c r="B511" t="s">
        <v>83</v>
      </c>
      <c r="C511">
        <v>30</v>
      </c>
      <c r="D511" t="s">
        <v>84</v>
      </c>
      <c r="E511">
        <v>184</v>
      </c>
      <c r="F511" t="s">
        <v>85</v>
      </c>
      <c r="G511">
        <v>8664</v>
      </c>
      <c r="H511" t="s">
        <v>27</v>
      </c>
      <c r="I511">
        <v>1000008664</v>
      </c>
      <c r="J511">
        <v>29444644</v>
      </c>
      <c r="K511" t="s">
        <v>1767</v>
      </c>
      <c r="L511" t="s">
        <v>753</v>
      </c>
      <c r="M511" t="s">
        <v>88</v>
      </c>
      <c r="N511">
        <v>44.5</v>
      </c>
      <c r="O511">
        <v>14.22</v>
      </c>
      <c r="P511">
        <v>2.2799999999999998</v>
      </c>
      <c r="Q511">
        <v>4.2561999999999998</v>
      </c>
      <c r="R511">
        <v>0.68100000000000005</v>
      </c>
      <c r="S511" t="s">
        <v>678</v>
      </c>
      <c r="T511">
        <v>6</v>
      </c>
      <c r="U511" t="s">
        <v>89</v>
      </c>
      <c r="W511" t="s">
        <v>754</v>
      </c>
    </row>
    <row r="512" spans="1:23" outlineLevel="2" x14ac:dyDescent="0.25">
      <c r="A512" t="s">
        <v>82</v>
      </c>
      <c r="B512" t="s">
        <v>83</v>
      </c>
      <c r="C512">
        <v>30</v>
      </c>
      <c r="D512" t="s">
        <v>84</v>
      </c>
      <c r="E512">
        <v>184</v>
      </c>
      <c r="F512" t="s">
        <v>85</v>
      </c>
      <c r="G512">
        <v>8664</v>
      </c>
      <c r="H512" t="s">
        <v>27</v>
      </c>
      <c r="I512">
        <v>1000008664</v>
      </c>
      <c r="J512">
        <v>29444677</v>
      </c>
      <c r="K512" t="s">
        <v>1768</v>
      </c>
      <c r="L512" t="s">
        <v>753</v>
      </c>
      <c r="M512" t="s">
        <v>88</v>
      </c>
      <c r="N512">
        <v>299.5</v>
      </c>
      <c r="O512">
        <v>14.22</v>
      </c>
      <c r="P512">
        <v>2.2799999999999998</v>
      </c>
      <c r="Q512">
        <v>4.2561999999999998</v>
      </c>
      <c r="R512">
        <v>0.68100000000000005</v>
      </c>
      <c r="S512" t="s">
        <v>677</v>
      </c>
      <c r="T512">
        <v>6</v>
      </c>
      <c r="U512" t="s">
        <v>89</v>
      </c>
      <c r="W512" t="s">
        <v>754</v>
      </c>
    </row>
    <row r="513" spans="1:23" outlineLevel="2" x14ac:dyDescent="0.25">
      <c r="A513" t="s">
        <v>82</v>
      </c>
      <c r="B513" t="s">
        <v>83</v>
      </c>
      <c r="C513">
        <v>30</v>
      </c>
      <c r="D513" t="s">
        <v>84</v>
      </c>
      <c r="E513">
        <v>184</v>
      </c>
      <c r="F513" t="s">
        <v>85</v>
      </c>
      <c r="G513">
        <v>8664</v>
      </c>
      <c r="H513" t="s">
        <v>27</v>
      </c>
      <c r="I513">
        <v>1000008664</v>
      </c>
      <c r="J513">
        <v>29445351</v>
      </c>
      <c r="K513" t="s">
        <v>1780</v>
      </c>
      <c r="L513" t="s">
        <v>752</v>
      </c>
      <c r="M513" t="s">
        <v>88</v>
      </c>
      <c r="N513">
        <v>143.5</v>
      </c>
      <c r="O513">
        <v>14.22</v>
      </c>
      <c r="P513">
        <v>2.2799999999999998</v>
      </c>
      <c r="Q513">
        <v>4.2561999999999998</v>
      </c>
      <c r="R513">
        <v>0.68100000000000005</v>
      </c>
      <c r="S513" t="s">
        <v>603</v>
      </c>
      <c r="T513">
        <v>6</v>
      </c>
      <c r="U513" t="s">
        <v>89</v>
      </c>
      <c r="W513" t="s">
        <v>754</v>
      </c>
    </row>
    <row r="514" spans="1:23" outlineLevel="2" x14ac:dyDescent="0.25">
      <c r="A514" t="s">
        <v>82</v>
      </c>
      <c r="B514" t="s">
        <v>83</v>
      </c>
      <c r="C514">
        <v>30</v>
      </c>
      <c r="D514" t="s">
        <v>84</v>
      </c>
      <c r="E514">
        <v>184</v>
      </c>
      <c r="F514" t="s">
        <v>85</v>
      </c>
      <c r="G514">
        <v>8664</v>
      </c>
      <c r="H514" t="s">
        <v>27</v>
      </c>
      <c r="I514">
        <v>1000008664</v>
      </c>
      <c r="J514">
        <v>29450096</v>
      </c>
      <c r="K514" t="s">
        <v>1803</v>
      </c>
      <c r="L514" t="s">
        <v>753</v>
      </c>
      <c r="M514" t="s">
        <v>88</v>
      </c>
      <c r="N514">
        <v>44.5</v>
      </c>
      <c r="O514">
        <v>14.22</v>
      </c>
      <c r="P514">
        <v>2.2799999999999998</v>
      </c>
      <c r="Q514">
        <v>4.2561999999999998</v>
      </c>
      <c r="R514">
        <v>0.68100000000000005</v>
      </c>
      <c r="S514" t="s">
        <v>1206</v>
      </c>
      <c r="T514">
        <v>6</v>
      </c>
      <c r="U514" t="s">
        <v>89</v>
      </c>
      <c r="W514" t="s">
        <v>754</v>
      </c>
    </row>
    <row r="515" spans="1:23" outlineLevel="2" x14ac:dyDescent="0.25">
      <c r="A515" t="s">
        <v>82</v>
      </c>
      <c r="B515" t="s">
        <v>83</v>
      </c>
      <c r="C515">
        <v>30</v>
      </c>
      <c r="D515" t="s">
        <v>84</v>
      </c>
      <c r="E515">
        <v>184</v>
      </c>
      <c r="F515" t="s">
        <v>85</v>
      </c>
      <c r="G515">
        <v>8664</v>
      </c>
      <c r="H515" t="s">
        <v>27</v>
      </c>
      <c r="I515">
        <v>1000008664</v>
      </c>
      <c r="J515">
        <v>29453078</v>
      </c>
      <c r="K515" t="s">
        <v>1825</v>
      </c>
      <c r="L515" t="s">
        <v>753</v>
      </c>
      <c r="M515" t="s">
        <v>88</v>
      </c>
      <c r="N515">
        <v>179.5</v>
      </c>
      <c r="O515">
        <v>14.22</v>
      </c>
      <c r="P515">
        <v>2.2799999999999998</v>
      </c>
      <c r="Q515">
        <v>4.2561999999999998</v>
      </c>
      <c r="R515">
        <v>0.68100000000000005</v>
      </c>
      <c r="S515" t="s">
        <v>676</v>
      </c>
      <c r="T515">
        <v>6</v>
      </c>
      <c r="U515" t="s">
        <v>89</v>
      </c>
      <c r="W515" t="s">
        <v>754</v>
      </c>
    </row>
    <row r="516" spans="1:23" outlineLevel="2" x14ac:dyDescent="0.25">
      <c r="A516" t="s">
        <v>82</v>
      </c>
      <c r="B516" t="s">
        <v>83</v>
      </c>
      <c r="C516">
        <v>30</v>
      </c>
      <c r="D516" t="s">
        <v>84</v>
      </c>
      <c r="E516">
        <v>184</v>
      </c>
      <c r="F516" t="s">
        <v>85</v>
      </c>
      <c r="G516">
        <v>8664</v>
      </c>
      <c r="H516" t="s">
        <v>27</v>
      </c>
      <c r="I516">
        <v>1000008664</v>
      </c>
      <c r="J516">
        <v>29455173</v>
      </c>
      <c r="K516" t="s">
        <v>1834</v>
      </c>
      <c r="L516" t="s">
        <v>752</v>
      </c>
      <c r="M516" t="s">
        <v>88</v>
      </c>
      <c r="N516">
        <v>68.5</v>
      </c>
      <c r="O516">
        <v>14.22</v>
      </c>
      <c r="P516">
        <v>2.2799999999999998</v>
      </c>
      <c r="Q516">
        <v>4.2561999999999998</v>
      </c>
      <c r="R516">
        <v>0.68100000000000005</v>
      </c>
      <c r="S516" t="s">
        <v>1209</v>
      </c>
      <c r="T516">
        <v>6</v>
      </c>
      <c r="U516" t="s">
        <v>89</v>
      </c>
      <c r="W516" t="s">
        <v>754</v>
      </c>
    </row>
    <row r="517" spans="1:23" outlineLevel="2" x14ac:dyDescent="0.25">
      <c r="A517" t="s">
        <v>82</v>
      </c>
      <c r="B517" t="s">
        <v>83</v>
      </c>
      <c r="C517">
        <v>30</v>
      </c>
      <c r="D517" t="s">
        <v>84</v>
      </c>
      <c r="E517">
        <v>184</v>
      </c>
      <c r="F517" t="s">
        <v>85</v>
      </c>
      <c r="G517">
        <v>8664</v>
      </c>
      <c r="H517" t="s">
        <v>27</v>
      </c>
      <c r="I517">
        <v>1000008664</v>
      </c>
      <c r="J517">
        <v>29459020</v>
      </c>
      <c r="K517" t="s">
        <v>1846</v>
      </c>
      <c r="L517" t="s">
        <v>752</v>
      </c>
      <c r="M517" t="s">
        <v>88</v>
      </c>
      <c r="N517">
        <v>150.5</v>
      </c>
      <c r="O517">
        <v>14.22</v>
      </c>
      <c r="P517">
        <v>2.2799999999999998</v>
      </c>
      <c r="Q517">
        <v>4.2561999999999998</v>
      </c>
      <c r="R517">
        <v>0.68100000000000005</v>
      </c>
      <c r="S517" t="s">
        <v>1211</v>
      </c>
      <c r="T517">
        <v>6</v>
      </c>
      <c r="U517" t="s">
        <v>89</v>
      </c>
      <c r="W517" t="s">
        <v>754</v>
      </c>
    </row>
    <row r="518" spans="1:23" outlineLevel="2" x14ac:dyDescent="0.25">
      <c r="A518" t="s">
        <v>82</v>
      </c>
      <c r="B518" t="s">
        <v>83</v>
      </c>
      <c r="C518">
        <v>30</v>
      </c>
      <c r="D518" t="s">
        <v>84</v>
      </c>
      <c r="E518">
        <v>184</v>
      </c>
      <c r="F518" t="s">
        <v>85</v>
      </c>
      <c r="G518">
        <v>8664</v>
      </c>
      <c r="H518" t="s">
        <v>27</v>
      </c>
      <c r="I518">
        <v>1000008664</v>
      </c>
      <c r="J518">
        <v>29466532</v>
      </c>
      <c r="K518" t="s">
        <v>1889</v>
      </c>
      <c r="L518" t="s">
        <v>752</v>
      </c>
      <c r="M518" t="s">
        <v>88</v>
      </c>
      <c r="N518">
        <v>356.5</v>
      </c>
      <c r="O518">
        <v>14.22</v>
      </c>
      <c r="P518">
        <v>2.2799999999999998</v>
      </c>
      <c r="Q518">
        <v>4.2561999999999998</v>
      </c>
      <c r="R518">
        <v>0.68100000000000005</v>
      </c>
      <c r="S518" t="s">
        <v>1213</v>
      </c>
      <c r="T518">
        <v>6</v>
      </c>
      <c r="U518" t="s">
        <v>89</v>
      </c>
      <c r="W518" t="s">
        <v>754</v>
      </c>
    </row>
    <row r="519" spans="1:23" outlineLevel="2" x14ac:dyDescent="0.25">
      <c r="A519" t="s">
        <v>82</v>
      </c>
      <c r="B519" t="s">
        <v>83</v>
      </c>
      <c r="C519">
        <v>30</v>
      </c>
      <c r="D519" t="s">
        <v>84</v>
      </c>
      <c r="E519">
        <v>184</v>
      </c>
      <c r="F519" t="s">
        <v>85</v>
      </c>
      <c r="G519">
        <v>8664</v>
      </c>
      <c r="H519" t="s">
        <v>27</v>
      </c>
      <c r="I519">
        <v>1000008664</v>
      </c>
      <c r="J519">
        <v>29471471</v>
      </c>
      <c r="K519" t="s">
        <v>1961</v>
      </c>
      <c r="L519" t="s">
        <v>752</v>
      </c>
      <c r="M519" t="s">
        <v>88</v>
      </c>
      <c r="N519">
        <v>126.5</v>
      </c>
      <c r="O519">
        <v>14.22</v>
      </c>
      <c r="P519">
        <v>2.2799999999999998</v>
      </c>
      <c r="Q519">
        <v>4.2561999999999998</v>
      </c>
      <c r="R519">
        <v>0.68100000000000005</v>
      </c>
      <c r="S519" t="s">
        <v>3287</v>
      </c>
      <c r="T519">
        <v>6</v>
      </c>
      <c r="U519" t="s">
        <v>89</v>
      </c>
      <c r="W519" t="s">
        <v>754</v>
      </c>
    </row>
    <row r="520" spans="1:23" outlineLevel="2" x14ac:dyDescent="0.25">
      <c r="A520" t="s">
        <v>82</v>
      </c>
      <c r="B520" t="s">
        <v>83</v>
      </c>
      <c r="C520">
        <v>30</v>
      </c>
      <c r="D520" t="s">
        <v>84</v>
      </c>
      <c r="E520">
        <v>184</v>
      </c>
      <c r="F520" t="s">
        <v>85</v>
      </c>
      <c r="G520">
        <v>8664</v>
      </c>
      <c r="H520" t="s">
        <v>27</v>
      </c>
      <c r="I520">
        <v>1000008664</v>
      </c>
      <c r="J520">
        <v>29473655</v>
      </c>
      <c r="K520" t="s">
        <v>2005</v>
      </c>
      <c r="L520" t="s">
        <v>752</v>
      </c>
      <c r="M520" t="s">
        <v>88</v>
      </c>
      <c r="N520">
        <v>527.5</v>
      </c>
      <c r="O520">
        <v>14.22</v>
      </c>
      <c r="P520">
        <v>2.2799999999999998</v>
      </c>
      <c r="Q520">
        <v>4.2561999999999998</v>
      </c>
      <c r="R520">
        <v>0.68100000000000005</v>
      </c>
      <c r="S520" t="s">
        <v>3289</v>
      </c>
      <c r="T520">
        <v>6</v>
      </c>
      <c r="U520" t="s">
        <v>89</v>
      </c>
      <c r="W520" t="s">
        <v>754</v>
      </c>
    </row>
    <row r="521" spans="1:23" outlineLevel="2" x14ac:dyDescent="0.25">
      <c r="A521" t="s">
        <v>82</v>
      </c>
      <c r="B521" t="s">
        <v>83</v>
      </c>
      <c r="C521">
        <v>30</v>
      </c>
      <c r="D521" t="s">
        <v>84</v>
      </c>
      <c r="E521">
        <v>184</v>
      </c>
      <c r="F521" t="s">
        <v>85</v>
      </c>
      <c r="G521">
        <v>8664</v>
      </c>
      <c r="H521" t="s">
        <v>27</v>
      </c>
      <c r="I521">
        <v>1000008664</v>
      </c>
      <c r="J521">
        <v>29474085</v>
      </c>
      <c r="K521" t="s">
        <v>2012</v>
      </c>
      <c r="L521" t="s">
        <v>752</v>
      </c>
      <c r="M521" t="s">
        <v>88</v>
      </c>
      <c r="N521">
        <v>142.5</v>
      </c>
      <c r="O521">
        <v>14.22</v>
      </c>
      <c r="P521">
        <v>2.2799999999999998</v>
      </c>
      <c r="Q521">
        <v>4.2561999999999998</v>
      </c>
      <c r="R521">
        <v>0.68100000000000005</v>
      </c>
      <c r="S521" t="s">
        <v>3291</v>
      </c>
      <c r="T521">
        <v>6</v>
      </c>
      <c r="U521" t="s">
        <v>89</v>
      </c>
      <c r="W521" t="s">
        <v>754</v>
      </c>
    </row>
    <row r="522" spans="1:23" outlineLevel="2" x14ac:dyDescent="0.25">
      <c r="A522" t="s">
        <v>82</v>
      </c>
      <c r="B522" t="s">
        <v>83</v>
      </c>
      <c r="C522">
        <v>30</v>
      </c>
      <c r="D522" t="s">
        <v>84</v>
      </c>
      <c r="E522">
        <v>184</v>
      </c>
      <c r="F522" t="s">
        <v>85</v>
      </c>
      <c r="G522">
        <v>8664</v>
      </c>
      <c r="H522" t="s">
        <v>27</v>
      </c>
      <c r="I522">
        <v>1000008664</v>
      </c>
      <c r="J522">
        <v>29474445</v>
      </c>
      <c r="K522" t="s">
        <v>2017</v>
      </c>
      <c r="L522" t="s">
        <v>752</v>
      </c>
      <c r="M522" t="s">
        <v>88</v>
      </c>
      <c r="N522">
        <v>159.5</v>
      </c>
      <c r="O522">
        <v>14.22</v>
      </c>
      <c r="P522">
        <v>2.2799999999999998</v>
      </c>
      <c r="Q522">
        <v>4.2561999999999998</v>
      </c>
      <c r="R522">
        <v>0.68100000000000005</v>
      </c>
      <c r="S522" t="s">
        <v>3293</v>
      </c>
      <c r="T522">
        <v>6</v>
      </c>
      <c r="U522" t="s">
        <v>89</v>
      </c>
      <c r="W522" t="s">
        <v>754</v>
      </c>
    </row>
    <row r="523" spans="1:23" outlineLevel="2" x14ac:dyDescent="0.25">
      <c r="A523" t="s">
        <v>82</v>
      </c>
      <c r="B523" t="s">
        <v>83</v>
      </c>
      <c r="C523">
        <v>30</v>
      </c>
      <c r="D523" t="s">
        <v>84</v>
      </c>
      <c r="E523">
        <v>184</v>
      </c>
      <c r="F523" t="s">
        <v>85</v>
      </c>
      <c r="G523">
        <v>8664</v>
      </c>
      <c r="H523" t="s">
        <v>27</v>
      </c>
      <c r="I523">
        <v>1000008664</v>
      </c>
      <c r="J523">
        <v>29479938</v>
      </c>
      <c r="K523" t="s">
        <v>2090</v>
      </c>
      <c r="L523" t="s">
        <v>752</v>
      </c>
      <c r="M523" t="s">
        <v>88</v>
      </c>
      <c r="N523">
        <v>119.5</v>
      </c>
      <c r="O523">
        <v>14.22</v>
      </c>
      <c r="P523">
        <v>2.2799999999999998</v>
      </c>
      <c r="Q523">
        <v>4.2561999999999998</v>
      </c>
      <c r="R523">
        <v>0.68100000000000005</v>
      </c>
      <c r="S523" t="s">
        <v>3295</v>
      </c>
      <c r="T523">
        <v>6</v>
      </c>
      <c r="U523" t="s">
        <v>89</v>
      </c>
      <c r="W523" t="s">
        <v>754</v>
      </c>
    </row>
    <row r="524" spans="1:23" outlineLevel="2" x14ac:dyDescent="0.25">
      <c r="A524" t="s">
        <v>82</v>
      </c>
      <c r="B524" t="s">
        <v>83</v>
      </c>
      <c r="C524">
        <v>30</v>
      </c>
      <c r="D524" t="s">
        <v>84</v>
      </c>
      <c r="E524">
        <v>184</v>
      </c>
      <c r="F524" t="s">
        <v>85</v>
      </c>
      <c r="G524">
        <v>8664</v>
      </c>
      <c r="H524" t="s">
        <v>27</v>
      </c>
      <c r="I524">
        <v>1000008664</v>
      </c>
      <c r="J524">
        <v>29480911</v>
      </c>
      <c r="K524" t="s">
        <v>2102</v>
      </c>
      <c r="L524" t="s">
        <v>752</v>
      </c>
      <c r="M524" t="s">
        <v>88</v>
      </c>
      <c r="N524">
        <v>123.5</v>
      </c>
      <c r="O524">
        <v>14.22</v>
      </c>
      <c r="P524">
        <v>2.2799999999999998</v>
      </c>
      <c r="Q524">
        <v>4.2561999999999998</v>
      </c>
      <c r="R524">
        <v>0.68100000000000005</v>
      </c>
      <c r="S524" t="s">
        <v>3297</v>
      </c>
      <c r="T524">
        <v>6</v>
      </c>
      <c r="U524" t="s">
        <v>89</v>
      </c>
      <c r="W524" t="s">
        <v>754</v>
      </c>
    </row>
    <row r="525" spans="1:23" outlineLevel="2" x14ac:dyDescent="0.25">
      <c r="A525" t="s">
        <v>82</v>
      </c>
      <c r="B525" t="s">
        <v>83</v>
      </c>
      <c r="C525">
        <v>30</v>
      </c>
      <c r="D525" t="s">
        <v>84</v>
      </c>
      <c r="E525">
        <v>184</v>
      </c>
      <c r="F525" t="s">
        <v>85</v>
      </c>
      <c r="G525">
        <v>8664</v>
      </c>
      <c r="H525" t="s">
        <v>27</v>
      </c>
      <c r="I525">
        <v>1000008664</v>
      </c>
      <c r="J525">
        <v>29482163</v>
      </c>
      <c r="K525" t="s">
        <v>2121</v>
      </c>
      <c r="L525" t="s">
        <v>752</v>
      </c>
      <c r="M525" t="s">
        <v>88</v>
      </c>
      <c r="N525">
        <v>1199.5</v>
      </c>
      <c r="O525">
        <v>14.22</v>
      </c>
      <c r="P525">
        <v>2.2799999999999998</v>
      </c>
      <c r="Q525">
        <v>4.2561999999999998</v>
      </c>
      <c r="R525">
        <v>0.68100000000000005</v>
      </c>
      <c r="S525" t="s">
        <v>3299</v>
      </c>
      <c r="T525">
        <v>6</v>
      </c>
      <c r="U525" t="s">
        <v>89</v>
      </c>
      <c r="W525" t="s">
        <v>754</v>
      </c>
    </row>
    <row r="526" spans="1:23" outlineLevel="2" x14ac:dyDescent="0.25">
      <c r="A526" t="s">
        <v>82</v>
      </c>
      <c r="B526" t="s">
        <v>83</v>
      </c>
      <c r="C526">
        <v>30</v>
      </c>
      <c r="D526" t="s">
        <v>84</v>
      </c>
      <c r="E526">
        <v>184</v>
      </c>
      <c r="F526" t="s">
        <v>85</v>
      </c>
      <c r="G526">
        <v>8664</v>
      </c>
      <c r="H526" t="s">
        <v>27</v>
      </c>
      <c r="I526">
        <v>1000008664</v>
      </c>
      <c r="J526">
        <v>29482866</v>
      </c>
      <c r="K526" t="s">
        <v>2130</v>
      </c>
      <c r="L526" t="s">
        <v>752</v>
      </c>
      <c r="M526" t="s">
        <v>88</v>
      </c>
      <c r="N526">
        <v>290.5</v>
      </c>
      <c r="O526">
        <v>14.22</v>
      </c>
      <c r="P526">
        <v>2.2799999999999998</v>
      </c>
      <c r="Q526">
        <v>4.2561999999999998</v>
      </c>
      <c r="R526">
        <v>0.68100000000000005</v>
      </c>
      <c r="S526" t="s">
        <v>3301</v>
      </c>
      <c r="T526">
        <v>6</v>
      </c>
      <c r="U526" t="s">
        <v>89</v>
      </c>
      <c r="W526" t="s">
        <v>754</v>
      </c>
    </row>
    <row r="527" spans="1:23" outlineLevel="2" x14ac:dyDescent="0.25">
      <c r="A527" t="s">
        <v>82</v>
      </c>
      <c r="B527" t="s">
        <v>83</v>
      </c>
      <c r="C527">
        <v>30</v>
      </c>
      <c r="D527" t="s">
        <v>84</v>
      </c>
      <c r="E527">
        <v>184</v>
      </c>
      <c r="F527" t="s">
        <v>85</v>
      </c>
      <c r="G527">
        <v>8664</v>
      </c>
      <c r="H527" t="s">
        <v>27</v>
      </c>
      <c r="I527">
        <v>1000008664</v>
      </c>
      <c r="J527">
        <v>29486603</v>
      </c>
      <c r="K527" t="s">
        <v>2150</v>
      </c>
      <c r="L527" t="s">
        <v>752</v>
      </c>
      <c r="M527" t="s">
        <v>88</v>
      </c>
      <c r="N527">
        <v>104.5</v>
      </c>
      <c r="O527">
        <v>14.22</v>
      </c>
      <c r="P527">
        <v>2.2799999999999998</v>
      </c>
      <c r="Q527">
        <v>4.2561999999999998</v>
      </c>
      <c r="R527">
        <v>0.68100000000000005</v>
      </c>
      <c r="S527" t="s">
        <v>3303</v>
      </c>
      <c r="T527">
        <v>6</v>
      </c>
      <c r="U527" t="s">
        <v>89</v>
      </c>
      <c r="W527" t="s">
        <v>754</v>
      </c>
    </row>
    <row r="528" spans="1:23" outlineLevel="2" x14ac:dyDescent="0.25">
      <c r="A528" t="s">
        <v>82</v>
      </c>
      <c r="B528" t="s">
        <v>83</v>
      </c>
      <c r="C528">
        <v>30</v>
      </c>
      <c r="D528" t="s">
        <v>84</v>
      </c>
      <c r="E528">
        <v>184</v>
      </c>
      <c r="F528" t="s">
        <v>85</v>
      </c>
      <c r="G528">
        <v>8664</v>
      </c>
      <c r="H528" t="s">
        <v>27</v>
      </c>
      <c r="I528">
        <v>1000008664</v>
      </c>
      <c r="J528">
        <v>29487132</v>
      </c>
      <c r="K528" t="s">
        <v>2152</v>
      </c>
      <c r="L528" t="s">
        <v>752</v>
      </c>
      <c r="M528" t="s">
        <v>88</v>
      </c>
      <c r="N528">
        <v>94.5</v>
      </c>
      <c r="O528">
        <v>14.22</v>
      </c>
      <c r="P528">
        <v>2.2799999999999998</v>
      </c>
      <c r="Q528">
        <v>4.2561999999999998</v>
      </c>
      <c r="R528">
        <v>0.68100000000000005</v>
      </c>
      <c r="S528" t="s">
        <v>3305</v>
      </c>
      <c r="T528">
        <v>6</v>
      </c>
      <c r="U528" t="s">
        <v>89</v>
      </c>
      <c r="W528" t="s">
        <v>754</v>
      </c>
    </row>
    <row r="529" spans="1:23" outlineLevel="2" x14ac:dyDescent="0.25">
      <c r="A529" t="s">
        <v>82</v>
      </c>
      <c r="B529" t="s">
        <v>83</v>
      </c>
      <c r="C529">
        <v>30</v>
      </c>
      <c r="D529" t="s">
        <v>84</v>
      </c>
      <c r="E529">
        <v>184</v>
      </c>
      <c r="F529" t="s">
        <v>85</v>
      </c>
      <c r="G529">
        <v>8664</v>
      </c>
      <c r="H529" t="s">
        <v>27</v>
      </c>
      <c r="I529">
        <v>1000008664</v>
      </c>
      <c r="J529">
        <v>29488078</v>
      </c>
      <c r="K529" t="s">
        <v>2160</v>
      </c>
      <c r="L529" t="s">
        <v>752</v>
      </c>
      <c r="M529" t="s">
        <v>88</v>
      </c>
      <c r="N529">
        <v>87.5</v>
      </c>
      <c r="O529">
        <v>14.22</v>
      </c>
      <c r="P529">
        <v>2.2799999999999998</v>
      </c>
      <c r="Q529">
        <v>4.2561999999999998</v>
      </c>
      <c r="R529">
        <v>0.68100000000000005</v>
      </c>
      <c r="S529" t="s">
        <v>3307</v>
      </c>
      <c r="T529">
        <v>6</v>
      </c>
      <c r="U529" t="s">
        <v>89</v>
      </c>
      <c r="W529" t="s">
        <v>754</v>
      </c>
    </row>
    <row r="530" spans="1:23" outlineLevel="2" x14ac:dyDescent="0.25">
      <c r="A530" t="s">
        <v>82</v>
      </c>
      <c r="B530" t="s">
        <v>83</v>
      </c>
      <c r="C530">
        <v>30</v>
      </c>
      <c r="D530" t="s">
        <v>84</v>
      </c>
      <c r="E530">
        <v>184</v>
      </c>
      <c r="F530" t="s">
        <v>85</v>
      </c>
      <c r="G530">
        <v>8664</v>
      </c>
      <c r="H530" t="s">
        <v>27</v>
      </c>
      <c r="I530">
        <v>1000008664</v>
      </c>
      <c r="J530">
        <v>29490361</v>
      </c>
      <c r="K530" t="s">
        <v>2179</v>
      </c>
      <c r="L530" t="s">
        <v>752</v>
      </c>
      <c r="M530" t="s">
        <v>88</v>
      </c>
      <c r="N530">
        <v>1016.5</v>
      </c>
      <c r="O530">
        <v>14.22</v>
      </c>
      <c r="P530">
        <v>2.2799999999999998</v>
      </c>
      <c r="Q530">
        <v>4.2561999999999998</v>
      </c>
      <c r="R530">
        <v>0.68100000000000005</v>
      </c>
      <c r="S530" t="s">
        <v>3309</v>
      </c>
      <c r="T530">
        <v>6</v>
      </c>
      <c r="U530" t="s">
        <v>89</v>
      </c>
      <c r="W530" t="s">
        <v>754</v>
      </c>
    </row>
    <row r="531" spans="1:23" outlineLevel="2" x14ac:dyDescent="0.25">
      <c r="A531" t="s">
        <v>82</v>
      </c>
      <c r="B531" t="s">
        <v>83</v>
      </c>
      <c r="C531">
        <v>30</v>
      </c>
      <c r="D531" t="s">
        <v>84</v>
      </c>
      <c r="E531">
        <v>184</v>
      </c>
      <c r="F531" t="s">
        <v>85</v>
      </c>
      <c r="G531">
        <v>8664</v>
      </c>
      <c r="H531" t="s">
        <v>27</v>
      </c>
      <c r="I531">
        <v>1000008664</v>
      </c>
      <c r="J531">
        <v>29493804</v>
      </c>
      <c r="K531" t="s">
        <v>2206</v>
      </c>
      <c r="L531" t="s">
        <v>752</v>
      </c>
      <c r="M531" t="s">
        <v>88</v>
      </c>
      <c r="N531">
        <v>74.5</v>
      </c>
      <c r="O531">
        <v>14.22</v>
      </c>
      <c r="P531">
        <v>2.2799999999999998</v>
      </c>
      <c r="Q531">
        <v>4.2561999999999998</v>
      </c>
      <c r="R531">
        <v>0.68100000000000005</v>
      </c>
      <c r="S531" t="s">
        <v>3311</v>
      </c>
      <c r="T531">
        <v>6</v>
      </c>
      <c r="U531" t="s">
        <v>89</v>
      </c>
      <c r="W531" t="s">
        <v>754</v>
      </c>
    </row>
    <row r="532" spans="1:23" outlineLevel="2" x14ac:dyDescent="0.25">
      <c r="A532" t="s">
        <v>82</v>
      </c>
      <c r="B532" t="s">
        <v>83</v>
      </c>
      <c r="C532">
        <v>30</v>
      </c>
      <c r="D532" t="s">
        <v>84</v>
      </c>
      <c r="E532">
        <v>184</v>
      </c>
      <c r="F532" t="s">
        <v>85</v>
      </c>
      <c r="G532">
        <v>8664</v>
      </c>
      <c r="H532" t="s">
        <v>27</v>
      </c>
      <c r="I532">
        <v>1000008664</v>
      </c>
      <c r="J532">
        <v>29495508</v>
      </c>
      <c r="K532" t="s">
        <v>2223</v>
      </c>
      <c r="L532" t="s">
        <v>752</v>
      </c>
      <c r="M532" t="s">
        <v>88</v>
      </c>
      <c r="N532">
        <v>52.5</v>
      </c>
      <c r="O532">
        <v>14.22</v>
      </c>
      <c r="P532">
        <v>2.2799999999999998</v>
      </c>
      <c r="Q532">
        <v>4.2561999999999998</v>
      </c>
      <c r="R532">
        <v>0.68100000000000005</v>
      </c>
      <c r="S532" t="s">
        <v>3313</v>
      </c>
      <c r="T532">
        <v>6</v>
      </c>
      <c r="U532" t="s">
        <v>89</v>
      </c>
      <c r="W532" t="s">
        <v>754</v>
      </c>
    </row>
    <row r="533" spans="1:23" outlineLevel="2" x14ac:dyDescent="0.25">
      <c r="A533" t="s">
        <v>82</v>
      </c>
      <c r="B533" t="s">
        <v>83</v>
      </c>
      <c r="C533">
        <v>30</v>
      </c>
      <c r="D533" t="s">
        <v>84</v>
      </c>
      <c r="E533">
        <v>184</v>
      </c>
      <c r="F533" t="s">
        <v>85</v>
      </c>
      <c r="G533">
        <v>8664</v>
      </c>
      <c r="H533" t="s">
        <v>27</v>
      </c>
      <c r="I533">
        <v>1000008664</v>
      </c>
      <c r="J533">
        <v>29501249</v>
      </c>
      <c r="K533" t="s">
        <v>2262</v>
      </c>
      <c r="L533" t="s">
        <v>753</v>
      </c>
      <c r="M533" t="s">
        <v>88</v>
      </c>
      <c r="N533">
        <v>115.5</v>
      </c>
      <c r="O533">
        <v>14.22</v>
      </c>
      <c r="P533">
        <v>2.2799999999999998</v>
      </c>
      <c r="Q533">
        <v>4.2561999999999998</v>
      </c>
      <c r="R533">
        <v>0.68100000000000005</v>
      </c>
      <c r="S533" t="s">
        <v>3315</v>
      </c>
      <c r="T533">
        <v>6</v>
      </c>
      <c r="U533" t="s">
        <v>89</v>
      </c>
      <c r="W533" t="s">
        <v>754</v>
      </c>
    </row>
    <row r="534" spans="1:23" outlineLevel="2" x14ac:dyDescent="0.25">
      <c r="A534" t="s">
        <v>82</v>
      </c>
      <c r="B534" t="s">
        <v>83</v>
      </c>
      <c r="C534">
        <v>30</v>
      </c>
      <c r="D534" t="s">
        <v>84</v>
      </c>
      <c r="E534">
        <v>184</v>
      </c>
      <c r="F534" t="s">
        <v>85</v>
      </c>
      <c r="G534">
        <v>8664</v>
      </c>
      <c r="H534" t="s">
        <v>27</v>
      </c>
      <c r="I534">
        <v>1000008664</v>
      </c>
      <c r="J534">
        <v>29501319</v>
      </c>
      <c r="K534" t="s">
        <v>2264</v>
      </c>
      <c r="L534" t="s">
        <v>753</v>
      </c>
      <c r="M534" t="s">
        <v>88</v>
      </c>
      <c r="N534">
        <v>622.5</v>
      </c>
      <c r="O534">
        <v>14.22</v>
      </c>
      <c r="P534">
        <v>2.2799999999999998</v>
      </c>
      <c r="Q534">
        <v>4.2561999999999998</v>
      </c>
      <c r="R534">
        <v>0.68100000000000005</v>
      </c>
      <c r="S534" t="s">
        <v>3317</v>
      </c>
      <c r="T534">
        <v>6</v>
      </c>
      <c r="U534" t="s">
        <v>89</v>
      </c>
      <c r="W534" t="s">
        <v>754</v>
      </c>
    </row>
    <row r="535" spans="1:23" outlineLevel="2" x14ac:dyDescent="0.25">
      <c r="A535" t="s">
        <v>82</v>
      </c>
      <c r="B535" t="s">
        <v>83</v>
      </c>
      <c r="C535">
        <v>30</v>
      </c>
      <c r="D535" t="s">
        <v>84</v>
      </c>
      <c r="E535">
        <v>184</v>
      </c>
      <c r="F535" t="s">
        <v>85</v>
      </c>
      <c r="G535">
        <v>8664</v>
      </c>
      <c r="H535" t="s">
        <v>27</v>
      </c>
      <c r="I535">
        <v>1000008664</v>
      </c>
      <c r="J535">
        <v>29501525</v>
      </c>
      <c r="K535" t="s">
        <v>2265</v>
      </c>
      <c r="L535" t="s">
        <v>752</v>
      </c>
      <c r="M535" t="s">
        <v>88</v>
      </c>
      <c r="N535">
        <v>73.5</v>
      </c>
      <c r="O535">
        <v>14.22</v>
      </c>
      <c r="P535">
        <v>2.2799999999999998</v>
      </c>
      <c r="Q535">
        <v>4.2561999999999998</v>
      </c>
      <c r="R535">
        <v>0.68100000000000005</v>
      </c>
      <c r="S535" t="s">
        <v>3319</v>
      </c>
      <c r="T535">
        <v>6</v>
      </c>
      <c r="U535" t="s">
        <v>89</v>
      </c>
      <c r="W535" t="s">
        <v>754</v>
      </c>
    </row>
    <row r="536" spans="1:23" outlineLevel="2" x14ac:dyDescent="0.25">
      <c r="A536" t="s">
        <v>82</v>
      </c>
      <c r="B536" t="s">
        <v>83</v>
      </c>
      <c r="C536">
        <v>30</v>
      </c>
      <c r="D536" t="s">
        <v>84</v>
      </c>
      <c r="E536">
        <v>184</v>
      </c>
      <c r="F536" t="s">
        <v>85</v>
      </c>
      <c r="G536">
        <v>8664</v>
      </c>
      <c r="H536" t="s">
        <v>27</v>
      </c>
      <c r="I536">
        <v>1000008664</v>
      </c>
      <c r="J536">
        <v>29507330</v>
      </c>
      <c r="K536" t="s">
        <v>2300</v>
      </c>
      <c r="L536" t="s">
        <v>752</v>
      </c>
      <c r="M536" t="s">
        <v>88</v>
      </c>
      <c r="N536">
        <v>51.5</v>
      </c>
      <c r="O536">
        <v>14.22</v>
      </c>
      <c r="P536">
        <v>2.2799999999999998</v>
      </c>
      <c r="Q536">
        <v>4.2561999999999998</v>
      </c>
      <c r="R536">
        <v>0.68100000000000005</v>
      </c>
      <c r="S536" t="s">
        <v>3321</v>
      </c>
      <c r="T536">
        <v>6</v>
      </c>
      <c r="U536" t="s">
        <v>89</v>
      </c>
      <c r="W536" t="s">
        <v>754</v>
      </c>
    </row>
    <row r="537" spans="1:23" outlineLevel="2" x14ac:dyDescent="0.25">
      <c r="A537" t="s">
        <v>82</v>
      </c>
      <c r="B537" t="s">
        <v>83</v>
      </c>
      <c r="C537">
        <v>30</v>
      </c>
      <c r="D537" t="s">
        <v>84</v>
      </c>
      <c r="E537">
        <v>184</v>
      </c>
      <c r="F537" t="s">
        <v>85</v>
      </c>
      <c r="G537">
        <v>8666</v>
      </c>
      <c r="H537" t="s">
        <v>28</v>
      </c>
      <c r="I537">
        <v>1000008666</v>
      </c>
      <c r="J537">
        <v>29430583</v>
      </c>
      <c r="K537" t="s">
        <v>1674</v>
      </c>
      <c r="L537" t="s">
        <v>752</v>
      </c>
      <c r="M537" t="s">
        <v>88</v>
      </c>
      <c r="N537">
        <v>111.5</v>
      </c>
      <c r="O537">
        <v>14.22</v>
      </c>
      <c r="P537">
        <v>2.2799999999999998</v>
      </c>
      <c r="Q537">
        <v>4.2561999999999998</v>
      </c>
      <c r="R537">
        <v>0.68100000000000005</v>
      </c>
      <c r="S537" t="s">
        <v>1588</v>
      </c>
      <c r="T537">
        <v>6</v>
      </c>
      <c r="U537" t="s">
        <v>89</v>
      </c>
      <c r="W537" t="s">
        <v>754</v>
      </c>
    </row>
    <row r="538" spans="1:23" outlineLevel="2" x14ac:dyDescent="0.25">
      <c r="A538" t="s">
        <v>82</v>
      </c>
      <c r="B538" t="s">
        <v>83</v>
      </c>
      <c r="C538">
        <v>30</v>
      </c>
      <c r="D538" t="s">
        <v>84</v>
      </c>
      <c r="E538">
        <v>184</v>
      </c>
      <c r="F538" t="s">
        <v>85</v>
      </c>
      <c r="G538">
        <v>8666</v>
      </c>
      <c r="H538" t="s">
        <v>28</v>
      </c>
      <c r="I538">
        <v>1000008666</v>
      </c>
      <c r="J538">
        <v>29431104</v>
      </c>
      <c r="K538" t="s">
        <v>1678</v>
      </c>
      <c r="L538" t="s">
        <v>752</v>
      </c>
      <c r="M538" t="s">
        <v>88</v>
      </c>
      <c r="N538">
        <v>152.5</v>
      </c>
      <c r="O538">
        <v>14.22</v>
      </c>
      <c r="P538">
        <v>2.2799999999999998</v>
      </c>
      <c r="Q538">
        <v>4.2561999999999998</v>
      </c>
      <c r="R538">
        <v>0.68100000000000005</v>
      </c>
      <c r="S538" t="s">
        <v>1590</v>
      </c>
      <c r="T538">
        <v>6</v>
      </c>
      <c r="U538" t="s">
        <v>89</v>
      </c>
      <c r="W538" t="s">
        <v>754</v>
      </c>
    </row>
    <row r="539" spans="1:23" outlineLevel="2" x14ac:dyDescent="0.25">
      <c r="A539" t="s">
        <v>82</v>
      </c>
      <c r="B539" t="s">
        <v>83</v>
      </c>
      <c r="C539">
        <v>30</v>
      </c>
      <c r="D539" t="s">
        <v>84</v>
      </c>
      <c r="E539">
        <v>184</v>
      </c>
      <c r="F539" t="s">
        <v>85</v>
      </c>
      <c r="G539">
        <v>8666</v>
      </c>
      <c r="H539" t="s">
        <v>28</v>
      </c>
      <c r="I539">
        <v>1000008666</v>
      </c>
      <c r="J539">
        <v>29433600</v>
      </c>
      <c r="K539" t="s">
        <v>1694</v>
      </c>
      <c r="L539" t="s">
        <v>752</v>
      </c>
      <c r="M539" t="s">
        <v>88</v>
      </c>
      <c r="N539">
        <v>57.5</v>
      </c>
      <c r="O539">
        <v>14.22</v>
      </c>
      <c r="P539">
        <v>2.2799999999999998</v>
      </c>
      <c r="Q539">
        <v>4.2561999999999998</v>
      </c>
      <c r="R539">
        <v>0.68100000000000005</v>
      </c>
      <c r="S539" t="s">
        <v>1592</v>
      </c>
      <c r="T539">
        <v>6</v>
      </c>
      <c r="U539" t="s">
        <v>89</v>
      </c>
      <c r="W539" t="s">
        <v>754</v>
      </c>
    </row>
    <row r="540" spans="1:23" outlineLevel="2" x14ac:dyDescent="0.25">
      <c r="A540" t="s">
        <v>82</v>
      </c>
      <c r="B540" t="s">
        <v>83</v>
      </c>
      <c r="C540">
        <v>30</v>
      </c>
      <c r="D540" t="s">
        <v>84</v>
      </c>
      <c r="E540">
        <v>184</v>
      </c>
      <c r="F540" t="s">
        <v>85</v>
      </c>
      <c r="G540">
        <v>8666</v>
      </c>
      <c r="H540" t="s">
        <v>28</v>
      </c>
      <c r="I540">
        <v>1000008666</v>
      </c>
      <c r="J540">
        <v>29435116</v>
      </c>
      <c r="K540" t="s">
        <v>1703</v>
      </c>
      <c r="L540" t="s">
        <v>752</v>
      </c>
      <c r="M540" t="s">
        <v>88</v>
      </c>
      <c r="N540">
        <v>299.5</v>
      </c>
      <c r="O540">
        <v>14.22</v>
      </c>
      <c r="P540">
        <v>2.2799999999999998</v>
      </c>
      <c r="Q540">
        <v>4.2561999999999998</v>
      </c>
      <c r="R540">
        <v>0.68100000000000005</v>
      </c>
      <c r="S540" t="s">
        <v>806</v>
      </c>
      <c r="T540">
        <v>6</v>
      </c>
      <c r="U540" t="s">
        <v>89</v>
      </c>
      <c r="W540" t="s">
        <v>754</v>
      </c>
    </row>
    <row r="541" spans="1:23" outlineLevel="2" x14ac:dyDescent="0.25">
      <c r="A541" t="s">
        <v>82</v>
      </c>
      <c r="B541" t="s">
        <v>83</v>
      </c>
      <c r="C541">
        <v>30</v>
      </c>
      <c r="D541" t="s">
        <v>84</v>
      </c>
      <c r="E541">
        <v>184</v>
      </c>
      <c r="F541" t="s">
        <v>85</v>
      </c>
      <c r="G541">
        <v>8666</v>
      </c>
      <c r="H541" t="s">
        <v>28</v>
      </c>
      <c r="I541">
        <v>1000008666</v>
      </c>
      <c r="J541">
        <v>29435148</v>
      </c>
      <c r="K541" t="s">
        <v>1704</v>
      </c>
      <c r="L541" t="s">
        <v>752</v>
      </c>
      <c r="M541" t="s">
        <v>88</v>
      </c>
      <c r="N541">
        <v>135.5</v>
      </c>
      <c r="O541">
        <v>14.22</v>
      </c>
      <c r="P541">
        <v>2.2799999999999998</v>
      </c>
      <c r="Q541">
        <v>4.2561999999999998</v>
      </c>
      <c r="R541">
        <v>0.68100000000000005</v>
      </c>
      <c r="S541" t="s">
        <v>808</v>
      </c>
      <c r="T541">
        <v>6</v>
      </c>
      <c r="U541" t="s">
        <v>89</v>
      </c>
      <c r="W541" t="s">
        <v>754</v>
      </c>
    </row>
    <row r="542" spans="1:23" outlineLevel="2" x14ac:dyDescent="0.25">
      <c r="A542" t="s">
        <v>82</v>
      </c>
      <c r="B542" t="s">
        <v>83</v>
      </c>
      <c r="C542">
        <v>30</v>
      </c>
      <c r="D542" t="s">
        <v>84</v>
      </c>
      <c r="E542">
        <v>184</v>
      </c>
      <c r="F542" t="s">
        <v>85</v>
      </c>
      <c r="G542">
        <v>8666</v>
      </c>
      <c r="H542" t="s">
        <v>28</v>
      </c>
      <c r="I542">
        <v>1000008666</v>
      </c>
      <c r="J542">
        <v>29444945</v>
      </c>
      <c r="K542" t="s">
        <v>1774</v>
      </c>
      <c r="L542" t="s">
        <v>752</v>
      </c>
      <c r="M542" t="s">
        <v>88</v>
      </c>
      <c r="N542">
        <v>45.5</v>
      </c>
      <c r="O542">
        <v>14.22</v>
      </c>
      <c r="P542">
        <v>2.2799999999999998</v>
      </c>
      <c r="Q542">
        <v>4.2561999999999998</v>
      </c>
      <c r="R542">
        <v>0.68100000000000005</v>
      </c>
      <c r="S542" t="s">
        <v>1418</v>
      </c>
      <c r="T542">
        <v>6</v>
      </c>
      <c r="U542" t="s">
        <v>89</v>
      </c>
      <c r="W542" t="s">
        <v>754</v>
      </c>
    </row>
    <row r="543" spans="1:23" outlineLevel="2" x14ac:dyDescent="0.25">
      <c r="A543" t="s">
        <v>82</v>
      </c>
      <c r="B543" t="s">
        <v>83</v>
      </c>
      <c r="C543">
        <v>30</v>
      </c>
      <c r="D543" t="s">
        <v>84</v>
      </c>
      <c r="E543">
        <v>184</v>
      </c>
      <c r="F543" t="s">
        <v>85</v>
      </c>
      <c r="G543">
        <v>8666</v>
      </c>
      <c r="H543" t="s">
        <v>28</v>
      </c>
      <c r="I543">
        <v>1000008666</v>
      </c>
      <c r="J543">
        <v>29447881</v>
      </c>
      <c r="K543" t="s">
        <v>1789</v>
      </c>
      <c r="L543" t="s">
        <v>752</v>
      </c>
      <c r="M543" t="s">
        <v>88</v>
      </c>
      <c r="N543">
        <v>142.5</v>
      </c>
      <c r="O543">
        <v>14.22</v>
      </c>
      <c r="P543">
        <v>2.2799999999999998</v>
      </c>
      <c r="Q543">
        <v>4.2561999999999998</v>
      </c>
      <c r="R543">
        <v>0.68100000000000005</v>
      </c>
      <c r="S543" t="s">
        <v>1420</v>
      </c>
      <c r="T543">
        <v>6</v>
      </c>
      <c r="U543" t="s">
        <v>89</v>
      </c>
      <c r="W543" t="s">
        <v>754</v>
      </c>
    </row>
    <row r="544" spans="1:23" outlineLevel="2" x14ac:dyDescent="0.25">
      <c r="A544" s="8" t="s">
        <v>82</v>
      </c>
      <c r="B544" s="8" t="s">
        <v>83</v>
      </c>
      <c r="C544" s="8">
        <v>30</v>
      </c>
      <c r="D544" s="8" t="s">
        <v>84</v>
      </c>
      <c r="E544" s="8">
        <v>184</v>
      </c>
      <c r="F544" s="8" t="s">
        <v>85</v>
      </c>
      <c r="G544" s="8">
        <v>8666</v>
      </c>
      <c r="H544" s="8" t="s">
        <v>28</v>
      </c>
      <c r="I544" s="8">
        <v>1000008666</v>
      </c>
      <c r="J544" s="8">
        <v>29449320</v>
      </c>
      <c r="K544" s="8" t="s">
        <v>1796</v>
      </c>
      <c r="L544" s="8" t="s">
        <v>752</v>
      </c>
      <c r="M544" s="8" t="s">
        <v>88</v>
      </c>
      <c r="N544" s="8">
        <v>100.5</v>
      </c>
      <c r="O544" s="8">
        <v>14.22</v>
      </c>
      <c r="P544" s="8">
        <v>2.2799999999999998</v>
      </c>
      <c r="Q544" s="8">
        <v>4.2561999999999998</v>
      </c>
      <c r="R544" s="8">
        <v>0.68100000000000005</v>
      </c>
      <c r="S544" s="8" t="s">
        <v>1458</v>
      </c>
      <c r="T544" s="8">
        <v>6</v>
      </c>
      <c r="U544" s="8" t="s">
        <v>89</v>
      </c>
      <c r="V544" s="8"/>
      <c r="W544" t="s">
        <v>754</v>
      </c>
    </row>
    <row r="545" spans="1:23" outlineLevel="2" x14ac:dyDescent="0.25">
      <c r="A545" t="s">
        <v>82</v>
      </c>
      <c r="B545" t="s">
        <v>83</v>
      </c>
      <c r="C545">
        <v>30</v>
      </c>
      <c r="D545" t="s">
        <v>84</v>
      </c>
      <c r="E545">
        <v>184</v>
      </c>
      <c r="F545" t="s">
        <v>85</v>
      </c>
      <c r="G545">
        <v>8666</v>
      </c>
      <c r="H545" t="s">
        <v>28</v>
      </c>
      <c r="I545">
        <v>1000008666</v>
      </c>
      <c r="J545">
        <v>29462185</v>
      </c>
      <c r="K545" t="s">
        <v>1871</v>
      </c>
      <c r="L545" t="s">
        <v>752</v>
      </c>
      <c r="M545" t="s">
        <v>88</v>
      </c>
      <c r="N545">
        <v>82.5</v>
      </c>
      <c r="O545">
        <v>14.22</v>
      </c>
      <c r="P545">
        <v>2.2799999999999998</v>
      </c>
      <c r="Q545">
        <v>4.2561999999999998</v>
      </c>
      <c r="R545">
        <v>0.68100000000000005</v>
      </c>
      <c r="S545" t="s">
        <v>1215</v>
      </c>
      <c r="T545">
        <v>6</v>
      </c>
      <c r="U545" t="s">
        <v>89</v>
      </c>
      <c r="W545" t="s">
        <v>754</v>
      </c>
    </row>
    <row r="546" spans="1:23" outlineLevel="2" x14ac:dyDescent="0.25">
      <c r="A546" t="s">
        <v>82</v>
      </c>
      <c r="B546" t="s">
        <v>83</v>
      </c>
      <c r="C546">
        <v>30</v>
      </c>
      <c r="D546" t="s">
        <v>84</v>
      </c>
      <c r="E546">
        <v>184</v>
      </c>
      <c r="F546" t="s">
        <v>85</v>
      </c>
      <c r="G546">
        <v>8666</v>
      </c>
      <c r="H546" t="s">
        <v>28</v>
      </c>
      <c r="I546">
        <v>1000008666</v>
      </c>
      <c r="J546">
        <v>29469770</v>
      </c>
      <c r="K546" t="s">
        <v>1929</v>
      </c>
      <c r="L546" t="s">
        <v>752</v>
      </c>
      <c r="M546" t="s">
        <v>88</v>
      </c>
      <c r="N546">
        <v>131.5</v>
      </c>
      <c r="O546">
        <v>14.22</v>
      </c>
      <c r="P546">
        <v>2.2799999999999998</v>
      </c>
      <c r="Q546">
        <v>4.2561999999999998</v>
      </c>
      <c r="R546">
        <v>0.68100000000000005</v>
      </c>
      <c r="S546" t="s">
        <v>3323</v>
      </c>
      <c r="T546">
        <v>6</v>
      </c>
      <c r="U546" t="s">
        <v>89</v>
      </c>
      <c r="W546" t="s">
        <v>754</v>
      </c>
    </row>
    <row r="547" spans="1:23" outlineLevel="2" x14ac:dyDescent="0.25">
      <c r="A547" t="s">
        <v>82</v>
      </c>
      <c r="B547" t="s">
        <v>83</v>
      </c>
      <c r="C547">
        <v>30</v>
      </c>
      <c r="D547" t="s">
        <v>84</v>
      </c>
      <c r="E547">
        <v>184</v>
      </c>
      <c r="F547" t="s">
        <v>85</v>
      </c>
      <c r="G547">
        <v>8666</v>
      </c>
      <c r="H547" t="s">
        <v>28</v>
      </c>
      <c r="I547">
        <v>1000008666</v>
      </c>
      <c r="J547">
        <v>29471023</v>
      </c>
      <c r="K547" t="s">
        <v>1956</v>
      </c>
      <c r="L547" t="s">
        <v>752</v>
      </c>
      <c r="M547" t="s">
        <v>88</v>
      </c>
      <c r="N547">
        <v>156.5</v>
      </c>
      <c r="O547">
        <v>14.22</v>
      </c>
      <c r="P547">
        <v>2.2799999999999998</v>
      </c>
      <c r="Q547">
        <v>4.2561999999999998</v>
      </c>
      <c r="R547">
        <v>0.68100000000000005</v>
      </c>
      <c r="S547" t="s">
        <v>679</v>
      </c>
      <c r="T547">
        <v>6</v>
      </c>
      <c r="U547" t="s">
        <v>89</v>
      </c>
      <c r="W547" t="s">
        <v>754</v>
      </c>
    </row>
    <row r="548" spans="1:23" outlineLevel="2" x14ac:dyDescent="0.25">
      <c r="A548" t="s">
        <v>82</v>
      </c>
      <c r="B548" t="s">
        <v>83</v>
      </c>
      <c r="C548">
        <v>30</v>
      </c>
      <c r="D548" t="s">
        <v>84</v>
      </c>
      <c r="E548">
        <v>184</v>
      </c>
      <c r="F548" t="s">
        <v>85</v>
      </c>
      <c r="G548">
        <v>8666</v>
      </c>
      <c r="H548" t="s">
        <v>28</v>
      </c>
      <c r="I548">
        <v>1000008666</v>
      </c>
      <c r="J548">
        <v>29472280</v>
      </c>
      <c r="K548" t="s">
        <v>1973</v>
      </c>
      <c r="L548" t="s">
        <v>752</v>
      </c>
      <c r="M548" t="s">
        <v>88</v>
      </c>
      <c r="N548">
        <v>311.5</v>
      </c>
      <c r="O548">
        <v>14.22</v>
      </c>
      <c r="P548">
        <v>2.2799999999999998</v>
      </c>
      <c r="Q548">
        <v>4.2561999999999998</v>
      </c>
      <c r="R548">
        <v>0.68100000000000005</v>
      </c>
      <c r="S548" t="s">
        <v>3326</v>
      </c>
      <c r="T548">
        <v>6</v>
      </c>
      <c r="U548" t="s">
        <v>89</v>
      </c>
      <c r="W548" t="s">
        <v>754</v>
      </c>
    </row>
    <row r="549" spans="1:23" outlineLevel="2" x14ac:dyDescent="0.25">
      <c r="A549" t="s">
        <v>82</v>
      </c>
      <c r="B549" t="s">
        <v>83</v>
      </c>
      <c r="C549">
        <v>30</v>
      </c>
      <c r="D549" t="s">
        <v>84</v>
      </c>
      <c r="E549">
        <v>184</v>
      </c>
      <c r="F549" t="s">
        <v>85</v>
      </c>
      <c r="G549">
        <v>8666</v>
      </c>
      <c r="H549" t="s">
        <v>28</v>
      </c>
      <c r="I549">
        <v>1000008666</v>
      </c>
      <c r="J549">
        <v>29473052</v>
      </c>
      <c r="K549" t="s">
        <v>1992</v>
      </c>
      <c r="L549" t="s">
        <v>752</v>
      </c>
      <c r="M549" t="s">
        <v>88</v>
      </c>
      <c r="N549">
        <v>2433.5</v>
      </c>
      <c r="O549">
        <v>14.22</v>
      </c>
      <c r="P549">
        <v>2.2799999999999998</v>
      </c>
      <c r="Q549">
        <v>4.2561999999999998</v>
      </c>
      <c r="R549">
        <v>0.68100000000000005</v>
      </c>
      <c r="S549" t="s">
        <v>3328</v>
      </c>
      <c r="T549">
        <v>6</v>
      </c>
      <c r="U549" t="s">
        <v>89</v>
      </c>
      <c r="W549" t="s">
        <v>754</v>
      </c>
    </row>
    <row r="550" spans="1:23" outlineLevel="2" x14ac:dyDescent="0.25">
      <c r="A550" t="s">
        <v>82</v>
      </c>
      <c r="B550" t="s">
        <v>83</v>
      </c>
      <c r="C550">
        <v>30</v>
      </c>
      <c r="D550" t="s">
        <v>84</v>
      </c>
      <c r="E550">
        <v>184</v>
      </c>
      <c r="F550" t="s">
        <v>85</v>
      </c>
      <c r="G550">
        <v>8666</v>
      </c>
      <c r="H550" t="s">
        <v>28</v>
      </c>
      <c r="I550">
        <v>1000008666</v>
      </c>
      <c r="J550">
        <v>29475416</v>
      </c>
      <c r="K550" t="s">
        <v>2030</v>
      </c>
      <c r="L550" t="s">
        <v>752</v>
      </c>
      <c r="M550" t="s">
        <v>88</v>
      </c>
      <c r="N550">
        <v>55.5</v>
      </c>
      <c r="O550">
        <v>14.22</v>
      </c>
      <c r="P550">
        <v>2.2799999999999998</v>
      </c>
      <c r="Q550">
        <v>4.2561999999999998</v>
      </c>
      <c r="R550">
        <v>0.68100000000000005</v>
      </c>
      <c r="S550" t="s">
        <v>3330</v>
      </c>
      <c r="T550">
        <v>6</v>
      </c>
      <c r="U550" t="s">
        <v>89</v>
      </c>
      <c r="W550" t="s">
        <v>754</v>
      </c>
    </row>
    <row r="551" spans="1:23" outlineLevel="2" x14ac:dyDescent="0.25">
      <c r="A551" t="s">
        <v>82</v>
      </c>
      <c r="B551" t="s">
        <v>83</v>
      </c>
      <c r="C551">
        <v>30</v>
      </c>
      <c r="D551" t="s">
        <v>84</v>
      </c>
      <c r="E551">
        <v>184</v>
      </c>
      <c r="F551" t="s">
        <v>85</v>
      </c>
      <c r="G551">
        <v>8666</v>
      </c>
      <c r="H551" t="s">
        <v>28</v>
      </c>
      <c r="I551">
        <v>1000008666</v>
      </c>
      <c r="J551">
        <v>29478133</v>
      </c>
      <c r="K551" t="s">
        <v>2068</v>
      </c>
      <c r="L551" t="s">
        <v>752</v>
      </c>
      <c r="M551" t="s">
        <v>88</v>
      </c>
      <c r="N551">
        <v>270.5</v>
      </c>
      <c r="O551">
        <v>14.22</v>
      </c>
      <c r="P551">
        <v>2.2799999999999998</v>
      </c>
      <c r="Q551">
        <v>4.2561999999999998</v>
      </c>
      <c r="R551">
        <v>0.68100000000000005</v>
      </c>
      <c r="S551" t="s">
        <v>3332</v>
      </c>
      <c r="T551">
        <v>6</v>
      </c>
      <c r="U551" t="s">
        <v>89</v>
      </c>
      <c r="W551" t="s">
        <v>754</v>
      </c>
    </row>
    <row r="552" spans="1:23" outlineLevel="2" x14ac:dyDescent="0.25">
      <c r="A552" t="s">
        <v>82</v>
      </c>
      <c r="B552" t="s">
        <v>83</v>
      </c>
      <c r="C552">
        <v>30</v>
      </c>
      <c r="D552" t="s">
        <v>84</v>
      </c>
      <c r="E552">
        <v>184</v>
      </c>
      <c r="F552" t="s">
        <v>85</v>
      </c>
      <c r="G552">
        <v>8666</v>
      </c>
      <c r="H552" t="s">
        <v>28</v>
      </c>
      <c r="I552">
        <v>1000008666</v>
      </c>
      <c r="J552">
        <v>29478725</v>
      </c>
      <c r="K552" t="s">
        <v>2077</v>
      </c>
      <c r="L552" t="s">
        <v>752</v>
      </c>
      <c r="M552" t="s">
        <v>88</v>
      </c>
      <c r="N552">
        <v>232.5</v>
      </c>
      <c r="O552">
        <v>14.22</v>
      </c>
      <c r="P552">
        <v>2.2799999999999998</v>
      </c>
      <c r="Q552">
        <v>4.2561999999999998</v>
      </c>
      <c r="R552">
        <v>0.68100000000000005</v>
      </c>
      <c r="S552" t="s">
        <v>3334</v>
      </c>
      <c r="T552">
        <v>6</v>
      </c>
      <c r="U552" t="s">
        <v>89</v>
      </c>
      <c r="W552" t="s">
        <v>754</v>
      </c>
    </row>
    <row r="553" spans="1:23" outlineLevel="2" x14ac:dyDescent="0.25">
      <c r="A553" t="s">
        <v>82</v>
      </c>
      <c r="B553" t="s">
        <v>83</v>
      </c>
      <c r="C553">
        <v>30</v>
      </c>
      <c r="D553" t="s">
        <v>84</v>
      </c>
      <c r="E553">
        <v>184</v>
      </c>
      <c r="F553" t="s">
        <v>85</v>
      </c>
      <c r="G553">
        <v>8666</v>
      </c>
      <c r="H553" t="s">
        <v>28</v>
      </c>
      <c r="I553">
        <v>1000008666</v>
      </c>
      <c r="J553">
        <v>29480353</v>
      </c>
      <c r="K553" t="s">
        <v>2097</v>
      </c>
      <c r="L553" t="s">
        <v>752</v>
      </c>
      <c r="M553" t="s">
        <v>88</v>
      </c>
      <c r="N553">
        <v>58.5</v>
      </c>
      <c r="O553">
        <v>14.22</v>
      </c>
      <c r="P553">
        <v>2.2799999999999998</v>
      </c>
      <c r="Q553">
        <v>4.2561999999999998</v>
      </c>
      <c r="R553">
        <v>0.68100000000000005</v>
      </c>
      <c r="S553" t="s">
        <v>3336</v>
      </c>
      <c r="T553">
        <v>6</v>
      </c>
      <c r="U553" t="s">
        <v>89</v>
      </c>
      <c r="W553" t="s">
        <v>754</v>
      </c>
    </row>
    <row r="554" spans="1:23" outlineLevel="2" x14ac:dyDescent="0.25">
      <c r="A554" t="s">
        <v>82</v>
      </c>
      <c r="B554" t="s">
        <v>83</v>
      </c>
      <c r="C554">
        <v>30</v>
      </c>
      <c r="D554" t="s">
        <v>84</v>
      </c>
      <c r="E554">
        <v>184</v>
      </c>
      <c r="F554" t="s">
        <v>85</v>
      </c>
      <c r="G554">
        <v>8666</v>
      </c>
      <c r="H554" t="s">
        <v>28</v>
      </c>
      <c r="I554">
        <v>1000008666</v>
      </c>
      <c r="J554">
        <v>29481191</v>
      </c>
      <c r="K554" t="s">
        <v>2106</v>
      </c>
      <c r="L554" t="s">
        <v>753</v>
      </c>
      <c r="M554" t="s">
        <v>88</v>
      </c>
      <c r="N554">
        <v>3244.5</v>
      </c>
      <c r="O554">
        <v>14.22</v>
      </c>
      <c r="P554">
        <v>2.2799999999999998</v>
      </c>
      <c r="Q554">
        <v>4.2561999999999998</v>
      </c>
      <c r="R554">
        <v>0.68100000000000005</v>
      </c>
      <c r="S554" t="s">
        <v>3338</v>
      </c>
      <c r="T554">
        <v>6</v>
      </c>
      <c r="U554" t="s">
        <v>89</v>
      </c>
      <c r="W554" t="s">
        <v>754</v>
      </c>
    </row>
    <row r="555" spans="1:23" outlineLevel="2" x14ac:dyDescent="0.25">
      <c r="A555" t="s">
        <v>82</v>
      </c>
      <c r="B555" t="s">
        <v>83</v>
      </c>
      <c r="C555">
        <v>30</v>
      </c>
      <c r="D555" t="s">
        <v>84</v>
      </c>
      <c r="E555">
        <v>184</v>
      </c>
      <c r="F555" t="s">
        <v>85</v>
      </c>
      <c r="G555">
        <v>8666</v>
      </c>
      <c r="H555" t="s">
        <v>28</v>
      </c>
      <c r="I555">
        <v>1000008666</v>
      </c>
      <c r="J555">
        <v>29481464</v>
      </c>
      <c r="K555" t="s">
        <v>2111</v>
      </c>
      <c r="L555" t="s">
        <v>753</v>
      </c>
      <c r="M555" t="s">
        <v>88</v>
      </c>
      <c r="N555">
        <v>2996.5</v>
      </c>
      <c r="O555">
        <v>14.22</v>
      </c>
      <c r="P555">
        <v>2.2799999999999998</v>
      </c>
      <c r="Q555">
        <v>4.2561999999999998</v>
      </c>
      <c r="R555">
        <v>0.68100000000000005</v>
      </c>
      <c r="S555" t="s">
        <v>3340</v>
      </c>
      <c r="T555">
        <v>6</v>
      </c>
      <c r="U555" t="s">
        <v>89</v>
      </c>
      <c r="W555" t="s">
        <v>754</v>
      </c>
    </row>
    <row r="556" spans="1:23" outlineLevel="2" x14ac:dyDescent="0.25">
      <c r="A556" t="s">
        <v>82</v>
      </c>
      <c r="B556" t="s">
        <v>83</v>
      </c>
      <c r="C556">
        <v>30</v>
      </c>
      <c r="D556" t="s">
        <v>84</v>
      </c>
      <c r="E556">
        <v>184</v>
      </c>
      <c r="F556" t="s">
        <v>85</v>
      </c>
      <c r="G556">
        <v>8666</v>
      </c>
      <c r="H556" t="s">
        <v>28</v>
      </c>
      <c r="I556">
        <v>1000008666</v>
      </c>
      <c r="J556">
        <v>29481754</v>
      </c>
      <c r="K556" t="s">
        <v>2114</v>
      </c>
      <c r="L556" t="s">
        <v>753</v>
      </c>
      <c r="M556" t="s">
        <v>88</v>
      </c>
      <c r="N556">
        <v>311.5</v>
      </c>
      <c r="O556">
        <v>14.22</v>
      </c>
      <c r="P556">
        <v>2.2799999999999998</v>
      </c>
      <c r="Q556">
        <v>4.2561999999999998</v>
      </c>
      <c r="R556">
        <v>0.68100000000000005</v>
      </c>
      <c r="S556" t="s">
        <v>3342</v>
      </c>
      <c r="T556">
        <v>6</v>
      </c>
      <c r="U556" t="s">
        <v>89</v>
      </c>
      <c r="W556" t="s">
        <v>754</v>
      </c>
    </row>
    <row r="557" spans="1:23" outlineLevel="2" x14ac:dyDescent="0.25">
      <c r="A557" t="s">
        <v>82</v>
      </c>
      <c r="B557" t="s">
        <v>83</v>
      </c>
      <c r="C557">
        <v>30</v>
      </c>
      <c r="D557" t="s">
        <v>84</v>
      </c>
      <c r="E557">
        <v>184</v>
      </c>
      <c r="F557" t="s">
        <v>85</v>
      </c>
      <c r="G557">
        <v>8666</v>
      </c>
      <c r="H557" t="s">
        <v>28</v>
      </c>
      <c r="I557">
        <v>1000008666</v>
      </c>
      <c r="J557">
        <v>29481984</v>
      </c>
      <c r="K557" t="s">
        <v>2119</v>
      </c>
      <c r="L557" t="s">
        <v>753</v>
      </c>
      <c r="M557" t="s">
        <v>88</v>
      </c>
      <c r="N557">
        <v>3693.5</v>
      </c>
      <c r="O557">
        <v>14.22</v>
      </c>
      <c r="P557">
        <v>2.2799999999999998</v>
      </c>
      <c r="Q557">
        <v>4.2561999999999998</v>
      </c>
      <c r="R557">
        <v>0.68100000000000005</v>
      </c>
      <c r="S557" t="s">
        <v>3344</v>
      </c>
      <c r="T557">
        <v>6</v>
      </c>
      <c r="U557" t="s">
        <v>89</v>
      </c>
      <c r="W557" t="s">
        <v>754</v>
      </c>
    </row>
    <row r="558" spans="1:23" outlineLevel="2" x14ac:dyDescent="0.25">
      <c r="A558" t="s">
        <v>82</v>
      </c>
      <c r="B558" t="s">
        <v>83</v>
      </c>
      <c r="C558">
        <v>30</v>
      </c>
      <c r="D558" t="s">
        <v>84</v>
      </c>
      <c r="E558">
        <v>184</v>
      </c>
      <c r="F558" t="s">
        <v>85</v>
      </c>
      <c r="G558">
        <v>8666</v>
      </c>
      <c r="H558" t="s">
        <v>28</v>
      </c>
      <c r="I558">
        <v>1000008666</v>
      </c>
      <c r="J558">
        <v>29482371</v>
      </c>
      <c r="K558" t="s">
        <v>2123</v>
      </c>
      <c r="L558" t="s">
        <v>753</v>
      </c>
      <c r="M558" t="s">
        <v>88</v>
      </c>
      <c r="N558">
        <v>3279.5</v>
      </c>
      <c r="O558">
        <v>14.22</v>
      </c>
      <c r="P558">
        <v>2.2799999999999998</v>
      </c>
      <c r="Q558">
        <v>4.2561999999999998</v>
      </c>
      <c r="R558">
        <v>0.68100000000000005</v>
      </c>
      <c r="S558" t="s">
        <v>3346</v>
      </c>
      <c r="T558">
        <v>6</v>
      </c>
      <c r="U558" t="s">
        <v>89</v>
      </c>
      <c r="W558" t="s">
        <v>754</v>
      </c>
    </row>
    <row r="559" spans="1:23" outlineLevel="2" x14ac:dyDescent="0.25">
      <c r="A559" t="s">
        <v>82</v>
      </c>
      <c r="B559" t="s">
        <v>83</v>
      </c>
      <c r="C559">
        <v>30</v>
      </c>
      <c r="D559" t="s">
        <v>84</v>
      </c>
      <c r="E559">
        <v>184</v>
      </c>
      <c r="F559" t="s">
        <v>85</v>
      </c>
      <c r="G559">
        <v>8666</v>
      </c>
      <c r="H559" t="s">
        <v>28</v>
      </c>
      <c r="I559">
        <v>1000008666</v>
      </c>
      <c r="J559">
        <v>29482618</v>
      </c>
      <c r="K559" t="s">
        <v>2129</v>
      </c>
      <c r="L559" t="s">
        <v>752</v>
      </c>
      <c r="M559" t="s">
        <v>88</v>
      </c>
      <c r="N559">
        <v>144.5</v>
      </c>
      <c r="O559">
        <v>14.22</v>
      </c>
      <c r="P559">
        <v>2.2799999999999998</v>
      </c>
      <c r="Q559">
        <v>4.2561999999999998</v>
      </c>
      <c r="R559">
        <v>0.68100000000000005</v>
      </c>
      <c r="S559" t="s">
        <v>3348</v>
      </c>
      <c r="T559">
        <v>6</v>
      </c>
      <c r="U559" t="s">
        <v>89</v>
      </c>
      <c r="W559" t="s">
        <v>754</v>
      </c>
    </row>
    <row r="560" spans="1:23" outlineLevel="2" x14ac:dyDescent="0.25">
      <c r="A560" s="8" t="s">
        <v>82</v>
      </c>
      <c r="B560" s="8" t="s">
        <v>83</v>
      </c>
      <c r="C560" s="8">
        <v>30</v>
      </c>
      <c r="D560" s="8" t="s">
        <v>84</v>
      </c>
      <c r="E560" s="8">
        <v>184</v>
      </c>
      <c r="F560" s="8" t="s">
        <v>85</v>
      </c>
      <c r="G560" s="8">
        <v>8666</v>
      </c>
      <c r="H560" s="8" t="s">
        <v>28</v>
      </c>
      <c r="I560" s="8">
        <v>1000008666</v>
      </c>
      <c r="J560" s="8">
        <v>29483351</v>
      </c>
      <c r="K560" s="8" t="s">
        <v>2134</v>
      </c>
      <c r="L560" s="8" t="s">
        <v>752</v>
      </c>
      <c r="M560" s="8" t="s">
        <v>88</v>
      </c>
      <c r="N560" s="8">
        <v>147.5</v>
      </c>
      <c r="O560" s="8">
        <v>14.22</v>
      </c>
      <c r="P560" s="8">
        <v>2.2799999999999998</v>
      </c>
      <c r="Q560" s="8">
        <v>4.2561999999999998</v>
      </c>
      <c r="R560" s="8">
        <v>0.68100000000000005</v>
      </c>
      <c r="S560" s="8" t="s">
        <v>3511</v>
      </c>
      <c r="T560" s="8">
        <v>6</v>
      </c>
      <c r="U560" s="8" t="s">
        <v>89</v>
      </c>
      <c r="V560" s="8"/>
      <c r="W560" t="s">
        <v>754</v>
      </c>
    </row>
    <row r="561" spans="1:23" outlineLevel="2" x14ac:dyDescent="0.25">
      <c r="A561" t="s">
        <v>82</v>
      </c>
      <c r="B561" t="s">
        <v>83</v>
      </c>
      <c r="C561">
        <v>30</v>
      </c>
      <c r="D561" t="s">
        <v>84</v>
      </c>
      <c r="E561">
        <v>184</v>
      </c>
      <c r="F561" t="s">
        <v>85</v>
      </c>
      <c r="G561">
        <v>8666</v>
      </c>
      <c r="H561" t="s">
        <v>28</v>
      </c>
      <c r="I561">
        <v>1000008666</v>
      </c>
      <c r="J561">
        <v>29484747</v>
      </c>
      <c r="K561" t="s">
        <v>2140</v>
      </c>
      <c r="L561" t="s">
        <v>752</v>
      </c>
      <c r="M561" t="s">
        <v>88</v>
      </c>
      <c r="N561">
        <v>64.5</v>
      </c>
      <c r="O561">
        <v>14.22</v>
      </c>
      <c r="P561">
        <v>2.2799999999999998</v>
      </c>
      <c r="Q561">
        <v>4.2561999999999998</v>
      </c>
      <c r="R561">
        <v>0.68100000000000005</v>
      </c>
      <c r="S561" t="s">
        <v>3350</v>
      </c>
      <c r="T561">
        <v>6</v>
      </c>
      <c r="U561" t="s">
        <v>89</v>
      </c>
      <c r="W561" t="s">
        <v>754</v>
      </c>
    </row>
    <row r="562" spans="1:23" outlineLevel="2" x14ac:dyDescent="0.25">
      <c r="A562" t="s">
        <v>82</v>
      </c>
      <c r="B562" t="s">
        <v>83</v>
      </c>
      <c r="C562">
        <v>30</v>
      </c>
      <c r="D562" t="s">
        <v>84</v>
      </c>
      <c r="E562">
        <v>184</v>
      </c>
      <c r="F562" t="s">
        <v>85</v>
      </c>
      <c r="G562">
        <v>8666</v>
      </c>
      <c r="H562" t="s">
        <v>28</v>
      </c>
      <c r="I562">
        <v>1000008666</v>
      </c>
      <c r="J562">
        <v>29486046</v>
      </c>
      <c r="K562" t="s">
        <v>2147</v>
      </c>
      <c r="L562" t="s">
        <v>753</v>
      </c>
      <c r="M562" t="s">
        <v>88</v>
      </c>
      <c r="N562">
        <v>113.5</v>
      </c>
      <c r="O562">
        <v>14.22</v>
      </c>
      <c r="P562">
        <v>2.2799999999999998</v>
      </c>
      <c r="Q562">
        <v>4.2561999999999998</v>
      </c>
      <c r="R562">
        <v>0.68100000000000005</v>
      </c>
      <c r="S562" t="s">
        <v>3352</v>
      </c>
      <c r="T562">
        <v>6</v>
      </c>
      <c r="U562" t="s">
        <v>89</v>
      </c>
      <c r="W562" t="s">
        <v>754</v>
      </c>
    </row>
    <row r="563" spans="1:23" outlineLevel="2" x14ac:dyDescent="0.25">
      <c r="A563" t="s">
        <v>82</v>
      </c>
      <c r="B563" t="s">
        <v>83</v>
      </c>
      <c r="C563">
        <v>30</v>
      </c>
      <c r="D563" t="s">
        <v>84</v>
      </c>
      <c r="E563">
        <v>184</v>
      </c>
      <c r="F563" t="s">
        <v>85</v>
      </c>
      <c r="G563">
        <v>8666</v>
      </c>
      <c r="H563" t="s">
        <v>28</v>
      </c>
      <c r="I563">
        <v>1000008666</v>
      </c>
      <c r="J563">
        <v>29487903</v>
      </c>
      <c r="K563" t="s">
        <v>2158</v>
      </c>
      <c r="L563" t="s">
        <v>752</v>
      </c>
      <c r="M563" t="s">
        <v>88</v>
      </c>
      <c r="N563">
        <v>102.5</v>
      </c>
      <c r="O563">
        <v>14.22</v>
      </c>
      <c r="P563">
        <v>2.2799999999999998</v>
      </c>
      <c r="Q563">
        <v>4.2561999999999998</v>
      </c>
      <c r="R563">
        <v>0.68100000000000005</v>
      </c>
      <c r="S563" t="s">
        <v>3354</v>
      </c>
      <c r="T563">
        <v>6</v>
      </c>
      <c r="U563" t="s">
        <v>89</v>
      </c>
      <c r="W563" t="s">
        <v>754</v>
      </c>
    </row>
    <row r="564" spans="1:23" outlineLevel="2" x14ac:dyDescent="0.25">
      <c r="A564" t="s">
        <v>82</v>
      </c>
      <c r="B564" t="s">
        <v>83</v>
      </c>
      <c r="C564">
        <v>30</v>
      </c>
      <c r="D564" t="s">
        <v>84</v>
      </c>
      <c r="E564">
        <v>184</v>
      </c>
      <c r="F564" t="s">
        <v>85</v>
      </c>
      <c r="G564">
        <v>8666</v>
      </c>
      <c r="H564" t="s">
        <v>28</v>
      </c>
      <c r="I564">
        <v>1000008666</v>
      </c>
      <c r="J564">
        <v>29489416</v>
      </c>
      <c r="K564" t="s">
        <v>2172</v>
      </c>
      <c r="L564" t="s">
        <v>752</v>
      </c>
      <c r="M564" t="s">
        <v>88</v>
      </c>
      <c r="N564">
        <v>118.5</v>
      </c>
      <c r="O564">
        <v>14.22</v>
      </c>
      <c r="P564">
        <v>2.2799999999999998</v>
      </c>
      <c r="Q564">
        <v>4.2561999999999998</v>
      </c>
      <c r="R564">
        <v>0.68100000000000005</v>
      </c>
      <c r="S564" t="s">
        <v>3356</v>
      </c>
      <c r="T564">
        <v>6</v>
      </c>
      <c r="U564" t="s">
        <v>89</v>
      </c>
      <c r="W564" t="s">
        <v>754</v>
      </c>
    </row>
    <row r="565" spans="1:23" outlineLevel="2" x14ac:dyDescent="0.25">
      <c r="A565" t="s">
        <v>82</v>
      </c>
      <c r="B565" t="s">
        <v>83</v>
      </c>
      <c r="C565">
        <v>30</v>
      </c>
      <c r="D565" t="s">
        <v>84</v>
      </c>
      <c r="E565">
        <v>184</v>
      </c>
      <c r="F565" t="s">
        <v>85</v>
      </c>
      <c r="G565">
        <v>8666</v>
      </c>
      <c r="H565" t="s">
        <v>28</v>
      </c>
      <c r="I565">
        <v>1000008666</v>
      </c>
      <c r="J565">
        <v>29491513</v>
      </c>
      <c r="K565" t="s">
        <v>2187</v>
      </c>
      <c r="L565" t="s">
        <v>752</v>
      </c>
      <c r="M565" t="s">
        <v>88</v>
      </c>
      <c r="N565">
        <v>59.5</v>
      </c>
      <c r="O565">
        <v>14.22</v>
      </c>
      <c r="P565">
        <v>2.2799999999999998</v>
      </c>
      <c r="Q565">
        <v>4.2561999999999998</v>
      </c>
      <c r="R565">
        <v>0.68100000000000005</v>
      </c>
      <c r="S565" t="s">
        <v>3358</v>
      </c>
      <c r="T565">
        <v>6</v>
      </c>
      <c r="U565" t="s">
        <v>89</v>
      </c>
      <c r="W565" t="s">
        <v>754</v>
      </c>
    </row>
    <row r="566" spans="1:23" outlineLevel="2" x14ac:dyDescent="0.25">
      <c r="A566" s="7" t="s">
        <v>82</v>
      </c>
      <c r="B566" s="7" t="s">
        <v>83</v>
      </c>
      <c r="C566" s="7">
        <v>30</v>
      </c>
      <c r="D566" s="7" t="s">
        <v>84</v>
      </c>
      <c r="E566" s="7">
        <v>184</v>
      </c>
      <c r="F566" s="7" t="s">
        <v>85</v>
      </c>
      <c r="G566" s="7">
        <v>8666</v>
      </c>
      <c r="H566" s="7" t="s">
        <v>28</v>
      </c>
      <c r="I566" s="7">
        <v>1000008666</v>
      </c>
      <c r="J566" s="7">
        <v>29491966</v>
      </c>
      <c r="K566" s="7" t="s">
        <v>2189</v>
      </c>
      <c r="L566" s="7" t="s">
        <v>752</v>
      </c>
      <c r="M566" s="7" t="s">
        <v>88</v>
      </c>
      <c r="N566" s="7">
        <v>44.5</v>
      </c>
      <c r="O566" s="7">
        <v>14.22</v>
      </c>
      <c r="P566" s="7">
        <v>2.2799999999999998</v>
      </c>
      <c r="Q566" s="7">
        <v>4.2561999999999998</v>
      </c>
      <c r="R566" s="7">
        <v>0.68100000000000005</v>
      </c>
      <c r="S566" s="7" t="s">
        <v>3360</v>
      </c>
      <c r="T566" s="7">
        <v>6</v>
      </c>
      <c r="U566" s="7" t="s">
        <v>89</v>
      </c>
      <c r="V566" s="7"/>
      <c r="W566" t="s">
        <v>754</v>
      </c>
    </row>
    <row r="567" spans="1:23" outlineLevel="2" x14ac:dyDescent="0.25">
      <c r="A567" s="7" t="s">
        <v>82</v>
      </c>
      <c r="B567" s="7" t="s">
        <v>83</v>
      </c>
      <c r="C567" s="7">
        <v>30</v>
      </c>
      <c r="D567" s="7" t="s">
        <v>84</v>
      </c>
      <c r="E567" s="7">
        <v>184</v>
      </c>
      <c r="F567" s="7" t="s">
        <v>85</v>
      </c>
      <c r="G567" s="7">
        <v>8666</v>
      </c>
      <c r="H567" s="7" t="s">
        <v>28</v>
      </c>
      <c r="I567" s="7">
        <v>1000008666</v>
      </c>
      <c r="J567" s="7">
        <v>29492099</v>
      </c>
      <c r="K567" s="7" t="s">
        <v>2192</v>
      </c>
      <c r="L567" s="7" t="s">
        <v>752</v>
      </c>
      <c r="M567" s="7" t="s">
        <v>88</v>
      </c>
      <c r="N567" s="7">
        <v>74.5</v>
      </c>
      <c r="O567" s="7">
        <v>14.22</v>
      </c>
      <c r="P567" s="7">
        <v>2.2799999999999998</v>
      </c>
      <c r="Q567" s="7">
        <v>4.2561999999999998</v>
      </c>
      <c r="R567" s="7">
        <v>0.68100000000000005</v>
      </c>
      <c r="S567" s="7" t="s">
        <v>3362</v>
      </c>
      <c r="T567" s="7">
        <v>6</v>
      </c>
      <c r="U567" s="7" t="s">
        <v>89</v>
      </c>
      <c r="V567" s="7"/>
      <c r="W567" t="s">
        <v>754</v>
      </c>
    </row>
    <row r="568" spans="1:23" outlineLevel="2" x14ac:dyDescent="0.25">
      <c r="A568" t="s">
        <v>82</v>
      </c>
      <c r="B568" t="s">
        <v>83</v>
      </c>
      <c r="C568">
        <v>30</v>
      </c>
      <c r="D568" t="s">
        <v>84</v>
      </c>
      <c r="E568">
        <v>184</v>
      </c>
      <c r="F568" t="s">
        <v>85</v>
      </c>
      <c r="G568">
        <v>8666</v>
      </c>
      <c r="H568" t="s">
        <v>28</v>
      </c>
      <c r="I568">
        <v>1000008666</v>
      </c>
      <c r="J568">
        <v>29492214</v>
      </c>
      <c r="K568" t="s">
        <v>2194</v>
      </c>
      <c r="L568" t="s">
        <v>752</v>
      </c>
      <c r="M568" t="s">
        <v>88</v>
      </c>
      <c r="N568">
        <v>153.5</v>
      </c>
      <c r="O568">
        <v>14.22</v>
      </c>
      <c r="P568">
        <v>2.2799999999999998</v>
      </c>
      <c r="Q568">
        <v>4.2561999999999998</v>
      </c>
      <c r="R568">
        <v>0.68100000000000005</v>
      </c>
      <c r="S568" t="s">
        <v>3364</v>
      </c>
      <c r="T568">
        <v>6</v>
      </c>
      <c r="U568" t="s">
        <v>89</v>
      </c>
      <c r="W568" t="s">
        <v>754</v>
      </c>
    </row>
    <row r="569" spans="1:23" outlineLevel="2" x14ac:dyDescent="0.25">
      <c r="A569" s="8" t="s">
        <v>82</v>
      </c>
      <c r="B569" s="8" t="s">
        <v>83</v>
      </c>
      <c r="C569" s="8">
        <v>30</v>
      </c>
      <c r="D569" s="8" t="s">
        <v>84</v>
      </c>
      <c r="E569" s="8">
        <v>184</v>
      </c>
      <c r="F569" s="8" t="s">
        <v>85</v>
      </c>
      <c r="G569" s="8">
        <v>8666</v>
      </c>
      <c r="H569" s="8" t="s">
        <v>28</v>
      </c>
      <c r="I569" s="8">
        <v>1000008666</v>
      </c>
      <c r="J569" s="8">
        <v>29493961</v>
      </c>
      <c r="K569" s="8" t="s">
        <v>2208</v>
      </c>
      <c r="L569" s="8" t="s">
        <v>752</v>
      </c>
      <c r="M569" s="8" t="s">
        <v>88</v>
      </c>
      <c r="N569" s="8">
        <v>139.5</v>
      </c>
      <c r="O569" s="8">
        <v>14.22</v>
      </c>
      <c r="P569" s="8">
        <v>2.2799999999999998</v>
      </c>
      <c r="Q569" s="8">
        <v>4.2561999999999998</v>
      </c>
      <c r="R569" s="8">
        <v>0.68100000000000005</v>
      </c>
      <c r="S569" s="8" t="s">
        <v>3513</v>
      </c>
      <c r="T569" s="8">
        <v>6</v>
      </c>
      <c r="U569" s="8" t="s">
        <v>89</v>
      </c>
      <c r="V569" s="8"/>
      <c r="W569" t="s">
        <v>754</v>
      </c>
    </row>
    <row r="570" spans="1:23" outlineLevel="2" x14ac:dyDescent="0.25">
      <c r="A570" t="s">
        <v>82</v>
      </c>
      <c r="B570" t="s">
        <v>83</v>
      </c>
      <c r="C570">
        <v>30</v>
      </c>
      <c r="D570" t="s">
        <v>84</v>
      </c>
      <c r="E570">
        <v>184</v>
      </c>
      <c r="F570" t="s">
        <v>85</v>
      </c>
      <c r="G570">
        <v>8666</v>
      </c>
      <c r="H570" t="s">
        <v>28</v>
      </c>
      <c r="I570">
        <v>1000008666</v>
      </c>
      <c r="J570">
        <v>29502687</v>
      </c>
      <c r="K570" t="s">
        <v>2276</v>
      </c>
      <c r="L570" t="s">
        <v>752</v>
      </c>
      <c r="M570" t="s">
        <v>88</v>
      </c>
      <c r="N570">
        <v>509.5</v>
      </c>
      <c r="O570">
        <v>14.22</v>
      </c>
      <c r="P570">
        <v>2.2799999999999998</v>
      </c>
      <c r="Q570">
        <v>4.2561999999999998</v>
      </c>
      <c r="R570">
        <v>0.68100000000000005</v>
      </c>
      <c r="S570" t="s">
        <v>3366</v>
      </c>
      <c r="T570">
        <v>6</v>
      </c>
      <c r="U570" t="s">
        <v>89</v>
      </c>
      <c r="W570" t="s">
        <v>754</v>
      </c>
    </row>
    <row r="571" spans="1:23" outlineLevel="2" x14ac:dyDescent="0.25">
      <c r="A571" t="s">
        <v>82</v>
      </c>
      <c r="B571" t="s">
        <v>83</v>
      </c>
      <c r="C571">
        <v>30</v>
      </c>
      <c r="D571" t="s">
        <v>84</v>
      </c>
      <c r="E571">
        <v>184</v>
      </c>
      <c r="F571" t="s">
        <v>85</v>
      </c>
      <c r="G571">
        <v>8669</v>
      </c>
      <c r="H571" t="s">
        <v>48</v>
      </c>
      <c r="I571">
        <v>1000008669</v>
      </c>
      <c r="J571">
        <v>29457666</v>
      </c>
      <c r="K571" t="s">
        <v>1840</v>
      </c>
      <c r="L571" t="s">
        <v>752</v>
      </c>
      <c r="M571" t="s">
        <v>88</v>
      </c>
      <c r="N571">
        <v>81.5</v>
      </c>
      <c r="O571">
        <v>14.22</v>
      </c>
      <c r="P571">
        <v>2.2799999999999998</v>
      </c>
      <c r="Q571">
        <v>4.2561999999999998</v>
      </c>
      <c r="R571">
        <v>0.68100000000000005</v>
      </c>
      <c r="S571" t="s">
        <v>1217</v>
      </c>
      <c r="T571">
        <v>6</v>
      </c>
      <c r="U571" t="s">
        <v>89</v>
      </c>
      <c r="W571" t="s">
        <v>754</v>
      </c>
    </row>
    <row r="572" spans="1:23" outlineLevel="2" x14ac:dyDescent="0.25">
      <c r="A572" s="7" t="s">
        <v>82</v>
      </c>
      <c r="B572" s="7" t="s">
        <v>83</v>
      </c>
      <c r="C572" s="7">
        <v>30</v>
      </c>
      <c r="D572" s="7" t="s">
        <v>84</v>
      </c>
      <c r="E572" s="7">
        <v>184</v>
      </c>
      <c r="F572" s="7" t="s">
        <v>85</v>
      </c>
      <c r="G572" s="7">
        <v>8669</v>
      </c>
      <c r="H572" s="7" t="s">
        <v>48</v>
      </c>
      <c r="I572" s="7">
        <v>1000008669</v>
      </c>
      <c r="J572" s="7">
        <v>29468713</v>
      </c>
      <c r="K572" s="7" t="s">
        <v>1909</v>
      </c>
      <c r="L572" s="7" t="s">
        <v>752</v>
      </c>
      <c r="M572" s="7" t="s">
        <v>88</v>
      </c>
      <c r="N572" s="7">
        <v>57.5</v>
      </c>
      <c r="O572" s="7">
        <v>14.22</v>
      </c>
      <c r="P572" s="7">
        <v>2.2799999999999998</v>
      </c>
      <c r="Q572" s="7">
        <v>4.2561999999999998</v>
      </c>
      <c r="R572" s="7">
        <v>0.68100000000000005</v>
      </c>
      <c r="S572" s="7" t="s">
        <v>1256</v>
      </c>
      <c r="T572" s="7">
        <v>6</v>
      </c>
      <c r="U572" s="7" t="s">
        <v>89</v>
      </c>
    </row>
    <row r="573" spans="1:23" outlineLevel="2" x14ac:dyDescent="0.25">
      <c r="A573" t="s">
        <v>82</v>
      </c>
      <c r="B573" t="s">
        <v>83</v>
      </c>
      <c r="C573">
        <v>30</v>
      </c>
      <c r="D573" t="s">
        <v>84</v>
      </c>
      <c r="E573">
        <v>184</v>
      </c>
      <c r="F573" t="s">
        <v>85</v>
      </c>
      <c r="G573">
        <v>8669</v>
      </c>
      <c r="H573" t="s">
        <v>48</v>
      </c>
      <c r="I573">
        <v>1000008669</v>
      </c>
      <c r="J573">
        <v>29482305</v>
      </c>
      <c r="K573" t="s">
        <v>2122</v>
      </c>
      <c r="L573" t="s">
        <v>752</v>
      </c>
      <c r="M573" t="s">
        <v>88</v>
      </c>
      <c r="N573">
        <v>194.5</v>
      </c>
      <c r="O573">
        <v>14.22</v>
      </c>
      <c r="P573">
        <v>2.2799999999999998</v>
      </c>
      <c r="Q573">
        <v>4.2561999999999998</v>
      </c>
      <c r="R573">
        <v>0.68100000000000005</v>
      </c>
      <c r="S573" t="s">
        <v>3368</v>
      </c>
      <c r="T573">
        <v>6</v>
      </c>
      <c r="U573" t="s">
        <v>89</v>
      </c>
      <c r="W573" t="s">
        <v>754</v>
      </c>
    </row>
    <row r="574" spans="1:23" outlineLevel="2" x14ac:dyDescent="0.25">
      <c r="A574" t="s">
        <v>82</v>
      </c>
      <c r="B574" t="s">
        <v>83</v>
      </c>
      <c r="C574">
        <v>30</v>
      </c>
      <c r="D574" t="s">
        <v>84</v>
      </c>
      <c r="E574">
        <v>184</v>
      </c>
      <c r="F574" t="s">
        <v>85</v>
      </c>
      <c r="G574">
        <v>8669</v>
      </c>
      <c r="H574" t="s">
        <v>48</v>
      </c>
      <c r="I574">
        <v>1000008669</v>
      </c>
      <c r="J574">
        <v>29482554</v>
      </c>
      <c r="K574" t="s">
        <v>2127</v>
      </c>
      <c r="L574" t="s">
        <v>752</v>
      </c>
      <c r="M574" t="s">
        <v>88</v>
      </c>
      <c r="N574">
        <v>105.5</v>
      </c>
      <c r="O574">
        <v>14.22</v>
      </c>
      <c r="P574">
        <v>2.2799999999999998</v>
      </c>
      <c r="Q574">
        <v>4.2561999999999998</v>
      </c>
      <c r="R574">
        <v>0.68100000000000005</v>
      </c>
      <c r="S574" t="s">
        <v>3370</v>
      </c>
      <c r="T574">
        <v>6</v>
      </c>
      <c r="U574" t="s">
        <v>89</v>
      </c>
      <c r="W574" t="s">
        <v>754</v>
      </c>
    </row>
    <row r="575" spans="1:23" outlineLevel="2" x14ac:dyDescent="0.25">
      <c r="A575" t="s">
        <v>82</v>
      </c>
      <c r="B575" t="s">
        <v>83</v>
      </c>
      <c r="C575">
        <v>30</v>
      </c>
      <c r="D575" t="s">
        <v>84</v>
      </c>
      <c r="E575">
        <v>184</v>
      </c>
      <c r="F575" t="s">
        <v>85</v>
      </c>
      <c r="G575">
        <v>8669</v>
      </c>
      <c r="H575" t="s">
        <v>48</v>
      </c>
      <c r="I575">
        <v>1000008669</v>
      </c>
      <c r="J575">
        <v>29490526</v>
      </c>
      <c r="K575" t="s">
        <v>2181</v>
      </c>
      <c r="L575" t="s">
        <v>752</v>
      </c>
      <c r="M575" t="s">
        <v>88</v>
      </c>
      <c r="N575">
        <v>44.5</v>
      </c>
      <c r="O575">
        <v>14.22</v>
      </c>
      <c r="P575">
        <v>2.2799999999999998</v>
      </c>
      <c r="Q575">
        <v>4.2561999999999998</v>
      </c>
      <c r="R575">
        <v>0.68100000000000005</v>
      </c>
      <c r="S575" t="s">
        <v>3372</v>
      </c>
      <c r="T575">
        <v>6</v>
      </c>
      <c r="U575" t="s">
        <v>89</v>
      </c>
      <c r="W575" t="s">
        <v>754</v>
      </c>
    </row>
    <row r="576" spans="1:23" outlineLevel="2" x14ac:dyDescent="0.25">
      <c r="A576" t="s">
        <v>82</v>
      </c>
      <c r="B576" t="s">
        <v>83</v>
      </c>
      <c r="C576">
        <v>30</v>
      </c>
      <c r="D576" t="s">
        <v>84</v>
      </c>
      <c r="E576">
        <v>184</v>
      </c>
      <c r="F576" t="s">
        <v>85</v>
      </c>
      <c r="G576">
        <v>8669</v>
      </c>
      <c r="H576" t="s">
        <v>48</v>
      </c>
      <c r="I576">
        <v>1000008669</v>
      </c>
      <c r="J576">
        <v>29493055</v>
      </c>
      <c r="K576" t="s">
        <v>2200</v>
      </c>
      <c r="L576" t="s">
        <v>752</v>
      </c>
      <c r="M576" t="s">
        <v>88</v>
      </c>
      <c r="N576">
        <v>45.5</v>
      </c>
      <c r="O576">
        <v>14.22</v>
      </c>
      <c r="P576">
        <v>2.2799999999999998</v>
      </c>
      <c r="Q576">
        <v>4.2561999999999998</v>
      </c>
      <c r="R576">
        <v>0.68100000000000005</v>
      </c>
      <c r="S576" t="s">
        <v>3374</v>
      </c>
      <c r="T576">
        <v>6</v>
      </c>
      <c r="U576" t="s">
        <v>89</v>
      </c>
      <c r="W576" t="s">
        <v>754</v>
      </c>
    </row>
    <row r="577" spans="1:23" outlineLevel="2" x14ac:dyDescent="0.25">
      <c r="A577" t="s">
        <v>82</v>
      </c>
      <c r="B577" t="s">
        <v>83</v>
      </c>
      <c r="C577">
        <v>30</v>
      </c>
      <c r="D577" t="s">
        <v>84</v>
      </c>
      <c r="E577">
        <v>184</v>
      </c>
      <c r="F577" t="s">
        <v>85</v>
      </c>
      <c r="G577">
        <v>8669</v>
      </c>
      <c r="H577" t="s">
        <v>48</v>
      </c>
      <c r="I577">
        <v>1000008669</v>
      </c>
      <c r="J577">
        <v>29495491</v>
      </c>
      <c r="K577" t="s">
        <v>2222</v>
      </c>
      <c r="L577" t="s">
        <v>752</v>
      </c>
      <c r="M577" t="s">
        <v>88</v>
      </c>
      <c r="N577">
        <v>49.5</v>
      </c>
      <c r="O577">
        <v>14.22</v>
      </c>
      <c r="P577">
        <v>2.2799999999999998</v>
      </c>
      <c r="Q577">
        <v>4.2561999999999998</v>
      </c>
      <c r="R577">
        <v>0.68100000000000005</v>
      </c>
      <c r="S577" t="s">
        <v>3376</v>
      </c>
      <c r="T577">
        <v>6</v>
      </c>
      <c r="U577" t="s">
        <v>89</v>
      </c>
      <c r="W577" t="s">
        <v>754</v>
      </c>
    </row>
    <row r="578" spans="1:23" outlineLevel="2" x14ac:dyDescent="0.25">
      <c r="A578" t="s">
        <v>82</v>
      </c>
      <c r="B578" t="s">
        <v>83</v>
      </c>
      <c r="C578">
        <v>30</v>
      </c>
      <c r="D578" t="s">
        <v>84</v>
      </c>
      <c r="E578">
        <v>184</v>
      </c>
      <c r="F578" t="s">
        <v>85</v>
      </c>
      <c r="G578">
        <v>8669</v>
      </c>
      <c r="H578" t="s">
        <v>48</v>
      </c>
      <c r="I578">
        <v>1000008669</v>
      </c>
      <c r="J578">
        <v>29512071</v>
      </c>
      <c r="K578" t="s">
        <v>2313</v>
      </c>
      <c r="L578" t="s">
        <v>753</v>
      </c>
      <c r="M578" t="s">
        <v>88</v>
      </c>
      <c r="N578">
        <v>86.5</v>
      </c>
      <c r="O578">
        <v>14.22</v>
      </c>
      <c r="P578">
        <v>2.2799999999999998</v>
      </c>
      <c r="Q578">
        <v>4.2561999999999998</v>
      </c>
      <c r="R578">
        <v>0.68100000000000005</v>
      </c>
      <c r="S578" t="s">
        <v>3378</v>
      </c>
      <c r="T578">
        <v>6</v>
      </c>
      <c r="U578" t="s">
        <v>89</v>
      </c>
      <c r="W578" t="s">
        <v>754</v>
      </c>
    </row>
    <row r="579" spans="1:23" outlineLevel="2" x14ac:dyDescent="0.25">
      <c r="A579" s="8" t="s">
        <v>82</v>
      </c>
      <c r="B579" s="8" t="s">
        <v>83</v>
      </c>
      <c r="C579" s="8">
        <v>30</v>
      </c>
      <c r="D579" s="8" t="s">
        <v>84</v>
      </c>
      <c r="E579" s="8">
        <v>184</v>
      </c>
      <c r="F579" s="8" t="s">
        <v>85</v>
      </c>
      <c r="G579" s="8">
        <v>8670</v>
      </c>
      <c r="H579" s="8" t="s">
        <v>49</v>
      </c>
      <c r="I579" s="8">
        <v>1000008670</v>
      </c>
      <c r="J579" s="8">
        <v>29498780</v>
      </c>
      <c r="K579" s="8" t="s">
        <v>2244</v>
      </c>
      <c r="L579" s="8" t="s">
        <v>752</v>
      </c>
      <c r="M579" s="8" t="s">
        <v>88</v>
      </c>
      <c r="N579" s="8">
        <v>22.5</v>
      </c>
      <c r="O579" s="8">
        <v>14.22</v>
      </c>
      <c r="P579" s="8">
        <v>2.2799999999999998</v>
      </c>
      <c r="Q579" s="8">
        <v>4.2561999999999998</v>
      </c>
      <c r="R579" s="8">
        <v>0.68100000000000005</v>
      </c>
      <c r="S579" s="8" t="s">
        <v>3515</v>
      </c>
      <c r="T579" s="8">
        <v>6</v>
      </c>
      <c r="U579" s="8" t="s">
        <v>89</v>
      </c>
      <c r="V579" s="8"/>
      <c r="W579" t="s">
        <v>754</v>
      </c>
    </row>
    <row r="580" spans="1:23" outlineLevel="2" x14ac:dyDescent="0.25">
      <c r="A580" t="s">
        <v>82</v>
      </c>
      <c r="B580" t="s">
        <v>83</v>
      </c>
      <c r="C580">
        <v>30</v>
      </c>
      <c r="D580" t="s">
        <v>84</v>
      </c>
      <c r="E580">
        <v>184</v>
      </c>
      <c r="F580" t="s">
        <v>85</v>
      </c>
      <c r="G580">
        <v>8673</v>
      </c>
      <c r="H580" t="s">
        <v>51</v>
      </c>
      <c r="I580">
        <v>1000008673</v>
      </c>
      <c r="J580">
        <v>29429686</v>
      </c>
      <c r="K580" t="s">
        <v>1668</v>
      </c>
      <c r="L580" t="s">
        <v>752</v>
      </c>
      <c r="M580" t="s">
        <v>88</v>
      </c>
      <c r="N580">
        <v>74.5</v>
      </c>
      <c r="O580">
        <v>14.22</v>
      </c>
      <c r="P580">
        <v>2.2799999999999998</v>
      </c>
      <c r="Q580">
        <v>4.2561999999999998</v>
      </c>
      <c r="R580">
        <v>0.68100000000000005</v>
      </c>
      <c r="S580" t="s">
        <v>1594</v>
      </c>
      <c r="T580">
        <v>6</v>
      </c>
      <c r="U580" t="s">
        <v>89</v>
      </c>
      <c r="W580" t="s">
        <v>754</v>
      </c>
    </row>
    <row r="581" spans="1:23" outlineLevel="2" x14ac:dyDescent="0.25">
      <c r="A581" t="s">
        <v>82</v>
      </c>
      <c r="B581" t="s">
        <v>83</v>
      </c>
      <c r="C581">
        <v>30</v>
      </c>
      <c r="D581" t="s">
        <v>84</v>
      </c>
      <c r="E581">
        <v>184</v>
      </c>
      <c r="F581" t="s">
        <v>85</v>
      </c>
      <c r="G581">
        <v>8673</v>
      </c>
      <c r="H581" t="s">
        <v>51</v>
      </c>
      <c r="I581">
        <v>1000008673</v>
      </c>
      <c r="J581">
        <v>29432426</v>
      </c>
      <c r="K581" t="s">
        <v>1688</v>
      </c>
      <c r="L581" t="s">
        <v>753</v>
      </c>
      <c r="M581" t="s">
        <v>88</v>
      </c>
      <c r="N581">
        <v>102.5</v>
      </c>
      <c r="O581">
        <v>14.22</v>
      </c>
      <c r="P581">
        <v>2.2799999999999998</v>
      </c>
      <c r="Q581">
        <v>4.2561999999999998</v>
      </c>
      <c r="R581">
        <v>0.68100000000000005</v>
      </c>
      <c r="S581" t="s">
        <v>604</v>
      </c>
      <c r="T581">
        <v>6</v>
      </c>
      <c r="U581" t="s">
        <v>89</v>
      </c>
      <c r="W581" t="s">
        <v>754</v>
      </c>
    </row>
    <row r="582" spans="1:23" outlineLevel="2" x14ac:dyDescent="0.25">
      <c r="A582" t="s">
        <v>82</v>
      </c>
      <c r="B582" t="s">
        <v>83</v>
      </c>
      <c r="C582">
        <v>30</v>
      </c>
      <c r="D582" t="s">
        <v>84</v>
      </c>
      <c r="E582">
        <v>184</v>
      </c>
      <c r="F582" t="s">
        <v>85</v>
      </c>
      <c r="G582">
        <v>8673</v>
      </c>
      <c r="H582" t="s">
        <v>51</v>
      </c>
      <c r="I582">
        <v>1000008673</v>
      </c>
      <c r="J582">
        <v>29441005</v>
      </c>
      <c r="K582" t="s">
        <v>1738</v>
      </c>
      <c r="L582" t="s">
        <v>752</v>
      </c>
      <c r="M582" t="s">
        <v>88</v>
      </c>
      <c r="N582">
        <v>44.5</v>
      </c>
      <c r="O582">
        <v>14.22</v>
      </c>
      <c r="P582">
        <v>2.2799999999999998</v>
      </c>
      <c r="Q582">
        <v>4.2561999999999998</v>
      </c>
      <c r="R582">
        <v>0.68100000000000005</v>
      </c>
      <c r="S582" t="s">
        <v>1422</v>
      </c>
      <c r="T582">
        <v>6</v>
      </c>
      <c r="U582" t="s">
        <v>89</v>
      </c>
      <c r="W582" t="s">
        <v>754</v>
      </c>
    </row>
    <row r="583" spans="1:23" outlineLevel="2" x14ac:dyDescent="0.25">
      <c r="A583" t="s">
        <v>82</v>
      </c>
      <c r="B583" t="s">
        <v>83</v>
      </c>
      <c r="C583">
        <v>30</v>
      </c>
      <c r="D583" t="s">
        <v>84</v>
      </c>
      <c r="E583">
        <v>184</v>
      </c>
      <c r="F583" t="s">
        <v>85</v>
      </c>
      <c r="G583">
        <v>8673</v>
      </c>
      <c r="H583" t="s">
        <v>51</v>
      </c>
      <c r="I583">
        <v>1000008673</v>
      </c>
      <c r="J583">
        <v>29441988</v>
      </c>
      <c r="K583" t="s">
        <v>1747</v>
      </c>
      <c r="L583" t="s">
        <v>752</v>
      </c>
      <c r="M583" t="s">
        <v>88</v>
      </c>
      <c r="N583">
        <v>94.5</v>
      </c>
      <c r="O583">
        <v>14.22</v>
      </c>
      <c r="P583">
        <v>2.2799999999999998</v>
      </c>
      <c r="Q583">
        <v>4.2561999999999998</v>
      </c>
      <c r="R583">
        <v>0.68100000000000005</v>
      </c>
      <c r="S583" t="s">
        <v>1424</v>
      </c>
      <c r="T583">
        <v>6</v>
      </c>
      <c r="U583" t="s">
        <v>89</v>
      </c>
      <c r="W583" t="s">
        <v>754</v>
      </c>
    </row>
    <row r="584" spans="1:23" outlineLevel="2" x14ac:dyDescent="0.25">
      <c r="A584" t="s">
        <v>82</v>
      </c>
      <c r="B584" t="s">
        <v>83</v>
      </c>
      <c r="C584">
        <v>30</v>
      </c>
      <c r="D584" t="s">
        <v>84</v>
      </c>
      <c r="E584">
        <v>184</v>
      </c>
      <c r="F584" t="s">
        <v>85</v>
      </c>
      <c r="G584">
        <v>8673</v>
      </c>
      <c r="H584" t="s">
        <v>51</v>
      </c>
      <c r="I584">
        <v>1000008673</v>
      </c>
      <c r="J584">
        <v>29462212</v>
      </c>
      <c r="K584" t="s">
        <v>1872</v>
      </c>
      <c r="L584" t="s">
        <v>752</v>
      </c>
      <c r="M584" t="s">
        <v>88</v>
      </c>
      <c r="N584">
        <v>85.5</v>
      </c>
      <c r="O584">
        <v>14.22</v>
      </c>
      <c r="P584">
        <v>2.2799999999999998</v>
      </c>
      <c r="Q584">
        <v>4.2561999999999998</v>
      </c>
      <c r="R584">
        <v>0.68100000000000005</v>
      </c>
      <c r="S584" t="s">
        <v>1219</v>
      </c>
      <c r="T584">
        <v>6</v>
      </c>
      <c r="U584" t="s">
        <v>89</v>
      </c>
      <c r="W584" t="s">
        <v>754</v>
      </c>
    </row>
    <row r="585" spans="1:23" outlineLevel="2" x14ac:dyDescent="0.25">
      <c r="A585" t="s">
        <v>82</v>
      </c>
      <c r="B585" t="s">
        <v>83</v>
      </c>
      <c r="C585">
        <v>30</v>
      </c>
      <c r="D585" t="s">
        <v>84</v>
      </c>
      <c r="E585">
        <v>184</v>
      </c>
      <c r="F585" t="s">
        <v>85</v>
      </c>
      <c r="G585">
        <v>8673</v>
      </c>
      <c r="H585" t="s">
        <v>51</v>
      </c>
      <c r="I585">
        <v>1000008673</v>
      </c>
      <c r="J585">
        <v>29466401</v>
      </c>
      <c r="K585" t="s">
        <v>1888</v>
      </c>
      <c r="L585" t="s">
        <v>752</v>
      </c>
      <c r="M585" t="s">
        <v>88</v>
      </c>
      <c r="N585">
        <v>86.5</v>
      </c>
      <c r="O585">
        <v>14.22</v>
      </c>
      <c r="P585">
        <v>2.2799999999999998</v>
      </c>
      <c r="Q585">
        <v>4.2561999999999998</v>
      </c>
      <c r="R585">
        <v>0.68100000000000005</v>
      </c>
      <c r="S585" t="s">
        <v>1221</v>
      </c>
      <c r="T585">
        <v>6</v>
      </c>
      <c r="U585" t="s">
        <v>89</v>
      </c>
      <c r="W585" t="s">
        <v>754</v>
      </c>
    </row>
    <row r="586" spans="1:23" outlineLevel="2" x14ac:dyDescent="0.25">
      <c r="A586" t="s">
        <v>82</v>
      </c>
      <c r="B586" t="s">
        <v>83</v>
      </c>
      <c r="C586">
        <v>30</v>
      </c>
      <c r="D586" t="s">
        <v>84</v>
      </c>
      <c r="E586">
        <v>184</v>
      </c>
      <c r="F586" t="s">
        <v>85</v>
      </c>
      <c r="G586">
        <v>8673</v>
      </c>
      <c r="H586" t="s">
        <v>51</v>
      </c>
      <c r="I586">
        <v>1000008673</v>
      </c>
      <c r="J586">
        <v>29469884</v>
      </c>
      <c r="K586" t="s">
        <v>1931</v>
      </c>
      <c r="L586" t="s">
        <v>752</v>
      </c>
      <c r="M586" t="s">
        <v>88</v>
      </c>
      <c r="N586">
        <v>174.5</v>
      </c>
      <c r="O586">
        <v>14.22</v>
      </c>
      <c r="P586">
        <v>2.2799999999999998</v>
      </c>
      <c r="Q586">
        <v>4.2561999999999998</v>
      </c>
      <c r="R586">
        <v>0.68100000000000005</v>
      </c>
      <c r="S586" t="s">
        <v>3380</v>
      </c>
      <c r="T586">
        <v>6</v>
      </c>
      <c r="U586" t="s">
        <v>89</v>
      </c>
      <c r="W586" t="s">
        <v>754</v>
      </c>
    </row>
    <row r="587" spans="1:23" outlineLevel="2" x14ac:dyDescent="0.25">
      <c r="A587" t="s">
        <v>82</v>
      </c>
      <c r="B587" t="s">
        <v>83</v>
      </c>
      <c r="C587">
        <v>30</v>
      </c>
      <c r="D587" t="s">
        <v>84</v>
      </c>
      <c r="E587">
        <v>184</v>
      </c>
      <c r="F587" t="s">
        <v>85</v>
      </c>
      <c r="G587">
        <v>8673</v>
      </c>
      <c r="H587" t="s">
        <v>51</v>
      </c>
      <c r="I587">
        <v>1000008673</v>
      </c>
      <c r="J587">
        <v>29478436</v>
      </c>
      <c r="K587" t="s">
        <v>2074</v>
      </c>
      <c r="L587" t="s">
        <v>752</v>
      </c>
      <c r="M587" t="s">
        <v>88</v>
      </c>
      <c r="N587">
        <v>144.5</v>
      </c>
      <c r="O587">
        <v>14.22</v>
      </c>
      <c r="P587">
        <v>2.2799999999999998</v>
      </c>
      <c r="Q587">
        <v>4.2561999999999998</v>
      </c>
      <c r="R587">
        <v>0.68100000000000005</v>
      </c>
      <c r="S587" t="s">
        <v>3382</v>
      </c>
      <c r="T587">
        <v>6</v>
      </c>
      <c r="U587" t="s">
        <v>89</v>
      </c>
      <c r="W587" t="s">
        <v>754</v>
      </c>
    </row>
    <row r="588" spans="1:23" outlineLevel="2" x14ac:dyDescent="0.25">
      <c r="A588" t="s">
        <v>82</v>
      </c>
      <c r="B588" t="s">
        <v>83</v>
      </c>
      <c r="C588">
        <v>30</v>
      </c>
      <c r="D588" t="s">
        <v>84</v>
      </c>
      <c r="E588">
        <v>184</v>
      </c>
      <c r="F588" t="s">
        <v>85</v>
      </c>
      <c r="G588">
        <v>8673</v>
      </c>
      <c r="H588" t="s">
        <v>51</v>
      </c>
      <c r="I588">
        <v>1000008673</v>
      </c>
      <c r="J588">
        <v>29484973</v>
      </c>
      <c r="K588" t="s">
        <v>2141</v>
      </c>
      <c r="L588" t="s">
        <v>752</v>
      </c>
      <c r="M588" t="s">
        <v>88</v>
      </c>
      <c r="N588">
        <v>308.5</v>
      </c>
      <c r="O588">
        <v>14.22</v>
      </c>
      <c r="P588">
        <v>2.2799999999999998</v>
      </c>
      <c r="Q588">
        <v>4.2561999999999998</v>
      </c>
      <c r="R588">
        <v>0.68100000000000005</v>
      </c>
      <c r="S588" t="s">
        <v>3384</v>
      </c>
      <c r="T588">
        <v>6</v>
      </c>
      <c r="U588" t="s">
        <v>89</v>
      </c>
      <c r="W588" t="s">
        <v>754</v>
      </c>
    </row>
    <row r="589" spans="1:23" outlineLevel="2" x14ac:dyDescent="0.25">
      <c r="A589" t="s">
        <v>82</v>
      </c>
      <c r="B589" t="s">
        <v>83</v>
      </c>
      <c r="C589">
        <v>30</v>
      </c>
      <c r="D589" t="s">
        <v>84</v>
      </c>
      <c r="E589">
        <v>184</v>
      </c>
      <c r="F589" t="s">
        <v>85</v>
      </c>
      <c r="G589">
        <v>8673</v>
      </c>
      <c r="H589" t="s">
        <v>51</v>
      </c>
      <c r="I589">
        <v>1000008673</v>
      </c>
      <c r="J589">
        <v>29485741</v>
      </c>
      <c r="K589" t="s">
        <v>2145</v>
      </c>
      <c r="L589" t="s">
        <v>752</v>
      </c>
      <c r="M589" t="s">
        <v>88</v>
      </c>
      <c r="N589">
        <v>155.5</v>
      </c>
      <c r="O589">
        <v>14.22</v>
      </c>
      <c r="P589">
        <v>2.2799999999999998</v>
      </c>
      <c r="Q589">
        <v>4.2561999999999998</v>
      </c>
      <c r="R589">
        <v>0.68100000000000005</v>
      </c>
      <c r="S589" t="s">
        <v>3386</v>
      </c>
      <c r="T589">
        <v>6</v>
      </c>
      <c r="U589" t="s">
        <v>89</v>
      </c>
      <c r="W589" t="s">
        <v>754</v>
      </c>
    </row>
    <row r="590" spans="1:23" outlineLevel="2" x14ac:dyDescent="0.25">
      <c r="A590" t="s">
        <v>82</v>
      </c>
      <c r="B590" t="s">
        <v>83</v>
      </c>
      <c r="C590">
        <v>30</v>
      </c>
      <c r="D590" t="s">
        <v>84</v>
      </c>
      <c r="E590">
        <v>184</v>
      </c>
      <c r="F590" t="s">
        <v>85</v>
      </c>
      <c r="G590">
        <v>8673</v>
      </c>
      <c r="H590" t="s">
        <v>51</v>
      </c>
      <c r="I590">
        <v>1000008673</v>
      </c>
      <c r="J590">
        <v>29486055</v>
      </c>
      <c r="K590" t="s">
        <v>2148</v>
      </c>
      <c r="L590" t="s">
        <v>752</v>
      </c>
      <c r="M590" t="s">
        <v>88</v>
      </c>
      <c r="N590">
        <v>203.5</v>
      </c>
      <c r="O590">
        <v>14.22</v>
      </c>
      <c r="P590">
        <v>2.2799999999999998</v>
      </c>
      <c r="Q590">
        <v>4.2561999999999998</v>
      </c>
      <c r="R590">
        <v>0.68100000000000005</v>
      </c>
      <c r="S590" t="s">
        <v>3388</v>
      </c>
      <c r="T590">
        <v>6</v>
      </c>
      <c r="U590" t="s">
        <v>89</v>
      </c>
      <c r="W590" t="s">
        <v>754</v>
      </c>
    </row>
    <row r="591" spans="1:23" outlineLevel="2" x14ac:dyDescent="0.25">
      <c r="A591" t="s">
        <v>82</v>
      </c>
      <c r="B591" t="s">
        <v>83</v>
      </c>
      <c r="C591">
        <v>30</v>
      </c>
      <c r="D591" t="s">
        <v>84</v>
      </c>
      <c r="E591">
        <v>184</v>
      </c>
      <c r="F591" t="s">
        <v>85</v>
      </c>
      <c r="G591">
        <v>8673</v>
      </c>
      <c r="H591" t="s">
        <v>51</v>
      </c>
      <c r="I591">
        <v>1000008673</v>
      </c>
      <c r="J591">
        <v>29492701</v>
      </c>
      <c r="K591" t="s">
        <v>2197</v>
      </c>
      <c r="L591" t="s">
        <v>752</v>
      </c>
      <c r="M591" t="s">
        <v>88</v>
      </c>
      <c r="N591">
        <v>242.5</v>
      </c>
      <c r="O591">
        <v>14.22</v>
      </c>
      <c r="P591">
        <v>2.2799999999999998</v>
      </c>
      <c r="Q591">
        <v>4.2561999999999998</v>
      </c>
      <c r="R591">
        <v>0.68100000000000005</v>
      </c>
      <c r="S591" t="s">
        <v>3390</v>
      </c>
      <c r="T591">
        <v>6</v>
      </c>
      <c r="U591" t="s">
        <v>89</v>
      </c>
      <c r="W591" t="s">
        <v>754</v>
      </c>
    </row>
    <row r="592" spans="1:23" outlineLevel="2" x14ac:dyDescent="0.25">
      <c r="A592" t="s">
        <v>82</v>
      </c>
      <c r="B592" t="s">
        <v>83</v>
      </c>
      <c r="C592">
        <v>30</v>
      </c>
      <c r="D592" t="s">
        <v>84</v>
      </c>
      <c r="E592">
        <v>184</v>
      </c>
      <c r="F592" t="s">
        <v>85</v>
      </c>
      <c r="G592">
        <v>8673</v>
      </c>
      <c r="H592" t="s">
        <v>51</v>
      </c>
      <c r="I592">
        <v>1000008673</v>
      </c>
      <c r="J592">
        <v>29500052</v>
      </c>
      <c r="K592" t="s">
        <v>2254</v>
      </c>
      <c r="L592" t="s">
        <v>752</v>
      </c>
      <c r="M592" t="s">
        <v>88</v>
      </c>
      <c r="N592">
        <v>68.5</v>
      </c>
      <c r="O592">
        <v>14.22</v>
      </c>
      <c r="P592">
        <v>2.2799999999999998</v>
      </c>
      <c r="Q592">
        <v>4.2561999999999998</v>
      </c>
      <c r="R592">
        <v>0.68100000000000005</v>
      </c>
      <c r="S592" t="s">
        <v>3392</v>
      </c>
      <c r="T592">
        <v>6</v>
      </c>
      <c r="U592" t="s">
        <v>89</v>
      </c>
      <c r="W592" t="s">
        <v>754</v>
      </c>
    </row>
    <row r="593" spans="1:23" outlineLevel="2" x14ac:dyDescent="0.25">
      <c r="A593" t="s">
        <v>82</v>
      </c>
      <c r="B593" t="s">
        <v>83</v>
      </c>
      <c r="C593">
        <v>30</v>
      </c>
      <c r="D593" t="s">
        <v>84</v>
      </c>
      <c r="E593">
        <v>184</v>
      </c>
      <c r="F593" t="s">
        <v>85</v>
      </c>
      <c r="G593">
        <v>8673</v>
      </c>
      <c r="H593" t="s">
        <v>51</v>
      </c>
      <c r="I593">
        <v>1000008673</v>
      </c>
      <c r="J593">
        <v>29501036</v>
      </c>
      <c r="K593" t="s">
        <v>2260</v>
      </c>
      <c r="L593" t="s">
        <v>753</v>
      </c>
      <c r="M593" t="s">
        <v>88</v>
      </c>
      <c r="N593">
        <v>67.5</v>
      </c>
      <c r="O593">
        <v>14.22</v>
      </c>
      <c r="P593">
        <v>2.2799999999999998</v>
      </c>
      <c r="Q593">
        <v>4.2561999999999998</v>
      </c>
      <c r="R593">
        <v>0.68100000000000005</v>
      </c>
      <c r="S593" t="s">
        <v>3394</v>
      </c>
      <c r="T593">
        <v>6</v>
      </c>
      <c r="U593" t="s">
        <v>89</v>
      </c>
      <c r="W593" t="s">
        <v>754</v>
      </c>
    </row>
    <row r="594" spans="1:23" outlineLevel="2" x14ac:dyDescent="0.25">
      <c r="A594" t="s">
        <v>82</v>
      </c>
      <c r="B594" t="s">
        <v>83</v>
      </c>
      <c r="C594">
        <v>30</v>
      </c>
      <c r="D594" t="s">
        <v>84</v>
      </c>
      <c r="E594">
        <v>184</v>
      </c>
      <c r="F594" t="s">
        <v>85</v>
      </c>
      <c r="G594">
        <v>8673</v>
      </c>
      <c r="H594" t="s">
        <v>51</v>
      </c>
      <c r="I594">
        <v>1000008673</v>
      </c>
      <c r="J594">
        <v>29501258</v>
      </c>
      <c r="K594" t="s">
        <v>2263</v>
      </c>
      <c r="L594" t="s">
        <v>752</v>
      </c>
      <c r="M594" t="s">
        <v>88</v>
      </c>
      <c r="N594">
        <v>90.5</v>
      </c>
      <c r="O594">
        <v>14.22</v>
      </c>
      <c r="P594">
        <v>2.2799999999999998</v>
      </c>
      <c r="Q594">
        <v>4.2561999999999998</v>
      </c>
      <c r="R594">
        <v>0.68100000000000005</v>
      </c>
      <c r="S594" t="s">
        <v>3396</v>
      </c>
      <c r="T594">
        <v>6</v>
      </c>
      <c r="U594" t="s">
        <v>89</v>
      </c>
      <c r="W594" t="s">
        <v>754</v>
      </c>
    </row>
    <row r="595" spans="1:23" outlineLevel="2" x14ac:dyDescent="0.25">
      <c r="A595" t="s">
        <v>82</v>
      </c>
      <c r="B595" t="s">
        <v>83</v>
      </c>
      <c r="C595">
        <v>30</v>
      </c>
      <c r="D595" t="s">
        <v>84</v>
      </c>
      <c r="E595">
        <v>184</v>
      </c>
      <c r="F595" t="s">
        <v>85</v>
      </c>
      <c r="G595">
        <v>8673</v>
      </c>
      <c r="H595" t="s">
        <v>51</v>
      </c>
      <c r="I595">
        <v>1000008673</v>
      </c>
      <c r="J595">
        <v>29502215</v>
      </c>
      <c r="K595" t="s">
        <v>2270</v>
      </c>
      <c r="L595" t="s">
        <v>752</v>
      </c>
      <c r="M595" t="s">
        <v>88</v>
      </c>
      <c r="N595">
        <v>85.5</v>
      </c>
      <c r="O595">
        <v>14.22</v>
      </c>
      <c r="P595">
        <v>2.2799999999999998</v>
      </c>
      <c r="Q595">
        <v>4.2561999999999998</v>
      </c>
      <c r="R595">
        <v>0.68100000000000005</v>
      </c>
      <c r="S595" t="s">
        <v>3398</v>
      </c>
      <c r="T595">
        <v>6</v>
      </c>
      <c r="U595" t="s">
        <v>89</v>
      </c>
      <c r="W595" t="s">
        <v>754</v>
      </c>
    </row>
    <row r="596" spans="1:23" outlineLevel="2" x14ac:dyDescent="0.25">
      <c r="A596" t="s">
        <v>82</v>
      </c>
      <c r="B596" t="s">
        <v>83</v>
      </c>
      <c r="C596">
        <v>30</v>
      </c>
      <c r="D596" t="s">
        <v>84</v>
      </c>
      <c r="E596">
        <v>184</v>
      </c>
      <c r="F596" t="s">
        <v>85</v>
      </c>
      <c r="G596">
        <v>8676</v>
      </c>
      <c r="H596" t="s">
        <v>54</v>
      </c>
      <c r="I596">
        <v>1000008676</v>
      </c>
      <c r="J596">
        <v>29434590</v>
      </c>
      <c r="K596" t="s">
        <v>1699</v>
      </c>
      <c r="L596" t="s">
        <v>752</v>
      </c>
      <c r="M596" t="s">
        <v>88</v>
      </c>
      <c r="N596">
        <v>147.5</v>
      </c>
      <c r="O596">
        <v>14.22</v>
      </c>
      <c r="P596">
        <v>2.2799999999999998</v>
      </c>
      <c r="Q596">
        <v>4.2561999999999998</v>
      </c>
      <c r="R596">
        <v>0.68100000000000005</v>
      </c>
      <c r="S596" t="s">
        <v>810</v>
      </c>
      <c r="T596">
        <v>6</v>
      </c>
      <c r="U596" t="s">
        <v>89</v>
      </c>
      <c r="W596" t="s">
        <v>754</v>
      </c>
    </row>
    <row r="597" spans="1:23" outlineLevel="2" x14ac:dyDescent="0.25">
      <c r="A597" t="s">
        <v>82</v>
      </c>
      <c r="B597" t="s">
        <v>83</v>
      </c>
      <c r="C597">
        <v>30</v>
      </c>
      <c r="D597" t="s">
        <v>84</v>
      </c>
      <c r="E597">
        <v>184</v>
      </c>
      <c r="F597" t="s">
        <v>85</v>
      </c>
      <c r="G597">
        <v>8676</v>
      </c>
      <c r="H597" t="s">
        <v>54</v>
      </c>
      <c r="I597">
        <v>1000008676</v>
      </c>
      <c r="J597">
        <v>29435860</v>
      </c>
      <c r="K597" t="s">
        <v>1709</v>
      </c>
      <c r="L597" t="s">
        <v>752</v>
      </c>
      <c r="M597" t="s">
        <v>88</v>
      </c>
      <c r="N597">
        <v>106.5</v>
      </c>
      <c r="O597">
        <v>14.22</v>
      </c>
      <c r="P597">
        <v>2.2799999999999998</v>
      </c>
      <c r="Q597">
        <v>4.2561999999999998</v>
      </c>
      <c r="R597">
        <v>0.68100000000000005</v>
      </c>
      <c r="S597" t="s">
        <v>660</v>
      </c>
      <c r="T597">
        <v>6</v>
      </c>
      <c r="U597" t="s">
        <v>89</v>
      </c>
      <c r="W597" t="s">
        <v>754</v>
      </c>
    </row>
    <row r="598" spans="1:23" outlineLevel="2" x14ac:dyDescent="0.25">
      <c r="A598" t="s">
        <v>82</v>
      </c>
      <c r="B598" t="s">
        <v>83</v>
      </c>
      <c r="C598">
        <v>30</v>
      </c>
      <c r="D598" t="s">
        <v>84</v>
      </c>
      <c r="E598">
        <v>184</v>
      </c>
      <c r="F598" t="s">
        <v>85</v>
      </c>
      <c r="G598">
        <v>8676</v>
      </c>
      <c r="H598" t="s">
        <v>54</v>
      </c>
      <c r="I598">
        <v>1000008676</v>
      </c>
      <c r="J598">
        <v>29448858</v>
      </c>
      <c r="K598" t="s">
        <v>1794</v>
      </c>
      <c r="L598" t="s">
        <v>752</v>
      </c>
      <c r="M598" t="s">
        <v>88</v>
      </c>
      <c r="N598">
        <v>98.5</v>
      </c>
      <c r="O598">
        <v>14.22</v>
      </c>
      <c r="P598">
        <v>2.2799999999999998</v>
      </c>
      <c r="Q598">
        <v>4.2561999999999998</v>
      </c>
      <c r="R598">
        <v>0.68100000000000005</v>
      </c>
      <c r="S598" t="s">
        <v>1426</v>
      </c>
      <c r="T598">
        <v>6</v>
      </c>
      <c r="U598" t="s">
        <v>89</v>
      </c>
    </row>
    <row r="599" spans="1:23" outlineLevel="2" x14ac:dyDescent="0.25">
      <c r="A599" t="s">
        <v>82</v>
      </c>
      <c r="B599" t="s">
        <v>83</v>
      </c>
      <c r="C599">
        <v>30</v>
      </c>
      <c r="D599" t="s">
        <v>84</v>
      </c>
      <c r="E599">
        <v>184</v>
      </c>
      <c r="F599" t="s">
        <v>85</v>
      </c>
      <c r="G599">
        <v>8676</v>
      </c>
      <c r="H599" t="s">
        <v>54</v>
      </c>
      <c r="I599">
        <v>1000008676</v>
      </c>
      <c r="J599">
        <v>29459069</v>
      </c>
      <c r="K599" t="s">
        <v>1847</v>
      </c>
      <c r="L599" t="s">
        <v>752</v>
      </c>
      <c r="M599" t="s">
        <v>88</v>
      </c>
      <c r="N599">
        <v>367.5</v>
      </c>
      <c r="O599">
        <v>14.22</v>
      </c>
      <c r="P599">
        <v>2.2799999999999998</v>
      </c>
      <c r="Q599">
        <v>4.2561999999999998</v>
      </c>
      <c r="R599">
        <v>0.68100000000000005</v>
      </c>
      <c r="S599" t="s">
        <v>504</v>
      </c>
      <c r="T599">
        <v>6</v>
      </c>
      <c r="U599" t="s">
        <v>89</v>
      </c>
      <c r="W599" t="s">
        <v>754</v>
      </c>
    </row>
    <row r="600" spans="1:23" outlineLevel="2" x14ac:dyDescent="0.25">
      <c r="A600" t="s">
        <v>82</v>
      </c>
      <c r="B600" t="s">
        <v>83</v>
      </c>
      <c r="C600">
        <v>30</v>
      </c>
      <c r="D600" t="s">
        <v>84</v>
      </c>
      <c r="E600">
        <v>184</v>
      </c>
      <c r="F600" t="s">
        <v>85</v>
      </c>
      <c r="G600">
        <v>8676</v>
      </c>
      <c r="H600" t="s">
        <v>54</v>
      </c>
      <c r="I600">
        <v>1000008676</v>
      </c>
      <c r="J600">
        <v>29467780</v>
      </c>
      <c r="K600" t="s">
        <v>1897</v>
      </c>
      <c r="L600" t="s">
        <v>752</v>
      </c>
      <c r="M600" t="s">
        <v>88</v>
      </c>
      <c r="N600">
        <v>106.5</v>
      </c>
      <c r="O600">
        <v>14.22</v>
      </c>
      <c r="P600">
        <v>2.2799999999999998</v>
      </c>
      <c r="Q600">
        <v>4.2561999999999998</v>
      </c>
      <c r="R600">
        <v>0.68100000000000005</v>
      </c>
      <c r="S600" t="s">
        <v>1224</v>
      </c>
      <c r="T600">
        <v>6</v>
      </c>
      <c r="U600" t="s">
        <v>89</v>
      </c>
      <c r="W600" t="s">
        <v>754</v>
      </c>
    </row>
    <row r="601" spans="1:23" outlineLevel="2" x14ac:dyDescent="0.25">
      <c r="A601" t="s">
        <v>82</v>
      </c>
      <c r="B601" t="s">
        <v>83</v>
      </c>
      <c r="C601">
        <v>30</v>
      </c>
      <c r="D601" t="s">
        <v>84</v>
      </c>
      <c r="E601">
        <v>184</v>
      </c>
      <c r="F601" t="s">
        <v>85</v>
      </c>
      <c r="G601">
        <v>8676</v>
      </c>
      <c r="H601" t="s">
        <v>54</v>
      </c>
      <c r="I601">
        <v>1000008676</v>
      </c>
      <c r="J601">
        <v>29467943</v>
      </c>
      <c r="K601" t="s">
        <v>1899</v>
      </c>
      <c r="L601" t="s">
        <v>752</v>
      </c>
      <c r="M601" t="s">
        <v>88</v>
      </c>
      <c r="N601">
        <v>187.5</v>
      </c>
      <c r="O601">
        <v>14.22</v>
      </c>
      <c r="P601">
        <v>2.2799999999999998</v>
      </c>
      <c r="Q601">
        <v>4.2561999999999998</v>
      </c>
      <c r="R601">
        <v>0.68100000000000005</v>
      </c>
      <c r="S601" t="s">
        <v>1226</v>
      </c>
      <c r="T601">
        <v>6</v>
      </c>
      <c r="U601" t="s">
        <v>89</v>
      </c>
      <c r="W601" t="s">
        <v>754</v>
      </c>
    </row>
    <row r="602" spans="1:23" outlineLevel="2" x14ac:dyDescent="0.25">
      <c r="A602" t="s">
        <v>82</v>
      </c>
      <c r="B602" t="s">
        <v>83</v>
      </c>
      <c r="C602">
        <v>30</v>
      </c>
      <c r="D602" t="s">
        <v>84</v>
      </c>
      <c r="E602">
        <v>184</v>
      </c>
      <c r="F602" t="s">
        <v>85</v>
      </c>
      <c r="G602">
        <v>8676</v>
      </c>
      <c r="H602" t="s">
        <v>54</v>
      </c>
      <c r="I602">
        <v>1000008676</v>
      </c>
      <c r="J602">
        <v>29474822</v>
      </c>
      <c r="K602" t="s">
        <v>2024</v>
      </c>
      <c r="L602" t="s">
        <v>752</v>
      </c>
      <c r="M602" t="s">
        <v>88</v>
      </c>
      <c r="N602">
        <v>230.5</v>
      </c>
      <c r="O602">
        <v>14.22</v>
      </c>
      <c r="P602">
        <v>2.2799999999999998</v>
      </c>
      <c r="Q602">
        <v>4.2561999999999998</v>
      </c>
      <c r="R602">
        <v>0.68100000000000005</v>
      </c>
      <c r="S602" t="s">
        <v>3400</v>
      </c>
      <c r="T602">
        <v>6</v>
      </c>
      <c r="U602" t="s">
        <v>89</v>
      </c>
      <c r="W602" t="s">
        <v>754</v>
      </c>
    </row>
    <row r="603" spans="1:23" outlineLevel="2" x14ac:dyDescent="0.25">
      <c r="A603" t="s">
        <v>82</v>
      </c>
      <c r="B603" t="s">
        <v>83</v>
      </c>
      <c r="C603">
        <v>30</v>
      </c>
      <c r="D603" t="s">
        <v>84</v>
      </c>
      <c r="E603">
        <v>184</v>
      </c>
      <c r="F603" t="s">
        <v>85</v>
      </c>
      <c r="G603">
        <v>8676</v>
      </c>
      <c r="H603" t="s">
        <v>54</v>
      </c>
      <c r="I603">
        <v>1000008676</v>
      </c>
      <c r="J603">
        <v>29479862</v>
      </c>
      <c r="K603" t="s">
        <v>2088</v>
      </c>
      <c r="L603" t="s">
        <v>752</v>
      </c>
      <c r="M603" t="s">
        <v>88</v>
      </c>
      <c r="N603">
        <v>167.5</v>
      </c>
      <c r="O603">
        <v>14.22</v>
      </c>
      <c r="P603">
        <v>2.2799999999999998</v>
      </c>
      <c r="Q603">
        <v>4.2561999999999998</v>
      </c>
      <c r="R603">
        <v>0.68100000000000005</v>
      </c>
      <c r="S603" t="s">
        <v>3402</v>
      </c>
      <c r="T603">
        <v>6</v>
      </c>
      <c r="U603" t="s">
        <v>89</v>
      </c>
      <c r="W603" t="s">
        <v>754</v>
      </c>
    </row>
    <row r="604" spans="1:23" outlineLevel="2" x14ac:dyDescent="0.25">
      <c r="A604" t="s">
        <v>82</v>
      </c>
      <c r="B604" t="s">
        <v>83</v>
      </c>
      <c r="C604">
        <v>30</v>
      </c>
      <c r="D604" t="s">
        <v>84</v>
      </c>
      <c r="E604">
        <v>184</v>
      </c>
      <c r="F604" t="s">
        <v>85</v>
      </c>
      <c r="G604">
        <v>8676</v>
      </c>
      <c r="H604" t="s">
        <v>54</v>
      </c>
      <c r="I604">
        <v>1000008676</v>
      </c>
      <c r="J604">
        <v>29487271</v>
      </c>
      <c r="K604" t="s">
        <v>2155</v>
      </c>
      <c r="L604" t="s">
        <v>752</v>
      </c>
      <c r="M604" t="s">
        <v>88</v>
      </c>
      <c r="N604">
        <v>74.5</v>
      </c>
      <c r="O604">
        <v>14.22</v>
      </c>
      <c r="P604">
        <v>2.2799999999999998</v>
      </c>
      <c r="Q604">
        <v>4.2561999999999998</v>
      </c>
      <c r="R604">
        <v>0.68100000000000005</v>
      </c>
      <c r="S604" t="s">
        <v>3404</v>
      </c>
      <c r="T604">
        <v>6</v>
      </c>
      <c r="U604" t="s">
        <v>89</v>
      </c>
      <c r="W604" t="s">
        <v>754</v>
      </c>
    </row>
    <row r="605" spans="1:23" outlineLevel="2" x14ac:dyDescent="0.25">
      <c r="A605" t="s">
        <v>82</v>
      </c>
      <c r="B605" t="s">
        <v>83</v>
      </c>
      <c r="C605">
        <v>30</v>
      </c>
      <c r="D605" t="s">
        <v>84</v>
      </c>
      <c r="E605">
        <v>184</v>
      </c>
      <c r="F605" t="s">
        <v>85</v>
      </c>
      <c r="G605">
        <v>8676</v>
      </c>
      <c r="H605" t="s">
        <v>54</v>
      </c>
      <c r="I605">
        <v>1000008676</v>
      </c>
      <c r="J605">
        <v>29488518</v>
      </c>
      <c r="K605" t="s">
        <v>2164</v>
      </c>
      <c r="L605" t="s">
        <v>752</v>
      </c>
      <c r="M605" t="s">
        <v>88</v>
      </c>
      <c r="N605">
        <v>90.5</v>
      </c>
      <c r="O605">
        <v>14.22</v>
      </c>
      <c r="P605">
        <v>2.2799999999999998</v>
      </c>
      <c r="Q605">
        <v>4.2561999999999998</v>
      </c>
      <c r="R605">
        <v>0.68100000000000005</v>
      </c>
      <c r="S605" t="s">
        <v>606</v>
      </c>
      <c r="T605">
        <v>6</v>
      </c>
      <c r="U605" t="s">
        <v>89</v>
      </c>
      <c r="W605" t="s">
        <v>754</v>
      </c>
    </row>
    <row r="606" spans="1:23" outlineLevel="2" x14ac:dyDescent="0.25">
      <c r="A606" t="s">
        <v>82</v>
      </c>
      <c r="B606" t="s">
        <v>83</v>
      </c>
      <c r="C606">
        <v>30</v>
      </c>
      <c r="D606" t="s">
        <v>84</v>
      </c>
      <c r="E606">
        <v>184</v>
      </c>
      <c r="F606" t="s">
        <v>85</v>
      </c>
      <c r="G606">
        <v>8676</v>
      </c>
      <c r="H606" t="s">
        <v>54</v>
      </c>
      <c r="I606">
        <v>1000008676</v>
      </c>
      <c r="J606">
        <v>29492388</v>
      </c>
      <c r="K606" t="s">
        <v>2196</v>
      </c>
      <c r="L606" t="s">
        <v>752</v>
      </c>
      <c r="M606" t="s">
        <v>88</v>
      </c>
      <c r="N606">
        <v>372.5</v>
      </c>
      <c r="O606">
        <v>14.22</v>
      </c>
      <c r="P606">
        <v>2.2799999999999998</v>
      </c>
      <c r="Q606">
        <v>4.2561999999999998</v>
      </c>
      <c r="R606">
        <v>0.68100000000000005</v>
      </c>
      <c r="S606" t="s">
        <v>3407</v>
      </c>
      <c r="T606">
        <v>6</v>
      </c>
      <c r="U606" t="s">
        <v>89</v>
      </c>
      <c r="W606" t="s">
        <v>754</v>
      </c>
    </row>
    <row r="607" spans="1:23" outlineLevel="2" x14ac:dyDescent="0.25">
      <c r="A607" t="s">
        <v>82</v>
      </c>
      <c r="B607" t="s">
        <v>83</v>
      </c>
      <c r="C607">
        <v>30</v>
      </c>
      <c r="D607" t="s">
        <v>84</v>
      </c>
      <c r="E607">
        <v>184</v>
      </c>
      <c r="F607" t="s">
        <v>85</v>
      </c>
      <c r="G607">
        <v>8676</v>
      </c>
      <c r="H607" t="s">
        <v>54</v>
      </c>
      <c r="I607">
        <v>1000008676</v>
      </c>
      <c r="J607">
        <v>29504714</v>
      </c>
      <c r="K607" t="s">
        <v>2284</v>
      </c>
      <c r="L607" t="s">
        <v>752</v>
      </c>
      <c r="M607" t="s">
        <v>88</v>
      </c>
      <c r="N607">
        <v>50.5</v>
      </c>
      <c r="O607">
        <v>14.22</v>
      </c>
      <c r="P607">
        <v>2.2799999999999998</v>
      </c>
      <c r="Q607">
        <v>4.2561999999999998</v>
      </c>
      <c r="R607">
        <v>0.68100000000000005</v>
      </c>
      <c r="S607" t="s">
        <v>3409</v>
      </c>
      <c r="T607">
        <v>6</v>
      </c>
      <c r="U607" t="s">
        <v>89</v>
      </c>
      <c r="W607" t="s">
        <v>754</v>
      </c>
    </row>
    <row r="608" spans="1:23" outlineLevel="2" x14ac:dyDescent="0.25">
      <c r="A608" t="s">
        <v>82</v>
      </c>
      <c r="B608" t="s">
        <v>83</v>
      </c>
      <c r="C608">
        <v>30</v>
      </c>
      <c r="D608" t="s">
        <v>84</v>
      </c>
      <c r="E608">
        <v>184</v>
      </c>
      <c r="F608" t="s">
        <v>85</v>
      </c>
      <c r="G608">
        <v>8676</v>
      </c>
      <c r="H608" t="s">
        <v>54</v>
      </c>
      <c r="I608">
        <v>1000008676</v>
      </c>
      <c r="J608">
        <v>29513969</v>
      </c>
      <c r="K608" t="s">
        <v>2319</v>
      </c>
      <c r="L608" t="s">
        <v>752</v>
      </c>
      <c r="M608" t="s">
        <v>88</v>
      </c>
      <c r="N608">
        <v>66.5</v>
      </c>
      <c r="O608">
        <v>14.22</v>
      </c>
      <c r="P608">
        <v>2.2799999999999998</v>
      </c>
      <c r="Q608">
        <v>4.2561999999999998</v>
      </c>
      <c r="R608">
        <v>0.68100000000000005</v>
      </c>
      <c r="S608" t="s">
        <v>3411</v>
      </c>
      <c r="T608">
        <v>6</v>
      </c>
      <c r="U608" t="s">
        <v>89</v>
      </c>
      <c r="W608" t="s">
        <v>754</v>
      </c>
    </row>
    <row r="609" spans="1:23" outlineLevel="2" x14ac:dyDescent="0.25">
      <c r="A609" t="s">
        <v>82</v>
      </c>
      <c r="B609" t="s">
        <v>83</v>
      </c>
      <c r="C609">
        <v>30</v>
      </c>
      <c r="D609" t="s">
        <v>84</v>
      </c>
      <c r="E609">
        <v>184</v>
      </c>
      <c r="F609" t="s">
        <v>85</v>
      </c>
      <c r="G609">
        <v>9566</v>
      </c>
      <c r="H609" t="s">
        <v>55</v>
      </c>
      <c r="I609">
        <v>1000009566</v>
      </c>
      <c r="J609">
        <v>29429212</v>
      </c>
      <c r="K609" t="s">
        <v>1665</v>
      </c>
      <c r="L609" t="s">
        <v>752</v>
      </c>
      <c r="M609" t="s">
        <v>88</v>
      </c>
      <c r="N609">
        <v>163.5</v>
      </c>
      <c r="O609">
        <v>14.22</v>
      </c>
      <c r="P609">
        <v>2.2799999999999998</v>
      </c>
      <c r="Q609">
        <v>4.2561999999999998</v>
      </c>
      <c r="R609">
        <v>0.68100000000000005</v>
      </c>
      <c r="S609" t="s">
        <v>1597</v>
      </c>
      <c r="T609">
        <v>6</v>
      </c>
      <c r="U609" t="s">
        <v>89</v>
      </c>
      <c r="W609" t="s">
        <v>754</v>
      </c>
    </row>
    <row r="610" spans="1:23" outlineLevel="2" x14ac:dyDescent="0.25">
      <c r="A610" s="8" t="s">
        <v>82</v>
      </c>
      <c r="B610" s="8" t="s">
        <v>83</v>
      </c>
      <c r="C610" s="8">
        <v>30</v>
      </c>
      <c r="D610" s="8" t="s">
        <v>84</v>
      </c>
      <c r="E610" s="8">
        <v>184</v>
      </c>
      <c r="F610" s="8" t="s">
        <v>85</v>
      </c>
      <c r="G610" s="8">
        <v>9566</v>
      </c>
      <c r="H610" s="8" t="s">
        <v>55</v>
      </c>
      <c r="I610" s="8">
        <v>1000009566</v>
      </c>
      <c r="J610" s="8">
        <v>29429311</v>
      </c>
      <c r="K610" s="8" t="s">
        <v>1666</v>
      </c>
      <c r="L610" s="8" t="s">
        <v>752</v>
      </c>
      <c r="M610" s="8" t="s">
        <v>88</v>
      </c>
      <c r="N610" s="8">
        <v>45.5</v>
      </c>
      <c r="O610" s="8">
        <v>14.22</v>
      </c>
      <c r="P610" s="8">
        <v>2.2799999999999998</v>
      </c>
      <c r="Q610" s="8">
        <v>4.2561999999999998</v>
      </c>
      <c r="R610" s="8">
        <v>0.68100000000000005</v>
      </c>
      <c r="S610" s="8" t="s">
        <v>516</v>
      </c>
      <c r="T610" s="8">
        <v>6</v>
      </c>
      <c r="U610" s="8" t="s">
        <v>89</v>
      </c>
      <c r="V610" s="8"/>
      <c r="W610" t="s">
        <v>754</v>
      </c>
    </row>
    <row r="611" spans="1:23" outlineLevel="2" x14ac:dyDescent="0.25">
      <c r="A611" t="s">
        <v>82</v>
      </c>
      <c r="B611" t="s">
        <v>83</v>
      </c>
      <c r="C611">
        <v>30</v>
      </c>
      <c r="D611" t="s">
        <v>84</v>
      </c>
      <c r="E611">
        <v>184</v>
      </c>
      <c r="F611" t="s">
        <v>85</v>
      </c>
      <c r="G611">
        <v>9566</v>
      </c>
      <c r="H611" t="s">
        <v>55</v>
      </c>
      <c r="I611">
        <v>1000009566</v>
      </c>
      <c r="J611">
        <v>29430845</v>
      </c>
      <c r="K611" t="s">
        <v>1676</v>
      </c>
      <c r="L611" t="s">
        <v>753</v>
      </c>
      <c r="M611" t="s">
        <v>88</v>
      </c>
      <c r="N611">
        <v>79.5</v>
      </c>
      <c r="O611">
        <v>14.22</v>
      </c>
      <c r="P611">
        <v>2.2799999999999998</v>
      </c>
      <c r="Q611">
        <v>4.2561999999999998</v>
      </c>
      <c r="R611">
        <v>0.68100000000000005</v>
      </c>
      <c r="S611" t="s">
        <v>1599</v>
      </c>
      <c r="T611">
        <v>6</v>
      </c>
      <c r="U611" t="s">
        <v>89</v>
      </c>
      <c r="W611" t="s">
        <v>754</v>
      </c>
    </row>
    <row r="612" spans="1:23" outlineLevel="2" x14ac:dyDescent="0.25">
      <c r="A612" t="s">
        <v>82</v>
      </c>
      <c r="B612" t="s">
        <v>83</v>
      </c>
      <c r="C612">
        <v>30</v>
      </c>
      <c r="D612" t="s">
        <v>84</v>
      </c>
      <c r="E612">
        <v>184</v>
      </c>
      <c r="F612" t="s">
        <v>85</v>
      </c>
      <c r="G612">
        <v>9566</v>
      </c>
      <c r="H612" t="s">
        <v>55</v>
      </c>
      <c r="I612">
        <v>1000009566</v>
      </c>
      <c r="J612">
        <v>29432543</v>
      </c>
      <c r="K612" t="s">
        <v>1690</v>
      </c>
      <c r="L612" t="s">
        <v>752</v>
      </c>
      <c r="M612" t="s">
        <v>88</v>
      </c>
      <c r="N612">
        <v>99.5</v>
      </c>
      <c r="O612">
        <v>14.22</v>
      </c>
      <c r="P612">
        <v>2.2799999999999998</v>
      </c>
      <c r="Q612">
        <v>4.2561999999999998</v>
      </c>
      <c r="R612">
        <v>0.68100000000000005</v>
      </c>
      <c r="S612" t="s">
        <v>1601</v>
      </c>
      <c r="T612">
        <v>6</v>
      </c>
      <c r="U612" t="s">
        <v>89</v>
      </c>
      <c r="W612" t="s">
        <v>754</v>
      </c>
    </row>
    <row r="613" spans="1:23" outlineLevel="2" x14ac:dyDescent="0.25">
      <c r="A613" t="s">
        <v>82</v>
      </c>
      <c r="B613" t="s">
        <v>83</v>
      </c>
      <c r="C613">
        <v>30</v>
      </c>
      <c r="D613" t="s">
        <v>84</v>
      </c>
      <c r="E613">
        <v>184</v>
      </c>
      <c r="F613" t="s">
        <v>85</v>
      </c>
      <c r="G613">
        <v>9566</v>
      </c>
      <c r="H613" t="s">
        <v>55</v>
      </c>
      <c r="I613">
        <v>1000009566</v>
      </c>
      <c r="J613">
        <v>29433219</v>
      </c>
      <c r="K613" t="s">
        <v>1693</v>
      </c>
      <c r="L613" t="s">
        <v>752</v>
      </c>
      <c r="M613" t="s">
        <v>88</v>
      </c>
      <c r="N613">
        <v>143.5</v>
      </c>
      <c r="O613">
        <v>14.22</v>
      </c>
      <c r="P613">
        <v>2.2799999999999998</v>
      </c>
      <c r="Q613">
        <v>4.2561999999999998</v>
      </c>
      <c r="R613">
        <v>0.68100000000000005</v>
      </c>
      <c r="S613" t="s">
        <v>450</v>
      </c>
      <c r="T613">
        <v>6</v>
      </c>
      <c r="U613" t="s">
        <v>89</v>
      </c>
      <c r="W613" t="s">
        <v>754</v>
      </c>
    </row>
    <row r="614" spans="1:23" outlineLevel="2" x14ac:dyDescent="0.25">
      <c r="A614" s="8" t="s">
        <v>82</v>
      </c>
      <c r="B614" s="8" t="s">
        <v>83</v>
      </c>
      <c r="C614" s="8">
        <v>30</v>
      </c>
      <c r="D614" s="8" t="s">
        <v>84</v>
      </c>
      <c r="E614" s="8">
        <v>184</v>
      </c>
      <c r="F614" s="8" t="s">
        <v>85</v>
      </c>
      <c r="G614" s="8">
        <v>9566</v>
      </c>
      <c r="H614" s="8" t="s">
        <v>55</v>
      </c>
      <c r="I614" s="8">
        <v>1000009566</v>
      </c>
      <c r="J614" s="8">
        <v>29437390</v>
      </c>
      <c r="K614" s="8" t="s">
        <v>1717</v>
      </c>
      <c r="L614" s="8" t="s">
        <v>752</v>
      </c>
      <c r="M614" s="8" t="s">
        <v>88</v>
      </c>
      <c r="N614" s="8">
        <v>117.5</v>
      </c>
      <c r="O614" s="8">
        <v>14.22</v>
      </c>
      <c r="P614" s="8">
        <v>2.2799999999999998</v>
      </c>
      <c r="Q614" s="8">
        <v>4.2561999999999998</v>
      </c>
      <c r="R614" s="8">
        <v>0.68100000000000005</v>
      </c>
      <c r="S614" s="8" t="s">
        <v>819</v>
      </c>
      <c r="T614" s="8">
        <v>6</v>
      </c>
      <c r="U614" s="8" t="s">
        <v>89</v>
      </c>
      <c r="V614" s="8"/>
      <c r="W614" t="s">
        <v>754</v>
      </c>
    </row>
    <row r="615" spans="1:23" outlineLevel="2" x14ac:dyDescent="0.25">
      <c r="A615" t="s">
        <v>82</v>
      </c>
      <c r="B615" t="s">
        <v>83</v>
      </c>
      <c r="C615">
        <v>30</v>
      </c>
      <c r="D615" t="s">
        <v>84</v>
      </c>
      <c r="E615">
        <v>184</v>
      </c>
      <c r="F615" t="s">
        <v>85</v>
      </c>
      <c r="G615">
        <v>9566</v>
      </c>
      <c r="H615" t="s">
        <v>55</v>
      </c>
      <c r="I615">
        <v>1000009566</v>
      </c>
      <c r="J615">
        <v>29437644</v>
      </c>
      <c r="K615" t="s">
        <v>1719</v>
      </c>
      <c r="L615" t="s">
        <v>753</v>
      </c>
      <c r="M615" t="s">
        <v>88</v>
      </c>
      <c r="N615">
        <v>628.5</v>
      </c>
      <c r="O615">
        <v>14.22</v>
      </c>
      <c r="P615">
        <v>2.2799999999999998</v>
      </c>
      <c r="Q615">
        <v>4.2561999999999998</v>
      </c>
      <c r="R615">
        <v>0.68100000000000005</v>
      </c>
      <c r="S615" t="s">
        <v>813</v>
      </c>
      <c r="T615">
        <v>6</v>
      </c>
      <c r="U615" t="s">
        <v>89</v>
      </c>
      <c r="W615" t="s">
        <v>754</v>
      </c>
    </row>
    <row r="616" spans="1:23" outlineLevel="2" x14ac:dyDescent="0.25">
      <c r="A616" t="s">
        <v>82</v>
      </c>
      <c r="B616" t="s">
        <v>83</v>
      </c>
      <c r="C616">
        <v>30</v>
      </c>
      <c r="D616" t="s">
        <v>84</v>
      </c>
      <c r="E616">
        <v>184</v>
      </c>
      <c r="F616" t="s">
        <v>85</v>
      </c>
      <c r="G616">
        <v>9566</v>
      </c>
      <c r="H616" t="s">
        <v>55</v>
      </c>
      <c r="I616">
        <v>1000009566</v>
      </c>
      <c r="J616">
        <v>29439389</v>
      </c>
      <c r="K616" t="s">
        <v>1729</v>
      </c>
      <c r="L616" t="s">
        <v>752</v>
      </c>
      <c r="M616" t="s">
        <v>88</v>
      </c>
      <c r="N616">
        <v>58.5</v>
      </c>
      <c r="O616">
        <v>14.22</v>
      </c>
      <c r="P616">
        <v>2.2799999999999998</v>
      </c>
      <c r="Q616">
        <v>4.2561999999999998</v>
      </c>
      <c r="R616">
        <v>0.68100000000000005</v>
      </c>
      <c r="S616" t="s">
        <v>451</v>
      </c>
      <c r="T616">
        <v>6</v>
      </c>
      <c r="U616" t="s">
        <v>89</v>
      </c>
      <c r="W616" t="s">
        <v>754</v>
      </c>
    </row>
    <row r="617" spans="1:23" outlineLevel="2" x14ac:dyDescent="0.25">
      <c r="A617" t="s">
        <v>82</v>
      </c>
      <c r="B617" t="s">
        <v>83</v>
      </c>
      <c r="C617">
        <v>30</v>
      </c>
      <c r="D617" t="s">
        <v>84</v>
      </c>
      <c r="E617">
        <v>184</v>
      </c>
      <c r="F617" t="s">
        <v>85</v>
      </c>
      <c r="G617">
        <v>9566</v>
      </c>
      <c r="H617" t="s">
        <v>55</v>
      </c>
      <c r="I617">
        <v>1000009566</v>
      </c>
      <c r="J617">
        <v>29441051</v>
      </c>
      <c r="K617" t="s">
        <v>1739</v>
      </c>
      <c r="L617" t="s">
        <v>752</v>
      </c>
      <c r="M617" t="s">
        <v>88</v>
      </c>
      <c r="N617">
        <v>116.5</v>
      </c>
      <c r="O617">
        <v>14.22</v>
      </c>
      <c r="P617">
        <v>2.2799999999999998</v>
      </c>
      <c r="Q617">
        <v>4.2561999999999998</v>
      </c>
      <c r="R617">
        <v>0.68100000000000005</v>
      </c>
      <c r="S617" t="s">
        <v>1428</v>
      </c>
      <c r="T617">
        <v>6</v>
      </c>
      <c r="U617" t="s">
        <v>89</v>
      </c>
      <c r="W617" t="s">
        <v>754</v>
      </c>
    </row>
    <row r="618" spans="1:23" outlineLevel="2" x14ac:dyDescent="0.25">
      <c r="A618" t="s">
        <v>82</v>
      </c>
      <c r="B618" t="s">
        <v>83</v>
      </c>
      <c r="C618">
        <v>30</v>
      </c>
      <c r="D618" t="s">
        <v>84</v>
      </c>
      <c r="E618">
        <v>184</v>
      </c>
      <c r="F618" t="s">
        <v>85</v>
      </c>
      <c r="G618">
        <v>9566</v>
      </c>
      <c r="H618" t="s">
        <v>55</v>
      </c>
      <c r="I618">
        <v>1000009566</v>
      </c>
      <c r="J618">
        <v>29441073</v>
      </c>
      <c r="K618" t="s">
        <v>1740</v>
      </c>
      <c r="L618" t="s">
        <v>752</v>
      </c>
      <c r="M618" t="s">
        <v>88</v>
      </c>
      <c r="N618">
        <v>156.5</v>
      </c>
      <c r="O618">
        <v>14.22</v>
      </c>
      <c r="P618">
        <v>2.2799999999999998</v>
      </c>
      <c r="Q618">
        <v>4.2561999999999998</v>
      </c>
      <c r="R618">
        <v>0.68100000000000005</v>
      </c>
      <c r="S618" t="s">
        <v>1430</v>
      </c>
      <c r="T618">
        <v>6</v>
      </c>
      <c r="U618" t="s">
        <v>89</v>
      </c>
      <c r="W618" t="s">
        <v>754</v>
      </c>
    </row>
    <row r="619" spans="1:23" outlineLevel="2" x14ac:dyDescent="0.25">
      <c r="A619" t="s">
        <v>82</v>
      </c>
      <c r="B619" t="s">
        <v>83</v>
      </c>
      <c r="C619">
        <v>30</v>
      </c>
      <c r="D619" t="s">
        <v>84</v>
      </c>
      <c r="E619">
        <v>184</v>
      </c>
      <c r="F619" t="s">
        <v>85</v>
      </c>
      <c r="G619">
        <v>9566</v>
      </c>
      <c r="H619" t="s">
        <v>55</v>
      </c>
      <c r="I619">
        <v>1000009566</v>
      </c>
      <c r="J619">
        <v>29442185</v>
      </c>
      <c r="K619" t="s">
        <v>1749</v>
      </c>
      <c r="L619" t="s">
        <v>752</v>
      </c>
      <c r="M619" t="s">
        <v>88</v>
      </c>
      <c r="N619">
        <v>89.5</v>
      </c>
      <c r="O619">
        <v>14.22</v>
      </c>
      <c r="P619">
        <v>2.2799999999999998</v>
      </c>
      <c r="Q619">
        <v>4.2561999999999998</v>
      </c>
      <c r="R619">
        <v>0.68100000000000005</v>
      </c>
      <c r="S619" t="s">
        <v>1432</v>
      </c>
      <c r="T619">
        <v>6</v>
      </c>
      <c r="U619" t="s">
        <v>89</v>
      </c>
      <c r="W619" t="s">
        <v>754</v>
      </c>
    </row>
    <row r="620" spans="1:23" outlineLevel="2" x14ac:dyDescent="0.25">
      <c r="A620" t="s">
        <v>82</v>
      </c>
      <c r="B620" t="s">
        <v>83</v>
      </c>
      <c r="C620">
        <v>30</v>
      </c>
      <c r="D620" t="s">
        <v>84</v>
      </c>
      <c r="E620">
        <v>184</v>
      </c>
      <c r="F620" t="s">
        <v>85</v>
      </c>
      <c r="G620">
        <v>9566</v>
      </c>
      <c r="H620" t="s">
        <v>55</v>
      </c>
      <c r="I620">
        <v>1000009566</v>
      </c>
      <c r="J620">
        <v>29442915</v>
      </c>
      <c r="K620" t="s">
        <v>1753</v>
      </c>
      <c r="L620" t="s">
        <v>752</v>
      </c>
      <c r="M620" t="s">
        <v>88</v>
      </c>
      <c r="N620">
        <v>356.5</v>
      </c>
      <c r="O620">
        <v>14.22</v>
      </c>
      <c r="P620">
        <v>2.2799999999999998</v>
      </c>
      <c r="Q620">
        <v>4.2561999999999998</v>
      </c>
      <c r="R620">
        <v>0.68100000000000005</v>
      </c>
      <c r="S620" t="s">
        <v>1434</v>
      </c>
      <c r="T620">
        <v>6</v>
      </c>
      <c r="U620" t="s">
        <v>89</v>
      </c>
      <c r="W620" t="s">
        <v>754</v>
      </c>
    </row>
    <row r="621" spans="1:23" outlineLevel="2" x14ac:dyDescent="0.25">
      <c r="A621" t="s">
        <v>82</v>
      </c>
      <c r="B621" t="s">
        <v>83</v>
      </c>
      <c r="C621">
        <v>30</v>
      </c>
      <c r="D621" t="s">
        <v>84</v>
      </c>
      <c r="E621">
        <v>184</v>
      </c>
      <c r="F621" t="s">
        <v>85</v>
      </c>
      <c r="G621">
        <v>9566</v>
      </c>
      <c r="H621" t="s">
        <v>55</v>
      </c>
      <c r="I621">
        <v>1000009566</v>
      </c>
      <c r="J621">
        <v>29443065</v>
      </c>
      <c r="K621" t="s">
        <v>1755</v>
      </c>
      <c r="L621" t="s">
        <v>753</v>
      </c>
      <c r="M621" t="s">
        <v>88</v>
      </c>
      <c r="N621">
        <v>159.5</v>
      </c>
      <c r="O621">
        <v>14.22</v>
      </c>
      <c r="P621">
        <v>2.2799999999999998</v>
      </c>
      <c r="Q621">
        <v>4.2561999999999998</v>
      </c>
      <c r="R621">
        <v>0.68100000000000005</v>
      </c>
      <c r="S621" t="s">
        <v>1436</v>
      </c>
      <c r="T621">
        <v>6</v>
      </c>
      <c r="U621" t="s">
        <v>89</v>
      </c>
      <c r="W621" t="s">
        <v>754</v>
      </c>
    </row>
    <row r="622" spans="1:23" outlineLevel="2" x14ac:dyDescent="0.25">
      <c r="A622" t="s">
        <v>82</v>
      </c>
      <c r="B622" t="s">
        <v>83</v>
      </c>
      <c r="C622">
        <v>30</v>
      </c>
      <c r="D622" t="s">
        <v>84</v>
      </c>
      <c r="E622">
        <v>184</v>
      </c>
      <c r="F622" t="s">
        <v>85</v>
      </c>
      <c r="G622">
        <v>9566</v>
      </c>
      <c r="H622" t="s">
        <v>55</v>
      </c>
      <c r="I622">
        <v>1000009566</v>
      </c>
      <c r="J622">
        <v>29444799</v>
      </c>
      <c r="K622" t="s">
        <v>1771</v>
      </c>
      <c r="L622" t="s">
        <v>752</v>
      </c>
      <c r="M622" t="s">
        <v>88</v>
      </c>
      <c r="N622">
        <v>105.5</v>
      </c>
      <c r="O622">
        <v>14.22</v>
      </c>
      <c r="P622">
        <v>2.2799999999999998</v>
      </c>
      <c r="Q622">
        <v>4.2561999999999998</v>
      </c>
      <c r="R622">
        <v>0.68100000000000005</v>
      </c>
      <c r="S622" t="s">
        <v>1438</v>
      </c>
      <c r="T622">
        <v>6</v>
      </c>
      <c r="U622" t="s">
        <v>89</v>
      </c>
      <c r="W622" t="s">
        <v>754</v>
      </c>
    </row>
    <row r="623" spans="1:23" outlineLevel="2" x14ac:dyDescent="0.25">
      <c r="A623" t="s">
        <v>82</v>
      </c>
      <c r="B623" t="s">
        <v>83</v>
      </c>
      <c r="C623">
        <v>30</v>
      </c>
      <c r="D623" t="s">
        <v>84</v>
      </c>
      <c r="E623">
        <v>184</v>
      </c>
      <c r="F623" t="s">
        <v>85</v>
      </c>
      <c r="G623">
        <v>9566</v>
      </c>
      <c r="H623" t="s">
        <v>55</v>
      </c>
      <c r="I623">
        <v>1000009566</v>
      </c>
      <c r="J623">
        <v>29444991</v>
      </c>
      <c r="K623" t="s">
        <v>1776</v>
      </c>
      <c r="L623" t="s">
        <v>752</v>
      </c>
      <c r="M623" t="s">
        <v>88</v>
      </c>
      <c r="N623">
        <v>161.5</v>
      </c>
      <c r="O623">
        <v>14.22</v>
      </c>
      <c r="P623">
        <v>2.2799999999999998</v>
      </c>
      <c r="Q623">
        <v>4.2561999999999998</v>
      </c>
      <c r="R623">
        <v>0.68100000000000005</v>
      </c>
      <c r="S623" t="s">
        <v>682</v>
      </c>
      <c r="T623">
        <v>6</v>
      </c>
      <c r="U623" t="s">
        <v>89</v>
      </c>
      <c r="W623" t="s">
        <v>754</v>
      </c>
    </row>
    <row r="624" spans="1:23" outlineLevel="2" x14ac:dyDescent="0.25">
      <c r="A624" t="s">
        <v>82</v>
      </c>
      <c r="B624" t="s">
        <v>83</v>
      </c>
      <c r="C624">
        <v>30</v>
      </c>
      <c r="D624" t="s">
        <v>84</v>
      </c>
      <c r="E624">
        <v>184</v>
      </c>
      <c r="F624" t="s">
        <v>85</v>
      </c>
      <c r="G624">
        <v>9566</v>
      </c>
      <c r="H624" t="s">
        <v>55</v>
      </c>
      <c r="I624">
        <v>1000009566</v>
      </c>
      <c r="J624">
        <v>29445162</v>
      </c>
      <c r="K624" t="s">
        <v>1779</v>
      </c>
      <c r="L624" t="s">
        <v>753</v>
      </c>
      <c r="M624" t="s">
        <v>88</v>
      </c>
      <c r="N624">
        <v>113.5</v>
      </c>
      <c r="O624">
        <v>14.22</v>
      </c>
      <c r="P624">
        <v>2.2799999999999998</v>
      </c>
      <c r="Q624">
        <v>4.2561999999999998</v>
      </c>
      <c r="R624">
        <v>0.68100000000000005</v>
      </c>
      <c r="S624" t="s">
        <v>601</v>
      </c>
      <c r="T624">
        <v>6</v>
      </c>
      <c r="U624" t="s">
        <v>89</v>
      </c>
      <c r="W624" t="s">
        <v>754</v>
      </c>
    </row>
    <row r="625" spans="1:23" outlineLevel="2" x14ac:dyDescent="0.25">
      <c r="A625" t="s">
        <v>82</v>
      </c>
      <c r="B625" t="s">
        <v>83</v>
      </c>
      <c r="C625">
        <v>30</v>
      </c>
      <c r="D625" t="s">
        <v>84</v>
      </c>
      <c r="E625">
        <v>184</v>
      </c>
      <c r="F625" t="s">
        <v>85</v>
      </c>
      <c r="G625">
        <v>9566</v>
      </c>
      <c r="H625" t="s">
        <v>55</v>
      </c>
      <c r="I625">
        <v>1000009566</v>
      </c>
      <c r="J625">
        <v>29447006</v>
      </c>
      <c r="K625" t="s">
        <v>1783</v>
      </c>
      <c r="L625" t="s">
        <v>752</v>
      </c>
      <c r="M625" t="s">
        <v>88</v>
      </c>
      <c r="N625">
        <v>1194.5</v>
      </c>
      <c r="O625">
        <v>14.22</v>
      </c>
      <c r="P625">
        <v>2.2799999999999998</v>
      </c>
      <c r="Q625">
        <v>4.2561999999999998</v>
      </c>
      <c r="R625">
        <v>0.68100000000000005</v>
      </c>
      <c r="S625" t="s">
        <v>1442</v>
      </c>
      <c r="T625">
        <v>6</v>
      </c>
      <c r="U625" t="s">
        <v>89</v>
      </c>
      <c r="W625" t="s">
        <v>754</v>
      </c>
    </row>
    <row r="626" spans="1:23" outlineLevel="2" x14ac:dyDescent="0.25">
      <c r="A626" t="s">
        <v>82</v>
      </c>
      <c r="B626" t="s">
        <v>83</v>
      </c>
      <c r="C626">
        <v>30</v>
      </c>
      <c r="D626" t="s">
        <v>84</v>
      </c>
      <c r="E626">
        <v>184</v>
      </c>
      <c r="F626" t="s">
        <v>85</v>
      </c>
      <c r="G626">
        <v>9566</v>
      </c>
      <c r="H626" t="s">
        <v>55</v>
      </c>
      <c r="I626">
        <v>1000009566</v>
      </c>
      <c r="J626">
        <v>29451176</v>
      </c>
      <c r="K626" t="s">
        <v>1819</v>
      </c>
      <c r="L626" t="s">
        <v>752</v>
      </c>
      <c r="M626" t="s">
        <v>88</v>
      </c>
      <c r="N626">
        <v>116.5</v>
      </c>
      <c r="O626">
        <v>14.22</v>
      </c>
      <c r="P626">
        <v>2.2799999999999998</v>
      </c>
      <c r="Q626">
        <v>4.2561999999999998</v>
      </c>
      <c r="R626">
        <v>0.68100000000000005</v>
      </c>
      <c r="S626" t="s">
        <v>1228</v>
      </c>
      <c r="T626">
        <v>6</v>
      </c>
      <c r="U626" t="s">
        <v>89</v>
      </c>
      <c r="W626" t="s">
        <v>754</v>
      </c>
    </row>
    <row r="627" spans="1:23" outlineLevel="2" x14ac:dyDescent="0.25">
      <c r="A627" t="s">
        <v>82</v>
      </c>
      <c r="B627" t="s">
        <v>83</v>
      </c>
      <c r="C627">
        <v>30</v>
      </c>
      <c r="D627" t="s">
        <v>84</v>
      </c>
      <c r="E627">
        <v>184</v>
      </c>
      <c r="F627" t="s">
        <v>85</v>
      </c>
      <c r="G627">
        <v>9566</v>
      </c>
      <c r="H627" t="s">
        <v>55</v>
      </c>
      <c r="I627">
        <v>1000009566</v>
      </c>
      <c r="J627">
        <v>29454933</v>
      </c>
      <c r="K627" t="s">
        <v>1833</v>
      </c>
      <c r="L627" t="s">
        <v>753</v>
      </c>
      <c r="M627" t="s">
        <v>88</v>
      </c>
      <c r="N627">
        <v>181.5</v>
      </c>
      <c r="O627">
        <v>14.22</v>
      </c>
      <c r="P627">
        <v>2.2799999999999998</v>
      </c>
      <c r="Q627">
        <v>4.2561999999999998</v>
      </c>
      <c r="R627">
        <v>0.68100000000000005</v>
      </c>
      <c r="S627" t="s">
        <v>1230</v>
      </c>
      <c r="T627">
        <v>6</v>
      </c>
      <c r="U627" t="s">
        <v>89</v>
      </c>
      <c r="W627" t="s">
        <v>754</v>
      </c>
    </row>
    <row r="628" spans="1:23" outlineLevel="2" x14ac:dyDescent="0.25">
      <c r="A628" t="s">
        <v>82</v>
      </c>
      <c r="B628" t="s">
        <v>83</v>
      </c>
      <c r="C628">
        <v>30</v>
      </c>
      <c r="D628" t="s">
        <v>84</v>
      </c>
      <c r="E628">
        <v>184</v>
      </c>
      <c r="F628" t="s">
        <v>85</v>
      </c>
      <c r="G628">
        <v>9566</v>
      </c>
      <c r="H628" t="s">
        <v>55</v>
      </c>
      <c r="I628">
        <v>1000009566</v>
      </c>
      <c r="J628">
        <v>29460244</v>
      </c>
      <c r="K628" t="s">
        <v>1860</v>
      </c>
      <c r="L628" t="s">
        <v>752</v>
      </c>
      <c r="M628" t="s">
        <v>88</v>
      </c>
      <c r="N628">
        <v>53.5</v>
      </c>
      <c r="O628">
        <v>14.22</v>
      </c>
      <c r="P628">
        <v>2.2799999999999998</v>
      </c>
      <c r="Q628">
        <v>4.2561999999999998</v>
      </c>
      <c r="R628">
        <v>0.68100000000000005</v>
      </c>
      <c r="S628" t="s">
        <v>1232</v>
      </c>
      <c r="T628">
        <v>6</v>
      </c>
      <c r="U628" t="s">
        <v>89</v>
      </c>
      <c r="W628" t="s">
        <v>754</v>
      </c>
    </row>
    <row r="629" spans="1:23" outlineLevel="2" x14ac:dyDescent="0.25">
      <c r="A629" t="s">
        <v>82</v>
      </c>
      <c r="B629" t="s">
        <v>83</v>
      </c>
      <c r="C629">
        <v>30</v>
      </c>
      <c r="D629" t="s">
        <v>84</v>
      </c>
      <c r="E629">
        <v>184</v>
      </c>
      <c r="F629" t="s">
        <v>85</v>
      </c>
      <c r="G629">
        <v>9566</v>
      </c>
      <c r="H629" t="s">
        <v>55</v>
      </c>
      <c r="I629">
        <v>1000009566</v>
      </c>
      <c r="J629">
        <v>29463426</v>
      </c>
      <c r="K629" t="s">
        <v>1873</v>
      </c>
      <c r="L629" t="s">
        <v>752</v>
      </c>
      <c r="M629" t="s">
        <v>88</v>
      </c>
      <c r="N629">
        <v>79.5</v>
      </c>
      <c r="O629">
        <v>14.22</v>
      </c>
      <c r="P629">
        <v>2.2799999999999998</v>
      </c>
      <c r="Q629">
        <v>4.2561999999999998</v>
      </c>
      <c r="R629">
        <v>0.68100000000000005</v>
      </c>
      <c r="S629" t="s">
        <v>1234</v>
      </c>
      <c r="T629">
        <v>6</v>
      </c>
      <c r="U629" t="s">
        <v>89</v>
      </c>
      <c r="W629" t="s">
        <v>754</v>
      </c>
    </row>
    <row r="630" spans="1:23" outlineLevel="2" x14ac:dyDescent="0.25">
      <c r="A630" t="s">
        <v>82</v>
      </c>
      <c r="B630" t="s">
        <v>83</v>
      </c>
      <c r="C630">
        <v>30</v>
      </c>
      <c r="D630" t="s">
        <v>84</v>
      </c>
      <c r="E630">
        <v>184</v>
      </c>
      <c r="F630" t="s">
        <v>85</v>
      </c>
      <c r="G630">
        <v>9566</v>
      </c>
      <c r="H630" t="s">
        <v>55</v>
      </c>
      <c r="I630">
        <v>1000009566</v>
      </c>
      <c r="J630">
        <v>29466928</v>
      </c>
      <c r="K630" t="s">
        <v>1892</v>
      </c>
      <c r="L630" t="s">
        <v>752</v>
      </c>
      <c r="M630" t="s">
        <v>88</v>
      </c>
      <c r="N630">
        <v>2209.5</v>
      </c>
      <c r="O630">
        <v>14.22</v>
      </c>
      <c r="P630">
        <v>2.2799999999999998</v>
      </c>
      <c r="Q630">
        <v>4.2561999999999998</v>
      </c>
      <c r="R630">
        <v>0.68100000000000005</v>
      </c>
      <c r="S630" t="s">
        <v>1236</v>
      </c>
      <c r="T630">
        <v>6</v>
      </c>
      <c r="U630" t="s">
        <v>89</v>
      </c>
      <c r="W630" t="s">
        <v>754</v>
      </c>
    </row>
    <row r="631" spans="1:23" outlineLevel="2" x14ac:dyDescent="0.25">
      <c r="A631" t="s">
        <v>82</v>
      </c>
      <c r="B631" t="s">
        <v>83</v>
      </c>
      <c r="C631">
        <v>30</v>
      </c>
      <c r="D631" t="s">
        <v>84</v>
      </c>
      <c r="E631">
        <v>184</v>
      </c>
      <c r="F631" t="s">
        <v>85</v>
      </c>
      <c r="G631">
        <v>9566</v>
      </c>
      <c r="H631" t="s">
        <v>55</v>
      </c>
      <c r="I631">
        <v>1000009566</v>
      </c>
      <c r="J631">
        <v>29473508</v>
      </c>
      <c r="K631" t="s">
        <v>2003</v>
      </c>
      <c r="L631" t="s">
        <v>752</v>
      </c>
      <c r="M631" t="s">
        <v>88</v>
      </c>
      <c r="N631">
        <v>259.5</v>
      </c>
      <c r="O631">
        <v>14.22</v>
      </c>
      <c r="P631">
        <v>2.2799999999999998</v>
      </c>
      <c r="Q631">
        <v>4.2561999999999998</v>
      </c>
      <c r="R631">
        <v>0.68100000000000005</v>
      </c>
      <c r="S631" t="s">
        <v>3413</v>
      </c>
      <c r="T631">
        <v>6</v>
      </c>
      <c r="U631" t="s">
        <v>89</v>
      </c>
      <c r="W631" t="s">
        <v>754</v>
      </c>
    </row>
    <row r="632" spans="1:23" outlineLevel="2" x14ac:dyDescent="0.25">
      <c r="A632" t="s">
        <v>82</v>
      </c>
      <c r="B632" t="s">
        <v>83</v>
      </c>
      <c r="C632">
        <v>30</v>
      </c>
      <c r="D632" t="s">
        <v>84</v>
      </c>
      <c r="E632">
        <v>184</v>
      </c>
      <c r="F632" t="s">
        <v>85</v>
      </c>
      <c r="G632">
        <v>9566</v>
      </c>
      <c r="H632" t="s">
        <v>55</v>
      </c>
      <c r="I632">
        <v>1000009566</v>
      </c>
      <c r="J632">
        <v>29474139</v>
      </c>
      <c r="K632" t="s">
        <v>2013</v>
      </c>
      <c r="L632" t="s">
        <v>752</v>
      </c>
      <c r="M632" t="s">
        <v>88</v>
      </c>
      <c r="N632">
        <v>742.5</v>
      </c>
      <c r="O632">
        <v>14.22</v>
      </c>
      <c r="P632">
        <v>2.2799999999999998</v>
      </c>
      <c r="Q632">
        <v>4.2561999999999998</v>
      </c>
      <c r="R632">
        <v>0.68100000000000005</v>
      </c>
      <c r="S632" t="s">
        <v>3415</v>
      </c>
      <c r="T632">
        <v>6</v>
      </c>
      <c r="U632" t="s">
        <v>89</v>
      </c>
      <c r="W632" t="s">
        <v>754</v>
      </c>
    </row>
    <row r="633" spans="1:23" outlineLevel="2" x14ac:dyDescent="0.25">
      <c r="A633" s="13" t="s">
        <v>82</v>
      </c>
      <c r="B633" s="13" t="s">
        <v>83</v>
      </c>
      <c r="C633" s="13">
        <v>30</v>
      </c>
      <c r="D633" s="13" t="s">
        <v>84</v>
      </c>
      <c r="E633" s="13">
        <v>184</v>
      </c>
      <c r="F633" s="13" t="s">
        <v>85</v>
      </c>
      <c r="G633" s="13">
        <v>9566</v>
      </c>
      <c r="H633" s="13" t="s">
        <v>55</v>
      </c>
      <c r="I633" s="13">
        <v>1000009566</v>
      </c>
      <c r="J633" s="13">
        <v>29474886</v>
      </c>
      <c r="K633" s="13" t="s">
        <v>2025</v>
      </c>
      <c r="L633" s="13" t="s">
        <v>752</v>
      </c>
      <c r="M633" s="13" t="s">
        <v>88</v>
      </c>
      <c r="N633" s="13">
        <v>115.5</v>
      </c>
      <c r="O633" s="13">
        <v>14.22</v>
      </c>
      <c r="P633" s="13">
        <v>2.2799999999999998</v>
      </c>
      <c r="Q633" s="13">
        <v>4.2561999999999998</v>
      </c>
      <c r="R633" s="13">
        <v>0.68100000000000005</v>
      </c>
      <c r="S633" s="13" t="s">
        <v>3418</v>
      </c>
      <c r="T633" s="13">
        <v>6</v>
      </c>
      <c r="U633" s="13" t="s">
        <v>89</v>
      </c>
      <c r="V633" s="13"/>
      <c r="W633" t="s">
        <v>754</v>
      </c>
    </row>
    <row r="634" spans="1:23" outlineLevel="2" x14ac:dyDescent="0.25">
      <c r="A634" t="s">
        <v>82</v>
      </c>
      <c r="B634" t="s">
        <v>83</v>
      </c>
      <c r="C634">
        <v>30</v>
      </c>
      <c r="D634" t="s">
        <v>84</v>
      </c>
      <c r="E634">
        <v>184</v>
      </c>
      <c r="F634" t="s">
        <v>85</v>
      </c>
      <c r="G634">
        <v>9566</v>
      </c>
      <c r="H634" t="s">
        <v>55</v>
      </c>
      <c r="I634">
        <v>1000009566</v>
      </c>
      <c r="J634">
        <v>29478455</v>
      </c>
      <c r="K634" t="s">
        <v>2075</v>
      </c>
      <c r="L634" t="s">
        <v>752</v>
      </c>
      <c r="M634" t="s">
        <v>88</v>
      </c>
      <c r="N634">
        <v>295.5</v>
      </c>
      <c r="O634">
        <v>14.22</v>
      </c>
      <c r="P634">
        <v>2.2799999999999998</v>
      </c>
      <c r="Q634">
        <v>4.2561999999999998</v>
      </c>
      <c r="R634">
        <v>0.68100000000000005</v>
      </c>
      <c r="S634" t="s">
        <v>3420</v>
      </c>
      <c r="T634">
        <v>6</v>
      </c>
      <c r="U634" t="s">
        <v>89</v>
      </c>
      <c r="W634" t="s">
        <v>754</v>
      </c>
    </row>
    <row r="635" spans="1:23" outlineLevel="2" x14ac:dyDescent="0.25">
      <c r="A635" t="s">
        <v>82</v>
      </c>
      <c r="B635" t="s">
        <v>83</v>
      </c>
      <c r="C635">
        <v>30</v>
      </c>
      <c r="D635" t="s">
        <v>84</v>
      </c>
      <c r="E635">
        <v>184</v>
      </c>
      <c r="F635" t="s">
        <v>85</v>
      </c>
      <c r="G635">
        <v>9566</v>
      </c>
      <c r="H635" t="s">
        <v>55</v>
      </c>
      <c r="I635">
        <v>1000009566</v>
      </c>
      <c r="J635">
        <v>29479591</v>
      </c>
      <c r="K635" t="s">
        <v>2082</v>
      </c>
      <c r="L635" t="s">
        <v>752</v>
      </c>
      <c r="M635" t="s">
        <v>88</v>
      </c>
      <c r="N635">
        <v>69.5</v>
      </c>
      <c r="O635">
        <v>14.22</v>
      </c>
      <c r="P635">
        <v>2.2799999999999998</v>
      </c>
      <c r="Q635">
        <v>4.2561999999999998</v>
      </c>
      <c r="R635">
        <v>0.68100000000000005</v>
      </c>
      <c r="S635" t="s">
        <v>3422</v>
      </c>
      <c r="T635">
        <v>6</v>
      </c>
      <c r="U635" t="s">
        <v>89</v>
      </c>
      <c r="W635" t="s">
        <v>754</v>
      </c>
    </row>
    <row r="636" spans="1:23" outlineLevel="2" x14ac:dyDescent="0.25">
      <c r="A636" t="s">
        <v>82</v>
      </c>
      <c r="B636" t="s">
        <v>83</v>
      </c>
      <c r="C636">
        <v>30</v>
      </c>
      <c r="D636" t="s">
        <v>84</v>
      </c>
      <c r="E636">
        <v>184</v>
      </c>
      <c r="F636" t="s">
        <v>85</v>
      </c>
      <c r="G636">
        <v>9566</v>
      </c>
      <c r="H636" t="s">
        <v>55</v>
      </c>
      <c r="I636">
        <v>1000009566</v>
      </c>
      <c r="J636">
        <v>29481356</v>
      </c>
      <c r="K636" t="s">
        <v>2109</v>
      </c>
      <c r="L636" t="s">
        <v>752</v>
      </c>
      <c r="M636" t="s">
        <v>88</v>
      </c>
      <c r="N636">
        <v>303.5</v>
      </c>
      <c r="O636">
        <v>14.22</v>
      </c>
      <c r="P636">
        <v>2.2799999999999998</v>
      </c>
      <c r="Q636">
        <v>4.2561999999999998</v>
      </c>
      <c r="R636">
        <v>0.68100000000000005</v>
      </c>
      <c r="S636" t="s">
        <v>3424</v>
      </c>
      <c r="T636">
        <v>6</v>
      </c>
      <c r="U636" t="s">
        <v>89</v>
      </c>
      <c r="W636" t="s">
        <v>754</v>
      </c>
    </row>
    <row r="637" spans="1:23" outlineLevel="2" x14ac:dyDescent="0.25">
      <c r="A637" t="s">
        <v>82</v>
      </c>
      <c r="B637" t="s">
        <v>83</v>
      </c>
      <c r="C637">
        <v>30</v>
      </c>
      <c r="D637" t="s">
        <v>84</v>
      </c>
      <c r="E637">
        <v>184</v>
      </c>
      <c r="F637" t="s">
        <v>85</v>
      </c>
      <c r="G637">
        <v>9566</v>
      </c>
      <c r="H637" t="s">
        <v>55</v>
      </c>
      <c r="I637">
        <v>1000009566</v>
      </c>
      <c r="J637">
        <v>29492766</v>
      </c>
      <c r="K637" t="s">
        <v>2199</v>
      </c>
      <c r="L637" t="s">
        <v>752</v>
      </c>
      <c r="M637" t="s">
        <v>88</v>
      </c>
      <c r="N637">
        <v>2084.5</v>
      </c>
      <c r="O637">
        <v>14.22</v>
      </c>
      <c r="P637">
        <v>2.2799999999999998</v>
      </c>
      <c r="Q637">
        <v>4.2561999999999998</v>
      </c>
      <c r="R637">
        <v>0.68100000000000005</v>
      </c>
      <c r="S637" t="s">
        <v>3426</v>
      </c>
      <c r="T637">
        <v>6</v>
      </c>
      <c r="U637" t="s">
        <v>89</v>
      </c>
      <c r="W637" t="s">
        <v>754</v>
      </c>
    </row>
    <row r="638" spans="1:23" outlineLevel="2" x14ac:dyDescent="0.25">
      <c r="A638" s="8" t="s">
        <v>82</v>
      </c>
      <c r="B638" s="8" t="s">
        <v>83</v>
      </c>
      <c r="C638" s="8">
        <v>30</v>
      </c>
      <c r="D638" s="8" t="s">
        <v>84</v>
      </c>
      <c r="E638" s="8">
        <v>184</v>
      </c>
      <c r="F638" s="8" t="s">
        <v>85</v>
      </c>
      <c r="G638" s="8">
        <v>9566</v>
      </c>
      <c r="H638" s="8" t="s">
        <v>55</v>
      </c>
      <c r="I638" s="8">
        <v>1000009566</v>
      </c>
      <c r="J638" s="8">
        <v>29494717</v>
      </c>
      <c r="K638" s="8" t="s">
        <v>2212</v>
      </c>
      <c r="L638" s="8" t="s">
        <v>752</v>
      </c>
      <c r="M638" s="8" t="s">
        <v>88</v>
      </c>
      <c r="N638" s="8">
        <v>150.5</v>
      </c>
      <c r="O638" s="8">
        <v>14.22</v>
      </c>
      <c r="P638" s="8">
        <v>2.2799999999999998</v>
      </c>
      <c r="Q638" s="8">
        <v>4.2561999999999998</v>
      </c>
      <c r="R638" s="8">
        <v>0.68100000000000005</v>
      </c>
      <c r="S638" s="8" t="s">
        <v>3517</v>
      </c>
      <c r="T638" s="8">
        <v>6</v>
      </c>
      <c r="U638" s="8" t="s">
        <v>89</v>
      </c>
      <c r="V638" s="8"/>
      <c r="W638" t="s">
        <v>754</v>
      </c>
    </row>
    <row r="639" spans="1:23" outlineLevel="2" x14ac:dyDescent="0.25">
      <c r="A639" t="s">
        <v>82</v>
      </c>
      <c r="B639" t="s">
        <v>83</v>
      </c>
      <c r="C639">
        <v>30</v>
      </c>
      <c r="D639" t="s">
        <v>84</v>
      </c>
      <c r="E639">
        <v>184</v>
      </c>
      <c r="F639" t="s">
        <v>85</v>
      </c>
      <c r="G639">
        <v>9566</v>
      </c>
      <c r="H639" t="s">
        <v>55</v>
      </c>
      <c r="I639">
        <v>1000009566</v>
      </c>
      <c r="J639">
        <v>29495995</v>
      </c>
      <c r="K639" t="s">
        <v>2229</v>
      </c>
      <c r="L639" t="s">
        <v>752</v>
      </c>
      <c r="M639" t="s">
        <v>88</v>
      </c>
      <c r="N639">
        <v>99.5</v>
      </c>
      <c r="O639">
        <v>14.22</v>
      </c>
      <c r="P639">
        <v>2.2799999999999998</v>
      </c>
      <c r="Q639">
        <v>4.2561999999999998</v>
      </c>
      <c r="R639">
        <v>0.68100000000000005</v>
      </c>
      <c r="S639" t="s">
        <v>654</v>
      </c>
      <c r="T639">
        <v>6</v>
      </c>
      <c r="U639" t="s">
        <v>89</v>
      </c>
      <c r="W639" t="s">
        <v>754</v>
      </c>
    </row>
    <row r="640" spans="1:23" outlineLevel="2" x14ac:dyDescent="0.25">
      <c r="A640" t="s">
        <v>82</v>
      </c>
      <c r="B640" t="s">
        <v>83</v>
      </c>
      <c r="C640">
        <v>30</v>
      </c>
      <c r="D640" t="s">
        <v>84</v>
      </c>
      <c r="E640">
        <v>184</v>
      </c>
      <c r="F640" t="s">
        <v>85</v>
      </c>
      <c r="G640">
        <v>9566</v>
      </c>
      <c r="H640" t="s">
        <v>55</v>
      </c>
      <c r="I640">
        <v>1000009566</v>
      </c>
      <c r="J640">
        <v>29497992</v>
      </c>
      <c r="K640" t="s">
        <v>2239</v>
      </c>
      <c r="L640" t="s">
        <v>752</v>
      </c>
      <c r="M640" t="s">
        <v>88</v>
      </c>
      <c r="N640">
        <v>100.5</v>
      </c>
      <c r="O640">
        <v>14.22</v>
      </c>
      <c r="P640">
        <v>2.2799999999999998</v>
      </c>
      <c r="Q640">
        <v>4.2561999999999998</v>
      </c>
      <c r="R640">
        <v>0.68100000000000005</v>
      </c>
      <c r="S640" t="s">
        <v>3429</v>
      </c>
      <c r="T640">
        <v>6</v>
      </c>
      <c r="U640" t="s">
        <v>89</v>
      </c>
      <c r="W640" t="s">
        <v>754</v>
      </c>
    </row>
    <row r="641" spans="1:23" outlineLevel="2" x14ac:dyDescent="0.25">
      <c r="A641" t="s">
        <v>82</v>
      </c>
      <c r="B641" t="s">
        <v>83</v>
      </c>
      <c r="C641">
        <v>30</v>
      </c>
      <c r="D641" t="s">
        <v>84</v>
      </c>
      <c r="E641">
        <v>184</v>
      </c>
      <c r="F641" t="s">
        <v>85</v>
      </c>
      <c r="G641">
        <v>9566</v>
      </c>
      <c r="H641" t="s">
        <v>55</v>
      </c>
      <c r="I641">
        <v>1000009566</v>
      </c>
      <c r="J641">
        <v>29498380</v>
      </c>
      <c r="K641" t="s">
        <v>2243</v>
      </c>
      <c r="L641" t="s">
        <v>752</v>
      </c>
      <c r="M641" t="s">
        <v>88</v>
      </c>
      <c r="N641">
        <v>523.5</v>
      </c>
      <c r="O641">
        <v>14.22</v>
      </c>
      <c r="P641">
        <v>2.2799999999999998</v>
      </c>
      <c r="Q641">
        <v>4.2561999999999998</v>
      </c>
      <c r="R641">
        <v>0.68100000000000005</v>
      </c>
      <c r="S641" t="s">
        <v>3431</v>
      </c>
      <c r="T641">
        <v>6</v>
      </c>
      <c r="U641" t="s">
        <v>89</v>
      </c>
      <c r="W641" t="s">
        <v>754</v>
      </c>
    </row>
    <row r="642" spans="1:23" outlineLevel="2" x14ac:dyDescent="0.25">
      <c r="A642" s="8" t="s">
        <v>82</v>
      </c>
      <c r="B642" s="8" t="s">
        <v>83</v>
      </c>
      <c r="C642" s="8">
        <v>30</v>
      </c>
      <c r="D642" s="8" t="s">
        <v>84</v>
      </c>
      <c r="E642" s="8">
        <v>184</v>
      </c>
      <c r="F642" s="8" t="s">
        <v>85</v>
      </c>
      <c r="G642" s="8">
        <v>9566</v>
      </c>
      <c r="H642" s="8" t="s">
        <v>55</v>
      </c>
      <c r="I642" s="8">
        <v>1000009566</v>
      </c>
      <c r="J642" s="8">
        <v>29501738</v>
      </c>
      <c r="K642" s="8" t="s">
        <v>2266</v>
      </c>
      <c r="L642" s="8" t="s">
        <v>752</v>
      </c>
      <c r="M642" s="8" t="s">
        <v>88</v>
      </c>
      <c r="N642" s="8">
        <v>194.5</v>
      </c>
      <c r="O642" s="8">
        <v>14.22</v>
      </c>
      <c r="P642" s="8">
        <v>2.2799999999999998</v>
      </c>
      <c r="Q642" s="8">
        <v>4.2561999999999998</v>
      </c>
      <c r="R642" s="8">
        <v>0.68100000000000005</v>
      </c>
      <c r="S642" s="8" t="s">
        <v>3519</v>
      </c>
      <c r="T642" s="8">
        <v>6</v>
      </c>
      <c r="U642" s="8" t="s">
        <v>89</v>
      </c>
      <c r="V642" s="8"/>
      <c r="W642" t="s">
        <v>754</v>
      </c>
    </row>
    <row r="643" spans="1:23" outlineLevel="2" x14ac:dyDescent="0.25">
      <c r="A643" t="s">
        <v>82</v>
      </c>
      <c r="B643" t="s">
        <v>83</v>
      </c>
      <c r="C643">
        <v>30</v>
      </c>
      <c r="D643" t="s">
        <v>84</v>
      </c>
      <c r="E643">
        <v>184</v>
      </c>
      <c r="F643" t="s">
        <v>85</v>
      </c>
      <c r="G643">
        <v>8679</v>
      </c>
      <c r="H643" t="s">
        <v>60</v>
      </c>
      <c r="I643">
        <v>1000008679</v>
      </c>
      <c r="J643">
        <v>29426758</v>
      </c>
      <c r="K643" t="s">
        <v>1640</v>
      </c>
      <c r="L643" t="s">
        <v>753</v>
      </c>
      <c r="M643" t="s">
        <v>88</v>
      </c>
      <c r="N643">
        <v>72.5</v>
      </c>
      <c r="O643">
        <v>14.22</v>
      </c>
      <c r="P643">
        <v>2.2799999999999998</v>
      </c>
      <c r="Q643">
        <v>4.2561999999999998</v>
      </c>
      <c r="R643">
        <v>0.68100000000000005</v>
      </c>
      <c r="S643" t="s">
        <v>1604</v>
      </c>
      <c r="T643">
        <v>6</v>
      </c>
      <c r="U643" t="s">
        <v>89</v>
      </c>
      <c r="W643" t="s">
        <v>754</v>
      </c>
    </row>
    <row r="644" spans="1:23" outlineLevel="2" x14ac:dyDescent="0.25">
      <c r="A644" t="s">
        <v>82</v>
      </c>
      <c r="B644" t="s">
        <v>83</v>
      </c>
      <c r="C644">
        <v>30</v>
      </c>
      <c r="D644" t="s">
        <v>84</v>
      </c>
      <c r="E644">
        <v>184</v>
      </c>
      <c r="F644" t="s">
        <v>85</v>
      </c>
      <c r="G644">
        <v>8679</v>
      </c>
      <c r="H644" t="s">
        <v>60</v>
      </c>
      <c r="I644">
        <v>1000008679</v>
      </c>
      <c r="J644">
        <v>29431945</v>
      </c>
      <c r="K644" t="s">
        <v>1682</v>
      </c>
      <c r="L644" t="s">
        <v>752</v>
      </c>
      <c r="M644" t="s">
        <v>88</v>
      </c>
      <c r="N644">
        <v>440.5</v>
      </c>
      <c r="O644">
        <v>14.22</v>
      </c>
      <c r="P644">
        <v>2.2799999999999998</v>
      </c>
      <c r="Q644">
        <v>4.2561999999999998</v>
      </c>
      <c r="R644">
        <v>0.68100000000000005</v>
      </c>
      <c r="S644" t="s">
        <v>1606</v>
      </c>
      <c r="T644">
        <v>6</v>
      </c>
      <c r="U644" t="s">
        <v>89</v>
      </c>
      <c r="W644" t="s">
        <v>754</v>
      </c>
    </row>
    <row r="645" spans="1:23" outlineLevel="2" x14ac:dyDescent="0.25">
      <c r="A645" t="s">
        <v>82</v>
      </c>
      <c r="B645" t="s">
        <v>83</v>
      </c>
      <c r="C645">
        <v>30</v>
      </c>
      <c r="D645" t="s">
        <v>84</v>
      </c>
      <c r="E645">
        <v>184</v>
      </c>
      <c r="F645" t="s">
        <v>85</v>
      </c>
      <c r="G645">
        <v>8679</v>
      </c>
      <c r="H645" t="s">
        <v>60</v>
      </c>
      <c r="I645">
        <v>1000008679</v>
      </c>
      <c r="J645">
        <v>29443933</v>
      </c>
      <c r="K645" t="s">
        <v>1760</v>
      </c>
      <c r="L645" t="s">
        <v>752</v>
      </c>
      <c r="M645" t="s">
        <v>88</v>
      </c>
      <c r="N645">
        <v>180.5</v>
      </c>
      <c r="O645">
        <v>14.22</v>
      </c>
      <c r="P645">
        <v>2.2799999999999998</v>
      </c>
      <c r="Q645">
        <v>4.2561999999999998</v>
      </c>
      <c r="R645">
        <v>0.68100000000000005</v>
      </c>
      <c r="S645" t="s">
        <v>1444</v>
      </c>
      <c r="T645">
        <v>6</v>
      </c>
      <c r="U645" t="s">
        <v>89</v>
      </c>
      <c r="W645" t="s">
        <v>754</v>
      </c>
    </row>
    <row r="646" spans="1:23" outlineLevel="2" x14ac:dyDescent="0.25">
      <c r="A646" t="s">
        <v>82</v>
      </c>
      <c r="B646" t="s">
        <v>83</v>
      </c>
      <c r="C646">
        <v>30</v>
      </c>
      <c r="D646" t="s">
        <v>84</v>
      </c>
      <c r="E646">
        <v>184</v>
      </c>
      <c r="F646" t="s">
        <v>85</v>
      </c>
      <c r="G646">
        <v>8679</v>
      </c>
      <c r="H646" t="s">
        <v>60</v>
      </c>
      <c r="I646">
        <v>1000008679</v>
      </c>
      <c r="J646">
        <v>29444863</v>
      </c>
      <c r="K646" t="s">
        <v>1772</v>
      </c>
      <c r="L646" t="s">
        <v>753</v>
      </c>
      <c r="M646" t="s">
        <v>88</v>
      </c>
      <c r="N646">
        <v>74.5</v>
      </c>
      <c r="O646">
        <v>14.22</v>
      </c>
      <c r="P646">
        <v>2.2799999999999998</v>
      </c>
      <c r="Q646">
        <v>4.2561999999999998</v>
      </c>
      <c r="R646">
        <v>0.68100000000000005</v>
      </c>
      <c r="S646" t="s">
        <v>1446</v>
      </c>
      <c r="T646">
        <v>6</v>
      </c>
      <c r="U646" t="s">
        <v>89</v>
      </c>
      <c r="W646" t="s">
        <v>754</v>
      </c>
    </row>
    <row r="647" spans="1:23" outlineLevel="2" x14ac:dyDescent="0.25">
      <c r="A647" t="s">
        <v>82</v>
      </c>
      <c r="B647" t="s">
        <v>83</v>
      </c>
      <c r="C647">
        <v>30</v>
      </c>
      <c r="D647" t="s">
        <v>84</v>
      </c>
      <c r="E647">
        <v>184</v>
      </c>
      <c r="F647" t="s">
        <v>85</v>
      </c>
      <c r="G647">
        <v>8679</v>
      </c>
      <c r="H647" t="s">
        <v>60</v>
      </c>
      <c r="I647">
        <v>1000008679</v>
      </c>
      <c r="J647">
        <v>29447606</v>
      </c>
      <c r="K647" t="s">
        <v>1786</v>
      </c>
      <c r="L647" t="s">
        <v>752</v>
      </c>
      <c r="M647" t="s">
        <v>88</v>
      </c>
      <c r="N647">
        <v>177.5</v>
      </c>
      <c r="O647">
        <v>14.22</v>
      </c>
      <c r="P647">
        <v>2.2799999999999998</v>
      </c>
      <c r="Q647">
        <v>4.2561999999999998</v>
      </c>
      <c r="R647">
        <v>0.68100000000000005</v>
      </c>
      <c r="S647" t="s">
        <v>649</v>
      </c>
      <c r="T647">
        <v>6</v>
      </c>
      <c r="U647" t="s">
        <v>89</v>
      </c>
      <c r="W647" t="s">
        <v>754</v>
      </c>
    </row>
    <row r="648" spans="1:23" outlineLevel="2" x14ac:dyDescent="0.25">
      <c r="A648" t="s">
        <v>82</v>
      </c>
      <c r="B648" t="s">
        <v>83</v>
      </c>
      <c r="C648">
        <v>30</v>
      </c>
      <c r="D648" t="s">
        <v>84</v>
      </c>
      <c r="E648">
        <v>184</v>
      </c>
      <c r="F648" t="s">
        <v>85</v>
      </c>
      <c r="G648">
        <v>8679</v>
      </c>
      <c r="H648" t="s">
        <v>60</v>
      </c>
      <c r="I648">
        <v>1000008679</v>
      </c>
      <c r="J648">
        <v>29447630</v>
      </c>
      <c r="K648" t="s">
        <v>1788</v>
      </c>
      <c r="L648" t="s">
        <v>752</v>
      </c>
      <c r="M648" t="s">
        <v>88</v>
      </c>
      <c r="N648">
        <v>44.5</v>
      </c>
      <c r="O648">
        <v>14.22</v>
      </c>
      <c r="P648">
        <v>2.2799999999999998</v>
      </c>
      <c r="Q648">
        <v>4.2561999999999998</v>
      </c>
      <c r="R648">
        <v>0.68100000000000005</v>
      </c>
      <c r="S648" t="s">
        <v>648</v>
      </c>
      <c r="T648">
        <v>6</v>
      </c>
      <c r="U648" t="s">
        <v>89</v>
      </c>
      <c r="W648" t="s">
        <v>754</v>
      </c>
    </row>
    <row r="649" spans="1:23" outlineLevel="2" x14ac:dyDescent="0.25">
      <c r="A649" t="s">
        <v>82</v>
      </c>
      <c r="B649" t="s">
        <v>83</v>
      </c>
      <c r="C649">
        <v>30</v>
      </c>
      <c r="D649" t="s">
        <v>84</v>
      </c>
      <c r="E649">
        <v>184</v>
      </c>
      <c r="F649" t="s">
        <v>85</v>
      </c>
      <c r="G649">
        <v>8679</v>
      </c>
      <c r="H649" t="s">
        <v>60</v>
      </c>
      <c r="I649">
        <v>1000008679</v>
      </c>
      <c r="J649">
        <v>29470904</v>
      </c>
      <c r="K649" t="s">
        <v>1952</v>
      </c>
      <c r="L649" t="s">
        <v>752</v>
      </c>
      <c r="M649" t="s">
        <v>88</v>
      </c>
      <c r="N649">
        <v>44.5</v>
      </c>
      <c r="O649">
        <v>14.22</v>
      </c>
      <c r="P649">
        <v>2.2799999999999998</v>
      </c>
      <c r="Q649">
        <v>4.2561999999999998</v>
      </c>
      <c r="R649">
        <v>0.68100000000000005</v>
      </c>
      <c r="S649" t="s">
        <v>3433</v>
      </c>
      <c r="T649">
        <v>6</v>
      </c>
      <c r="U649" t="s">
        <v>89</v>
      </c>
      <c r="W649" t="s">
        <v>754</v>
      </c>
    </row>
    <row r="650" spans="1:23" outlineLevel="2" x14ac:dyDescent="0.25">
      <c r="A650" t="s">
        <v>82</v>
      </c>
      <c r="B650" t="s">
        <v>83</v>
      </c>
      <c r="C650">
        <v>30</v>
      </c>
      <c r="D650" t="s">
        <v>84</v>
      </c>
      <c r="E650">
        <v>184</v>
      </c>
      <c r="F650" t="s">
        <v>85</v>
      </c>
      <c r="G650">
        <v>8679</v>
      </c>
      <c r="H650" t="s">
        <v>60</v>
      </c>
      <c r="I650">
        <v>1000008679</v>
      </c>
      <c r="J650">
        <v>29476894</v>
      </c>
      <c r="K650" t="s">
        <v>2054</v>
      </c>
      <c r="L650" t="s">
        <v>752</v>
      </c>
      <c r="M650" t="s">
        <v>88</v>
      </c>
      <c r="N650">
        <v>188.5</v>
      </c>
      <c r="O650">
        <v>14.22</v>
      </c>
      <c r="P650">
        <v>2.2799999999999998</v>
      </c>
      <c r="Q650">
        <v>4.2561999999999998</v>
      </c>
      <c r="R650">
        <v>0.68100000000000005</v>
      </c>
      <c r="S650" t="s">
        <v>3435</v>
      </c>
      <c r="T650">
        <v>6</v>
      </c>
      <c r="U650" t="s">
        <v>89</v>
      </c>
      <c r="W650" t="s">
        <v>754</v>
      </c>
    </row>
    <row r="651" spans="1:23" outlineLevel="2" x14ac:dyDescent="0.25">
      <c r="A651" t="s">
        <v>82</v>
      </c>
      <c r="B651" t="s">
        <v>83</v>
      </c>
      <c r="C651">
        <v>30</v>
      </c>
      <c r="D651" t="s">
        <v>84</v>
      </c>
      <c r="E651">
        <v>184</v>
      </c>
      <c r="F651" t="s">
        <v>85</v>
      </c>
      <c r="G651">
        <v>8679</v>
      </c>
      <c r="H651" t="s">
        <v>60</v>
      </c>
      <c r="I651">
        <v>1000008679</v>
      </c>
      <c r="J651">
        <v>29477558</v>
      </c>
      <c r="K651" t="s">
        <v>2062</v>
      </c>
      <c r="L651" t="s">
        <v>752</v>
      </c>
      <c r="M651" t="s">
        <v>88</v>
      </c>
      <c r="N651">
        <v>109.5</v>
      </c>
      <c r="O651">
        <v>14.22</v>
      </c>
      <c r="P651">
        <v>2.2799999999999998</v>
      </c>
      <c r="Q651">
        <v>4.2561999999999998</v>
      </c>
      <c r="R651">
        <v>0.68100000000000005</v>
      </c>
      <c r="S651" t="s">
        <v>3437</v>
      </c>
      <c r="T651">
        <v>6</v>
      </c>
      <c r="U651" t="s">
        <v>89</v>
      </c>
      <c r="W651" t="s">
        <v>754</v>
      </c>
    </row>
    <row r="652" spans="1:23" outlineLevel="2" x14ac:dyDescent="0.25">
      <c r="A652" s="13" t="s">
        <v>82</v>
      </c>
      <c r="B652" s="13" t="s">
        <v>83</v>
      </c>
      <c r="C652" s="13">
        <v>30</v>
      </c>
      <c r="D652" s="13" t="s">
        <v>84</v>
      </c>
      <c r="E652" s="13">
        <v>184</v>
      </c>
      <c r="F652" s="13" t="s">
        <v>85</v>
      </c>
      <c r="G652" s="13">
        <v>8679</v>
      </c>
      <c r="H652" s="13" t="s">
        <v>60</v>
      </c>
      <c r="I652" s="13">
        <v>1000008679</v>
      </c>
      <c r="J652" s="13">
        <v>29489049</v>
      </c>
      <c r="K652" s="13" t="s">
        <v>2168</v>
      </c>
      <c r="L652" s="13" t="s">
        <v>752</v>
      </c>
      <c r="M652" s="13" t="s">
        <v>88</v>
      </c>
      <c r="N652" s="13">
        <v>84.5</v>
      </c>
      <c r="O652" s="13">
        <v>14.22</v>
      </c>
      <c r="P652" s="13">
        <v>2.2799999999999998</v>
      </c>
      <c r="Q652" s="13">
        <v>4.2561999999999998</v>
      </c>
      <c r="R652" s="13">
        <v>0.68100000000000005</v>
      </c>
      <c r="S652" s="13" t="s">
        <v>3440</v>
      </c>
      <c r="T652" s="13">
        <v>6</v>
      </c>
      <c r="U652" s="13" t="s">
        <v>89</v>
      </c>
      <c r="V652" s="13"/>
      <c r="W652" t="s">
        <v>754</v>
      </c>
    </row>
    <row r="653" spans="1:23" outlineLevel="2" x14ac:dyDescent="0.25">
      <c r="A653" t="s">
        <v>82</v>
      </c>
      <c r="B653" t="s">
        <v>83</v>
      </c>
      <c r="C653">
        <v>30</v>
      </c>
      <c r="D653" t="s">
        <v>84</v>
      </c>
      <c r="E653">
        <v>184</v>
      </c>
      <c r="F653" t="s">
        <v>85</v>
      </c>
      <c r="G653">
        <v>8679</v>
      </c>
      <c r="H653" t="s">
        <v>60</v>
      </c>
      <c r="I653">
        <v>1000008679</v>
      </c>
      <c r="J653">
        <v>29490151</v>
      </c>
      <c r="K653" t="s">
        <v>2176</v>
      </c>
      <c r="L653" t="s">
        <v>752</v>
      </c>
      <c r="M653" t="s">
        <v>88</v>
      </c>
      <c r="N653">
        <v>169.5</v>
      </c>
      <c r="O653">
        <v>14.22</v>
      </c>
      <c r="P653">
        <v>2.2799999999999998</v>
      </c>
      <c r="Q653">
        <v>4.2561999999999998</v>
      </c>
      <c r="R653">
        <v>0.68100000000000005</v>
      </c>
      <c r="S653" t="s">
        <v>3442</v>
      </c>
      <c r="T653">
        <v>6</v>
      </c>
      <c r="U653" t="s">
        <v>89</v>
      </c>
      <c r="W653" t="s">
        <v>754</v>
      </c>
    </row>
    <row r="654" spans="1:23" outlineLevel="2" x14ac:dyDescent="0.25">
      <c r="A654" t="s">
        <v>82</v>
      </c>
      <c r="B654" t="s">
        <v>83</v>
      </c>
      <c r="C654">
        <v>30</v>
      </c>
      <c r="D654" t="s">
        <v>84</v>
      </c>
      <c r="E654">
        <v>184</v>
      </c>
      <c r="F654" t="s">
        <v>85</v>
      </c>
      <c r="G654">
        <v>8679</v>
      </c>
      <c r="H654" t="s">
        <v>60</v>
      </c>
      <c r="I654">
        <v>1000008679</v>
      </c>
      <c r="J654">
        <v>29499818</v>
      </c>
      <c r="K654" t="s">
        <v>2252</v>
      </c>
      <c r="L654" t="s">
        <v>752</v>
      </c>
      <c r="M654" t="s">
        <v>88</v>
      </c>
      <c r="N654">
        <v>186.5</v>
      </c>
      <c r="O654">
        <v>14.22</v>
      </c>
      <c r="P654">
        <v>2.2799999999999998</v>
      </c>
      <c r="Q654">
        <v>4.2561999999999998</v>
      </c>
      <c r="R654">
        <v>0.68100000000000005</v>
      </c>
      <c r="S654" t="s">
        <v>3444</v>
      </c>
      <c r="T654">
        <v>6</v>
      </c>
      <c r="U654" t="s">
        <v>89</v>
      </c>
      <c r="W654" t="s">
        <v>754</v>
      </c>
    </row>
    <row r="655" spans="1:23" outlineLevel="2" x14ac:dyDescent="0.25">
      <c r="A655" t="s">
        <v>82</v>
      </c>
      <c r="B655" t="s">
        <v>83</v>
      </c>
      <c r="C655">
        <v>30</v>
      </c>
      <c r="D655" t="s">
        <v>84</v>
      </c>
      <c r="E655">
        <v>184</v>
      </c>
      <c r="F655" t="s">
        <v>85</v>
      </c>
      <c r="G655">
        <v>8680</v>
      </c>
      <c r="H655" t="s">
        <v>63</v>
      </c>
      <c r="I655">
        <v>1000008680</v>
      </c>
      <c r="J655">
        <v>29471779</v>
      </c>
      <c r="K655" t="s">
        <v>1966</v>
      </c>
      <c r="L655" t="s">
        <v>752</v>
      </c>
      <c r="M655" t="s">
        <v>88</v>
      </c>
      <c r="N655">
        <v>73.5</v>
      </c>
      <c r="O655">
        <v>14.22</v>
      </c>
      <c r="P655">
        <v>2.2799999999999998</v>
      </c>
      <c r="Q655">
        <v>4.2561999999999998</v>
      </c>
      <c r="R655">
        <v>0.68100000000000005</v>
      </c>
      <c r="S655" t="s">
        <v>3446</v>
      </c>
      <c r="T655">
        <v>6</v>
      </c>
      <c r="U655" t="s">
        <v>89</v>
      </c>
      <c r="W655" t="s">
        <v>754</v>
      </c>
    </row>
    <row r="656" spans="1:23" outlineLevel="2" x14ac:dyDescent="0.25">
      <c r="A656" t="s">
        <v>82</v>
      </c>
      <c r="B656" t="s">
        <v>83</v>
      </c>
      <c r="C656">
        <v>30</v>
      </c>
      <c r="D656" t="s">
        <v>84</v>
      </c>
      <c r="E656">
        <v>184</v>
      </c>
      <c r="F656" t="s">
        <v>85</v>
      </c>
      <c r="G656">
        <v>8680</v>
      </c>
      <c r="H656" t="s">
        <v>63</v>
      </c>
      <c r="I656">
        <v>1000008680</v>
      </c>
      <c r="J656">
        <v>29471900</v>
      </c>
      <c r="K656" t="s">
        <v>1968</v>
      </c>
      <c r="L656" t="s">
        <v>752</v>
      </c>
      <c r="M656" t="s">
        <v>88</v>
      </c>
      <c r="N656">
        <v>45.5</v>
      </c>
      <c r="O656">
        <v>14.22</v>
      </c>
      <c r="P656">
        <v>2.2799999999999998</v>
      </c>
      <c r="Q656">
        <v>4.2561999999999998</v>
      </c>
      <c r="R656">
        <v>0.68100000000000005</v>
      </c>
      <c r="S656" t="s">
        <v>3448</v>
      </c>
      <c r="T656">
        <v>6</v>
      </c>
      <c r="U656" t="s">
        <v>89</v>
      </c>
      <c r="W656" t="s">
        <v>754</v>
      </c>
    </row>
    <row r="657" spans="1:23" outlineLevel="2" x14ac:dyDescent="0.25">
      <c r="A657" t="s">
        <v>82</v>
      </c>
      <c r="B657" t="s">
        <v>83</v>
      </c>
      <c r="C657">
        <v>30</v>
      </c>
      <c r="D657" t="s">
        <v>84</v>
      </c>
      <c r="E657">
        <v>184</v>
      </c>
      <c r="F657" t="s">
        <v>85</v>
      </c>
      <c r="G657">
        <v>8681</v>
      </c>
      <c r="H657" t="s">
        <v>41</v>
      </c>
      <c r="I657">
        <v>1000008681</v>
      </c>
      <c r="J657">
        <v>29448226</v>
      </c>
      <c r="K657" t="s">
        <v>1790</v>
      </c>
      <c r="L657" t="s">
        <v>752</v>
      </c>
      <c r="M657" t="s">
        <v>88</v>
      </c>
      <c r="N657">
        <v>97.5</v>
      </c>
      <c r="O657">
        <v>14.22</v>
      </c>
      <c r="P657">
        <v>2.2799999999999998</v>
      </c>
      <c r="Q657">
        <v>4.2561999999999998</v>
      </c>
      <c r="R657">
        <v>0.68100000000000005</v>
      </c>
      <c r="S657" t="s">
        <v>1450</v>
      </c>
      <c r="T657">
        <v>6</v>
      </c>
      <c r="U657" t="s">
        <v>89</v>
      </c>
      <c r="W657" t="s">
        <v>754</v>
      </c>
    </row>
    <row r="658" spans="1:23" outlineLevel="2" x14ac:dyDescent="0.25">
      <c r="A658" t="s">
        <v>82</v>
      </c>
      <c r="B658" t="s">
        <v>83</v>
      </c>
      <c r="C658">
        <v>30</v>
      </c>
      <c r="D658" t="s">
        <v>84</v>
      </c>
      <c r="E658">
        <v>184</v>
      </c>
      <c r="F658" t="s">
        <v>85</v>
      </c>
      <c r="G658">
        <v>8681</v>
      </c>
      <c r="H658" t="s">
        <v>41</v>
      </c>
      <c r="I658">
        <v>1000008681</v>
      </c>
      <c r="J658">
        <v>29454187</v>
      </c>
      <c r="K658" t="s">
        <v>1828</v>
      </c>
      <c r="L658" t="s">
        <v>752</v>
      </c>
      <c r="M658" t="s">
        <v>88</v>
      </c>
      <c r="N658">
        <v>234.5</v>
      </c>
      <c r="O658">
        <v>14.22</v>
      </c>
      <c r="P658">
        <v>2.2799999999999998</v>
      </c>
      <c r="Q658">
        <v>4.2561999999999998</v>
      </c>
      <c r="R658">
        <v>0.68100000000000005</v>
      </c>
      <c r="S658" t="s">
        <v>1238</v>
      </c>
      <c r="T658">
        <v>6</v>
      </c>
      <c r="U658" t="s">
        <v>89</v>
      </c>
      <c r="W658" t="s">
        <v>754</v>
      </c>
    </row>
    <row r="659" spans="1:23" outlineLevel="2" x14ac:dyDescent="0.25">
      <c r="A659" t="s">
        <v>82</v>
      </c>
      <c r="B659" t="s">
        <v>83</v>
      </c>
      <c r="C659">
        <v>30</v>
      </c>
      <c r="D659" t="s">
        <v>84</v>
      </c>
      <c r="E659">
        <v>184</v>
      </c>
      <c r="F659" t="s">
        <v>85</v>
      </c>
      <c r="G659">
        <v>8681</v>
      </c>
      <c r="H659" t="s">
        <v>41</v>
      </c>
      <c r="I659">
        <v>1000008681</v>
      </c>
      <c r="J659">
        <v>29468843</v>
      </c>
      <c r="K659" t="s">
        <v>1913</v>
      </c>
      <c r="L659" t="s">
        <v>752</v>
      </c>
      <c r="M659" t="s">
        <v>88</v>
      </c>
      <c r="N659">
        <v>98.5</v>
      </c>
      <c r="O659">
        <v>14.22</v>
      </c>
      <c r="P659">
        <v>2.2799999999999998</v>
      </c>
      <c r="Q659">
        <v>4.2561999999999998</v>
      </c>
      <c r="R659">
        <v>0.68100000000000005</v>
      </c>
      <c r="S659" t="s">
        <v>1240</v>
      </c>
      <c r="T659">
        <v>6</v>
      </c>
      <c r="U659" t="s">
        <v>89</v>
      </c>
      <c r="W659" t="s">
        <v>754</v>
      </c>
    </row>
    <row r="660" spans="1:23" outlineLevel="2" x14ac:dyDescent="0.25">
      <c r="A660" t="s">
        <v>82</v>
      </c>
      <c r="B660" t="s">
        <v>83</v>
      </c>
      <c r="C660">
        <v>30</v>
      </c>
      <c r="D660" t="s">
        <v>84</v>
      </c>
      <c r="E660">
        <v>184</v>
      </c>
      <c r="F660" t="s">
        <v>85</v>
      </c>
      <c r="G660">
        <v>8681</v>
      </c>
      <c r="H660" t="s">
        <v>41</v>
      </c>
      <c r="I660">
        <v>1000008681</v>
      </c>
      <c r="J660">
        <v>29469604</v>
      </c>
      <c r="K660" t="s">
        <v>1923</v>
      </c>
      <c r="L660" t="s">
        <v>752</v>
      </c>
      <c r="M660" t="s">
        <v>88</v>
      </c>
      <c r="N660">
        <v>188.5</v>
      </c>
      <c r="O660">
        <v>14.22</v>
      </c>
      <c r="P660">
        <v>2.2799999999999998</v>
      </c>
      <c r="Q660">
        <v>4.2561999999999998</v>
      </c>
      <c r="R660">
        <v>0.68100000000000005</v>
      </c>
      <c r="S660" t="s">
        <v>3450</v>
      </c>
      <c r="T660">
        <v>6</v>
      </c>
      <c r="U660" t="s">
        <v>89</v>
      </c>
      <c r="W660" t="s">
        <v>754</v>
      </c>
    </row>
    <row r="661" spans="1:23" outlineLevel="2" x14ac:dyDescent="0.25">
      <c r="A661" s="7" t="s">
        <v>82</v>
      </c>
      <c r="B661" s="7" t="s">
        <v>83</v>
      </c>
      <c r="C661" s="7">
        <v>30</v>
      </c>
      <c r="D661" s="7" t="s">
        <v>84</v>
      </c>
      <c r="E661" s="7">
        <v>184</v>
      </c>
      <c r="F661" s="7" t="s">
        <v>85</v>
      </c>
      <c r="G661" s="7">
        <v>8681</v>
      </c>
      <c r="H661" s="7" t="s">
        <v>41</v>
      </c>
      <c r="I661" s="7">
        <v>1000008681</v>
      </c>
      <c r="J661" s="7">
        <v>29469651</v>
      </c>
      <c r="K661" s="7" t="s">
        <v>1925</v>
      </c>
      <c r="L661" s="7" t="s">
        <v>752</v>
      </c>
      <c r="M661" s="7" t="s">
        <v>88</v>
      </c>
      <c r="N661" s="7">
        <v>142.5</v>
      </c>
      <c r="O661" s="7">
        <v>14.22</v>
      </c>
      <c r="P661" s="7">
        <v>2.2799999999999998</v>
      </c>
      <c r="Q661" s="7">
        <v>4.2561999999999998</v>
      </c>
      <c r="R661" s="7">
        <v>0.68100000000000005</v>
      </c>
      <c r="S661" s="7" t="s">
        <v>3495</v>
      </c>
      <c r="T661" s="7">
        <v>6</v>
      </c>
      <c r="U661" s="7" t="s">
        <v>89</v>
      </c>
      <c r="W661" t="s">
        <v>754</v>
      </c>
    </row>
    <row r="662" spans="1:23" outlineLevel="2" x14ac:dyDescent="0.25">
      <c r="A662" t="s">
        <v>82</v>
      </c>
      <c r="B662" t="s">
        <v>83</v>
      </c>
      <c r="C662">
        <v>30</v>
      </c>
      <c r="D662" t="s">
        <v>84</v>
      </c>
      <c r="E662">
        <v>184</v>
      </c>
      <c r="F662" t="s">
        <v>85</v>
      </c>
      <c r="G662">
        <v>8681</v>
      </c>
      <c r="H662" t="s">
        <v>41</v>
      </c>
      <c r="I662">
        <v>1000008681</v>
      </c>
      <c r="J662">
        <v>29472868</v>
      </c>
      <c r="K662" t="s">
        <v>1985</v>
      </c>
      <c r="L662" t="s">
        <v>752</v>
      </c>
      <c r="M662" t="s">
        <v>88</v>
      </c>
      <c r="N662">
        <v>195.5</v>
      </c>
      <c r="O662">
        <v>14.22</v>
      </c>
      <c r="P662">
        <v>2.2799999999999998</v>
      </c>
      <c r="Q662">
        <v>4.2561999999999998</v>
      </c>
      <c r="R662">
        <v>0.68100000000000005</v>
      </c>
      <c r="S662" t="s">
        <v>3452</v>
      </c>
      <c r="T662">
        <v>6</v>
      </c>
      <c r="U662" t="s">
        <v>89</v>
      </c>
      <c r="W662" t="s">
        <v>754</v>
      </c>
    </row>
    <row r="663" spans="1:23" outlineLevel="2" x14ac:dyDescent="0.25">
      <c r="A663" t="s">
        <v>82</v>
      </c>
      <c r="B663" t="s">
        <v>83</v>
      </c>
      <c r="C663">
        <v>30</v>
      </c>
      <c r="D663" t="s">
        <v>84</v>
      </c>
      <c r="E663">
        <v>184</v>
      </c>
      <c r="F663" t="s">
        <v>85</v>
      </c>
      <c r="G663">
        <v>8681</v>
      </c>
      <c r="H663" t="s">
        <v>41</v>
      </c>
      <c r="I663">
        <v>1000008681</v>
      </c>
      <c r="J663">
        <v>29475661</v>
      </c>
      <c r="K663" t="s">
        <v>2036</v>
      </c>
      <c r="L663" t="s">
        <v>752</v>
      </c>
      <c r="M663" t="s">
        <v>88</v>
      </c>
      <c r="N663">
        <v>134.5</v>
      </c>
      <c r="O663">
        <v>14.22</v>
      </c>
      <c r="P663">
        <v>2.2799999999999998</v>
      </c>
      <c r="Q663">
        <v>4.2561999999999998</v>
      </c>
      <c r="R663">
        <v>0.68100000000000005</v>
      </c>
      <c r="S663" t="s">
        <v>3454</v>
      </c>
      <c r="T663">
        <v>6</v>
      </c>
      <c r="U663" t="s">
        <v>89</v>
      </c>
      <c r="W663" t="s">
        <v>754</v>
      </c>
    </row>
    <row r="664" spans="1:23" outlineLevel="2" x14ac:dyDescent="0.25">
      <c r="A664" t="s">
        <v>82</v>
      </c>
      <c r="B664" t="s">
        <v>83</v>
      </c>
      <c r="C664">
        <v>30</v>
      </c>
      <c r="D664" t="s">
        <v>84</v>
      </c>
      <c r="E664">
        <v>184</v>
      </c>
      <c r="F664" t="s">
        <v>85</v>
      </c>
      <c r="G664">
        <v>8681</v>
      </c>
      <c r="H664" t="s">
        <v>41</v>
      </c>
      <c r="I664">
        <v>1000008681</v>
      </c>
      <c r="J664">
        <v>29476173</v>
      </c>
      <c r="K664" t="s">
        <v>2043</v>
      </c>
      <c r="L664" t="s">
        <v>752</v>
      </c>
      <c r="M664" t="s">
        <v>88</v>
      </c>
      <c r="N664">
        <v>135.5</v>
      </c>
      <c r="O664">
        <v>14.22</v>
      </c>
      <c r="P664">
        <v>2.2799999999999998</v>
      </c>
      <c r="Q664">
        <v>4.2561999999999998</v>
      </c>
      <c r="R664">
        <v>0.68100000000000005</v>
      </c>
      <c r="S664" t="s">
        <v>3456</v>
      </c>
      <c r="T664">
        <v>6</v>
      </c>
      <c r="U664" t="s">
        <v>89</v>
      </c>
      <c r="W664" t="s">
        <v>754</v>
      </c>
    </row>
    <row r="665" spans="1:23" outlineLevel="2" x14ac:dyDescent="0.25">
      <c r="A665" t="s">
        <v>82</v>
      </c>
      <c r="B665" t="s">
        <v>83</v>
      </c>
      <c r="C665">
        <v>30</v>
      </c>
      <c r="D665" t="s">
        <v>84</v>
      </c>
      <c r="E665">
        <v>184</v>
      </c>
      <c r="F665" t="s">
        <v>85</v>
      </c>
      <c r="G665">
        <v>8681</v>
      </c>
      <c r="H665" t="s">
        <v>41</v>
      </c>
      <c r="I665">
        <v>1000008681</v>
      </c>
      <c r="J665">
        <v>29478403</v>
      </c>
      <c r="K665" t="s">
        <v>2072</v>
      </c>
      <c r="L665" t="s">
        <v>752</v>
      </c>
      <c r="M665" t="s">
        <v>88</v>
      </c>
      <c r="N665">
        <v>184.5</v>
      </c>
      <c r="O665">
        <v>14.22</v>
      </c>
      <c r="P665">
        <v>2.2799999999999998</v>
      </c>
      <c r="Q665">
        <v>4.2561999999999998</v>
      </c>
      <c r="R665">
        <v>0.68100000000000005</v>
      </c>
      <c r="S665" t="s">
        <v>3458</v>
      </c>
      <c r="T665">
        <v>6</v>
      </c>
      <c r="U665" t="s">
        <v>89</v>
      </c>
      <c r="W665" t="s">
        <v>754</v>
      </c>
    </row>
    <row r="666" spans="1:23" outlineLevel="2" x14ac:dyDescent="0.25">
      <c r="A666" t="s">
        <v>82</v>
      </c>
      <c r="B666" t="s">
        <v>83</v>
      </c>
      <c r="C666">
        <v>30</v>
      </c>
      <c r="D666" t="s">
        <v>84</v>
      </c>
      <c r="E666">
        <v>184</v>
      </c>
      <c r="F666" t="s">
        <v>85</v>
      </c>
      <c r="G666">
        <v>8681</v>
      </c>
      <c r="H666" t="s">
        <v>41</v>
      </c>
      <c r="I666">
        <v>1000008681</v>
      </c>
      <c r="J666">
        <v>29482594</v>
      </c>
      <c r="K666" t="s">
        <v>2128</v>
      </c>
      <c r="L666" t="s">
        <v>752</v>
      </c>
      <c r="M666" t="s">
        <v>88</v>
      </c>
      <c r="N666">
        <v>247.5</v>
      </c>
      <c r="O666">
        <v>14.22</v>
      </c>
      <c r="P666">
        <v>2.2799999999999998</v>
      </c>
      <c r="Q666">
        <v>4.2561999999999998</v>
      </c>
      <c r="R666">
        <v>0.68100000000000005</v>
      </c>
      <c r="S666" t="s">
        <v>3460</v>
      </c>
      <c r="T666">
        <v>6</v>
      </c>
      <c r="U666" t="s">
        <v>89</v>
      </c>
      <c r="W666" t="s">
        <v>754</v>
      </c>
    </row>
    <row r="667" spans="1:23" outlineLevel="2" x14ac:dyDescent="0.25">
      <c r="A667" t="s">
        <v>82</v>
      </c>
      <c r="B667" t="s">
        <v>83</v>
      </c>
      <c r="C667">
        <v>30</v>
      </c>
      <c r="D667" t="s">
        <v>84</v>
      </c>
      <c r="E667">
        <v>184</v>
      </c>
      <c r="F667" t="s">
        <v>85</v>
      </c>
      <c r="G667">
        <v>8681</v>
      </c>
      <c r="H667" t="s">
        <v>41</v>
      </c>
      <c r="I667">
        <v>1000008681</v>
      </c>
      <c r="J667">
        <v>29491369</v>
      </c>
      <c r="K667" t="s">
        <v>2185</v>
      </c>
      <c r="L667" t="s">
        <v>752</v>
      </c>
      <c r="M667" t="s">
        <v>88</v>
      </c>
      <c r="N667">
        <v>113.5</v>
      </c>
      <c r="O667">
        <v>14.22</v>
      </c>
      <c r="P667">
        <v>2.2799999999999998</v>
      </c>
      <c r="Q667">
        <v>4.2561999999999998</v>
      </c>
      <c r="R667">
        <v>0.68100000000000005</v>
      </c>
      <c r="S667" t="s">
        <v>3462</v>
      </c>
      <c r="T667">
        <v>6</v>
      </c>
      <c r="U667" t="s">
        <v>89</v>
      </c>
      <c r="W667" t="s">
        <v>754</v>
      </c>
    </row>
    <row r="668" spans="1:23" outlineLevel="2" x14ac:dyDescent="0.25">
      <c r="A668" t="s">
        <v>82</v>
      </c>
      <c r="B668" t="s">
        <v>83</v>
      </c>
      <c r="C668">
        <v>30</v>
      </c>
      <c r="D668" t="s">
        <v>84</v>
      </c>
      <c r="E668">
        <v>184</v>
      </c>
      <c r="F668" t="s">
        <v>85</v>
      </c>
      <c r="G668">
        <v>8681</v>
      </c>
      <c r="H668" t="s">
        <v>41</v>
      </c>
      <c r="I668">
        <v>1000008681</v>
      </c>
      <c r="J668">
        <v>29491492</v>
      </c>
      <c r="K668" t="s">
        <v>2186</v>
      </c>
      <c r="L668" t="s">
        <v>752</v>
      </c>
      <c r="M668" t="s">
        <v>88</v>
      </c>
      <c r="N668">
        <v>44.5</v>
      </c>
      <c r="O668">
        <v>14.22</v>
      </c>
      <c r="P668">
        <v>2.2799999999999998</v>
      </c>
      <c r="Q668">
        <v>4.2561999999999998</v>
      </c>
      <c r="R668">
        <v>0.68100000000000005</v>
      </c>
      <c r="S668" t="s">
        <v>3464</v>
      </c>
      <c r="T668">
        <v>6</v>
      </c>
      <c r="U668" t="s">
        <v>89</v>
      </c>
      <c r="W668" t="s">
        <v>754</v>
      </c>
    </row>
    <row r="669" spans="1:23" outlineLevel="2" x14ac:dyDescent="0.25">
      <c r="A669" t="s">
        <v>82</v>
      </c>
      <c r="B669" t="s">
        <v>83</v>
      </c>
      <c r="C669">
        <v>30</v>
      </c>
      <c r="D669" t="s">
        <v>84</v>
      </c>
      <c r="E669">
        <v>184</v>
      </c>
      <c r="F669" t="s">
        <v>85</v>
      </c>
      <c r="G669">
        <v>8681</v>
      </c>
      <c r="H669" t="s">
        <v>41</v>
      </c>
      <c r="I669">
        <v>1000008681</v>
      </c>
      <c r="J669">
        <v>29502225</v>
      </c>
      <c r="K669" t="s">
        <v>2271</v>
      </c>
      <c r="L669" t="s">
        <v>752</v>
      </c>
      <c r="M669" t="s">
        <v>88</v>
      </c>
      <c r="N669">
        <v>60.5</v>
      </c>
      <c r="O669">
        <v>14.22</v>
      </c>
      <c r="P669">
        <v>2.2799999999999998</v>
      </c>
      <c r="Q669">
        <v>4.2561999999999998</v>
      </c>
      <c r="R669">
        <v>0.68100000000000005</v>
      </c>
      <c r="S669" t="s">
        <v>3466</v>
      </c>
      <c r="T669">
        <v>6</v>
      </c>
      <c r="U669" t="s">
        <v>89</v>
      </c>
      <c r="W669" t="s">
        <v>754</v>
      </c>
    </row>
    <row r="670" spans="1:23" outlineLevel="2" x14ac:dyDescent="0.25">
      <c r="A670" t="s">
        <v>82</v>
      </c>
      <c r="B670" t="s">
        <v>83</v>
      </c>
      <c r="C670">
        <v>30</v>
      </c>
      <c r="D670" t="s">
        <v>84</v>
      </c>
      <c r="E670">
        <v>184</v>
      </c>
      <c r="F670" t="s">
        <v>85</v>
      </c>
      <c r="G670">
        <v>8683</v>
      </c>
      <c r="H670" t="s">
        <v>66</v>
      </c>
      <c r="I670">
        <v>1000008683</v>
      </c>
      <c r="J670">
        <v>29463836</v>
      </c>
      <c r="K670" t="s">
        <v>1874</v>
      </c>
      <c r="L670" t="s">
        <v>752</v>
      </c>
      <c r="M670" t="s">
        <v>88</v>
      </c>
      <c r="N670">
        <v>156.5</v>
      </c>
      <c r="O670">
        <v>14.22</v>
      </c>
      <c r="P670">
        <v>2.2799999999999998</v>
      </c>
      <c r="Q670">
        <v>4.2561999999999998</v>
      </c>
      <c r="R670">
        <v>0.68100000000000005</v>
      </c>
      <c r="S670" t="s">
        <v>1242</v>
      </c>
      <c r="T670">
        <v>6</v>
      </c>
      <c r="U670" t="s">
        <v>89</v>
      </c>
      <c r="W670" t="s">
        <v>754</v>
      </c>
    </row>
    <row r="671" spans="1:23" outlineLevel="2" x14ac:dyDescent="0.25">
      <c r="A671" t="s">
        <v>82</v>
      </c>
      <c r="B671" t="s">
        <v>83</v>
      </c>
      <c r="C671">
        <v>30</v>
      </c>
      <c r="D671" t="s">
        <v>84</v>
      </c>
      <c r="E671">
        <v>184</v>
      </c>
      <c r="F671" t="s">
        <v>85</v>
      </c>
      <c r="G671">
        <v>8683</v>
      </c>
      <c r="H671" t="s">
        <v>66</v>
      </c>
      <c r="I671">
        <v>1000008683</v>
      </c>
      <c r="J671">
        <v>29463932</v>
      </c>
      <c r="K671" t="s">
        <v>1876</v>
      </c>
      <c r="L671" t="s">
        <v>752</v>
      </c>
      <c r="M671" t="s">
        <v>88</v>
      </c>
      <c r="N671">
        <v>1834.5</v>
      </c>
      <c r="O671">
        <v>14.22</v>
      </c>
      <c r="P671">
        <v>2.2799999999999998</v>
      </c>
      <c r="Q671">
        <v>4.2561999999999998</v>
      </c>
      <c r="R671">
        <v>0.68100000000000005</v>
      </c>
      <c r="S671" t="s">
        <v>1244</v>
      </c>
      <c r="T671">
        <v>6</v>
      </c>
      <c r="U671" t="s">
        <v>89</v>
      </c>
      <c r="W671" t="s">
        <v>754</v>
      </c>
    </row>
    <row r="672" spans="1:23" outlineLevel="2" x14ac:dyDescent="0.25">
      <c r="A672" t="s">
        <v>82</v>
      </c>
      <c r="B672" t="s">
        <v>83</v>
      </c>
      <c r="C672">
        <v>30</v>
      </c>
      <c r="D672" t="s">
        <v>84</v>
      </c>
      <c r="E672">
        <v>184</v>
      </c>
      <c r="F672" t="s">
        <v>85</v>
      </c>
      <c r="G672">
        <v>8683</v>
      </c>
      <c r="H672" t="s">
        <v>66</v>
      </c>
      <c r="I672">
        <v>1000008683</v>
      </c>
      <c r="J672">
        <v>29469659</v>
      </c>
      <c r="K672" t="s">
        <v>1926</v>
      </c>
      <c r="L672" t="s">
        <v>752</v>
      </c>
      <c r="M672" t="s">
        <v>88</v>
      </c>
      <c r="N672">
        <v>128.5</v>
      </c>
      <c r="O672">
        <v>14.22</v>
      </c>
      <c r="P672">
        <v>2.2799999999999998</v>
      </c>
      <c r="Q672">
        <v>4.2561999999999998</v>
      </c>
      <c r="R672">
        <v>0.68100000000000005</v>
      </c>
      <c r="S672" t="s">
        <v>3468</v>
      </c>
      <c r="T672">
        <v>6</v>
      </c>
      <c r="U672" t="s">
        <v>89</v>
      </c>
      <c r="W672" t="s">
        <v>754</v>
      </c>
    </row>
    <row r="673" spans="1:23" outlineLevel="2" x14ac:dyDescent="0.25">
      <c r="A673" t="s">
        <v>82</v>
      </c>
      <c r="B673" t="s">
        <v>83</v>
      </c>
      <c r="C673">
        <v>30</v>
      </c>
      <c r="D673" t="s">
        <v>84</v>
      </c>
      <c r="E673">
        <v>184</v>
      </c>
      <c r="F673" t="s">
        <v>85</v>
      </c>
      <c r="G673">
        <v>8683</v>
      </c>
      <c r="H673" t="s">
        <v>66</v>
      </c>
      <c r="I673">
        <v>1000008683</v>
      </c>
      <c r="J673">
        <v>29470291</v>
      </c>
      <c r="K673" t="s">
        <v>1938</v>
      </c>
      <c r="L673" t="s">
        <v>752</v>
      </c>
      <c r="M673" t="s">
        <v>88</v>
      </c>
      <c r="N673">
        <v>171.5</v>
      </c>
      <c r="O673">
        <v>14.22</v>
      </c>
      <c r="P673">
        <v>2.2799999999999998</v>
      </c>
      <c r="Q673">
        <v>4.2561999999999998</v>
      </c>
      <c r="R673">
        <v>0.68100000000000005</v>
      </c>
      <c r="S673" t="s">
        <v>3470</v>
      </c>
      <c r="T673">
        <v>6</v>
      </c>
      <c r="U673" t="s">
        <v>89</v>
      </c>
      <c r="W673" t="s">
        <v>754</v>
      </c>
    </row>
    <row r="674" spans="1:23" outlineLevel="2" x14ac:dyDescent="0.25">
      <c r="A674" t="s">
        <v>82</v>
      </c>
      <c r="B674" t="s">
        <v>83</v>
      </c>
      <c r="C674">
        <v>30</v>
      </c>
      <c r="D674" t="s">
        <v>84</v>
      </c>
      <c r="E674">
        <v>184</v>
      </c>
      <c r="F674" t="s">
        <v>85</v>
      </c>
      <c r="G674">
        <v>8683</v>
      </c>
      <c r="H674" t="s">
        <v>66</v>
      </c>
      <c r="I674">
        <v>1000008683</v>
      </c>
      <c r="J674">
        <v>29473502</v>
      </c>
      <c r="K674" t="s">
        <v>2002</v>
      </c>
      <c r="L674" t="s">
        <v>752</v>
      </c>
      <c r="M674" t="s">
        <v>88</v>
      </c>
      <c r="N674">
        <v>262.5</v>
      </c>
      <c r="O674">
        <v>14.22</v>
      </c>
      <c r="P674">
        <v>2.2799999999999998</v>
      </c>
      <c r="Q674">
        <v>4.2561999999999998</v>
      </c>
      <c r="R674">
        <v>0.68100000000000005</v>
      </c>
      <c r="S674" t="s">
        <v>3472</v>
      </c>
      <c r="T674">
        <v>6</v>
      </c>
      <c r="U674" t="s">
        <v>89</v>
      </c>
      <c r="W674" t="s">
        <v>754</v>
      </c>
    </row>
    <row r="675" spans="1:23" outlineLevel="2" x14ac:dyDescent="0.25">
      <c r="A675" t="s">
        <v>82</v>
      </c>
      <c r="B675" t="s">
        <v>83</v>
      </c>
      <c r="C675">
        <v>30</v>
      </c>
      <c r="D675" t="s">
        <v>84</v>
      </c>
      <c r="E675">
        <v>184</v>
      </c>
      <c r="F675" t="s">
        <v>85</v>
      </c>
      <c r="G675">
        <v>8683</v>
      </c>
      <c r="H675" t="s">
        <v>66</v>
      </c>
      <c r="I675">
        <v>1000008683</v>
      </c>
      <c r="J675">
        <v>29474449</v>
      </c>
      <c r="K675" t="s">
        <v>2018</v>
      </c>
      <c r="L675" t="s">
        <v>752</v>
      </c>
      <c r="M675" t="s">
        <v>88</v>
      </c>
      <c r="N675">
        <v>1144.5</v>
      </c>
      <c r="O675">
        <v>14.22</v>
      </c>
      <c r="P675">
        <v>2.2799999999999998</v>
      </c>
      <c r="Q675">
        <v>4.2561999999999998</v>
      </c>
      <c r="R675">
        <v>0.68100000000000005</v>
      </c>
      <c r="S675" t="s">
        <v>3474</v>
      </c>
      <c r="T675">
        <v>6</v>
      </c>
      <c r="U675" t="s">
        <v>89</v>
      </c>
      <c r="W675" t="s">
        <v>754</v>
      </c>
    </row>
    <row r="676" spans="1:23" outlineLevel="2" x14ac:dyDescent="0.25">
      <c r="A676" s="8" t="s">
        <v>82</v>
      </c>
      <c r="B676" s="8" t="s">
        <v>83</v>
      </c>
      <c r="C676" s="8">
        <v>30</v>
      </c>
      <c r="D676" s="8" t="s">
        <v>84</v>
      </c>
      <c r="E676" s="8">
        <v>184</v>
      </c>
      <c r="F676" s="8" t="s">
        <v>85</v>
      </c>
      <c r="G676" s="8">
        <v>9216</v>
      </c>
      <c r="H676" s="8" t="s">
        <v>43</v>
      </c>
      <c r="I676" s="8">
        <v>1000009216</v>
      </c>
      <c r="J676" s="8">
        <v>29432808</v>
      </c>
      <c r="K676" s="8" t="s">
        <v>1691</v>
      </c>
      <c r="L676" s="8" t="s">
        <v>752</v>
      </c>
      <c r="M676" s="8" t="s">
        <v>88</v>
      </c>
      <c r="N676" s="8">
        <v>137.5</v>
      </c>
      <c r="O676" s="8">
        <v>14.22</v>
      </c>
      <c r="P676" s="8">
        <v>2.2799999999999998</v>
      </c>
      <c r="Q676" s="8">
        <v>4.2561999999999998</v>
      </c>
      <c r="R676" s="8">
        <v>0.68100000000000005</v>
      </c>
      <c r="S676" s="8" t="s">
        <v>1617</v>
      </c>
      <c r="T676" s="8">
        <v>6</v>
      </c>
      <c r="U676" s="8" t="s">
        <v>89</v>
      </c>
      <c r="V676" s="8"/>
    </row>
    <row r="677" spans="1:23" outlineLevel="2" x14ac:dyDescent="0.25">
      <c r="A677" t="s">
        <v>82</v>
      </c>
      <c r="B677" t="s">
        <v>83</v>
      </c>
      <c r="C677">
        <v>30</v>
      </c>
      <c r="D677" t="s">
        <v>84</v>
      </c>
      <c r="E677">
        <v>184</v>
      </c>
      <c r="F677" t="s">
        <v>85</v>
      </c>
      <c r="G677">
        <v>9216</v>
      </c>
      <c r="H677" t="s">
        <v>43</v>
      </c>
      <c r="I677">
        <v>1000009216</v>
      </c>
      <c r="J677">
        <v>29450720</v>
      </c>
      <c r="K677" t="s">
        <v>1816</v>
      </c>
      <c r="L677" t="s">
        <v>752</v>
      </c>
      <c r="M677" t="s">
        <v>88</v>
      </c>
      <c r="N677">
        <v>372.5</v>
      </c>
      <c r="O677">
        <v>14.22</v>
      </c>
      <c r="P677">
        <v>2.2799999999999998</v>
      </c>
      <c r="Q677">
        <v>4.2561999999999998</v>
      </c>
      <c r="R677">
        <v>0.68100000000000005</v>
      </c>
      <c r="S677" t="s">
        <v>1246</v>
      </c>
      <c r="T677">
        <v>6</v>
      </c>
      <c r="U677" t="s">
        <v>89</v>
      </c>
      <c r="W677" t="s">
        <v>754</v>
      </c>
    </row>
    <row r="678" spans="1:23" outlineLevel="2" x14ac:dyDescent="0.25">
      <c r="A678" t="s">
        <v>82</v>
      </c>
      <c r="B678" t="s">
        <v>83</v>
      </c>
      <c r="C678">
        <v>30</v>
      </c>
      <c r="D678" t="s">
        <v>84</v>
      </c>
      <c r="E678">
        <v>184</v>
      </c>
      <c r="F678" t="s">
        <v>85</v>
      </c>
      <c r="G678">
        <v>9216</v>
      </c>
      <c r="H678" t="s">
        <v>43</v>
      </c>
      <c r="I678">
        <v>1000009216</v>
      </c>
      <c r="J678">
        <v>29464480</v>
      </c>
      <c r="K678" t="s">
        <v>1881</v>
      </c>
      <c r="L678" t="s">
        <v>752</v>
      </c>
      <c r="M678" t="s">
        <v>88</v>
      </c>
      <c r="N678">
        <v>80.5</v>
      </c>
      <c r="O678">
        <v>14.22</v>
      </c>
      <c r="P678">
        <v>2.2799999999999998</v>
      </c>
      <c r="Q678">
        <v>4.2561999999999998</v>
      </c>
      <c r="R678">
        <v>0.68100000000000005</v>
      </c>
      <c r="S678" t="s">
        <v>1248</v>
      </c>
      <c r="T678">
        <v>6</v>
      </c>
      <c r="U678" t="s">
        <v>89</v>
      </c>
      <c r="W678" t="s">
        <v>754</v>
      </c>
    </row>
    <row r="679" spans="1:23" outlineLevel="2" x14ac:dyDescent="0.25">
      <c r="A679" t="s">
        <v>82</v>
      </c>
      <c r="B679" t="s">
        <v>83</v>
      </c>
      <c r="C679">
        <v>30</v>
      </c>
      <c r="D679" t="s">
        <v>84</v>
      </c>
      <c r="E679">
        <v>184</v>
      </c>
      <c r="F679" t="s">
        <v>85</v>
      </c>
      <c r="G679">
        <v>9216</v>
      </c>
      <c r="H679" t="s">
        <v>43</v>
      </c>
      <c r="I679">
        <v>1000009216</v>
      </c>
      <c r="J679">
        <v>29468445</v>
      </c>
      <c r="K679" t="s">
        <v>1906</v>
      </c>
      <c r="L679" t="s">
        <v>752</v>
      </c>
      <c r="M679" t="s">
        <v>88</v>
      </c>
      <c r="N679">
        <v>112.5</v>
      </c>
      <c r="O679">
        <v>14.22</v>
      </c>
      <c r="P679">
        <v>2.2799999999999998</v>
      </c>
      <c r="Q679">
        <v>4.2561999999999998</v>
      </c>
      <c r="R679">
        <v>0.68100000000000005</v>
      </c>
      <c r="S679" t="s">
        <v>1250</v>
      </c>
      <c r="T679">
        <v>6</v>
      </c>
      <c r="U679" t="s">
        <v>89</v>
      </c>
      <c r="W679" t="s">
        <v>754</v>
      </c>
    </row>
    <row r="680" spans="1:23" outlineLevel="2" x14ac:dyDescent="0.25">
      <c r="A680" t="s">
        <v>82</v>
      </c>
      <c r="B680" t="s">
        <v>83</v>
      </c>
      <c r="C680">
        <v>30</v>
      </c>
      <c r="D680" t="s">
        <v>84</v>
      </c>
      <c r="E680">
        <v>184</v>
      </c>
      <c r="F680" t="s">
        <v>85</v>
      </c>
      <c r="G680">
        <v>9216</v>
      </c>
      <c r="H680" t="s">
        <v>43</v>
      </c>
      <c r="I680">
        <v>1000009216</v>
      </c>
      <c r="J680">
        <v>29469238</v>
      </c>
      <c r="K680" t="s">
        <v>1914</v>
      </c>
      <c r="L680" t="s">
        <v>752</v>
      </c>
      <c r="M680" t="s">
        <v>88</v>
      </c>
      <c r="N680">
        <v>188.5</v>
      </c>
      <c r="O680">
        <v>14.22</v>
      </c>
      <c r="P680">
        <v>2.2799999999999998</v>
      </c>
      <c r="Q680">
        <v>4.2561999999999998</v>
      </c>
      <c r="R680">
        <v>0.68100000000000005</v>
      </c>
      <c r="S680" t="s">
        <v>1252</v>
      </c>
      <c r="T680">
        <v>6</v>
      </c>
      <c r="U680" t="s">
        <v>89</v>
      </c>
      <c r="W680" t="s">
        <v>754</v>
      </c>
    </row>
    <row r="681" spans="1:23" outlineLevel="2" x14ac:dyDescent="0.25">
      <c r="A681" t="s">
        <v>82</v>
      </c>
      <c r="B681" t="s">
        <v>83</v>
      </c>
      <c r="C681">
        <v>30</v>
      </c>
      <c r="D681" t="s">
        <v>84</v>
      </c>
      <c r="E681">
        <v>184</v>
      </c>
      <c r="F681" t="s">
        <v>85</v>
      </c>
      <c r="G681">
        <v>9216</v>
      </c>
      <c r="H681" t="s">
        <v>43</v>
      </c>
      <c r="I681">
        <v>1000009216</v>
      </c>
      <c r="J681">
        <v>29469277</v>
      </c>
      <c r="K681" t="s">
        <v>1915</v>
      </c>
      <c r="L681" t="s">
        <v>752</v>
      </c>
      <c r="M681" t="s">
        <v>88</v>
      </c>
      <c r="N681">
        <v>732.5</v>
      </c>
      <c r="O681">
        <v>14.22</v>
      </c>
      <c r="P681">
        <v>2.2799999999999998</v>
      </c>
      <c r="Q681">
        <v>4.2561999999999998</v>
      </c>
      <c r="R681">
        <v>0.68100000000000005</v>
      </c>
      <c r="S681" t="s">
        <v>1254</v>
      </c>
      <c r="T681">
        <v>6</v>
      </c>
      <c r="U681" t="s">
        <v>89</v>
      </c>
      <c r="W681" t="s">
        <v>754</v>
      </c>
    </row>
    <row r="682" spans="1:23" outlineLevel="2" x14ac:dyDescent="0.25">
      <c r="A682" t="s">
        <v>82</v>
      </c>
      <c r="B682" t="s">
        <v>83</v>
      </c>
      <c r="C682">
        <v>30</v>
      </c>
      <c r="D682" t="s">
        <v>84</v>
      </c>
      <c r="E682">
        <v>184</v>
      </c>
      <c r="F682" t="s">
        <v>85</v>
      </c>
      <c r="G682">
        <v>9216</v>
      </c>
      <c r="H682" t="s">
        <v>43</v>
      </c>
      <c r="I682">
        <v>1000009216</v>
      </c>
      <c r="J682">
        <v>29469566</v>
      </c>
      <c r="K682" t="s">
        <v>1921</v>
      </c>
      <c r="L682" t="s">
        <v>752</v>
      </c>
      <c r="M682" t="s">
        <v>88</v>
      </c>
      <c r="N682">
        <v>123.5</v>
      </c>
      <c r="O682">
        <v>14.22</v>
      </c>
      <c r="P682">
        <v>2.2799999999999998</v>
      </c>
      <c r="Q682">
        <v>4.2561999999999998</v>
      </c>
      <c r="R682">
        <v>0.68100000000000005</v>
      </c>
      <c r="S682" t="s">
        <v>3476</v>
      </c>
      <c r="T682">
        <v>6</v>
      </c>
      <c r="U682" t="s">
        <v>89</v>
      </c>
      <c r="W682" t="s">
        <v>754</v>
      </c>
    </row>
    <row r="683" spans="1:23" outlineLevel="2" x14ac:dyDescent="0.25">
      <c r="A683" t="s">
        <v>82</v>
      </c>
      <c r="B683" t="s">
        <v>83</v>
      </c>
      <c r="C683">
        <v>30</v>
      </c>
      <c r="D683" t="s">
        <v>84</v>
      </c>
      <c r="E683">
        <v>184</v>
      </c>
      <c r="F683" t="s">
        <v>85</v>
      </c>
      <c r="G683">
        <v>9216</v>
      </c>
      <c r="H683" t="s">
        <v>43</v>
      </c>
      <c r="I683">
        <v>1000009216</v>
      </c>
      <c r="J683">
        <v>29469568</v>
      </c>
      <c r="K683" t="s">
        <v>1922</v>
      </c>
      <c r="L683" t="s">
        <v>752</v>
      </c>
      <c r="M683" t="s">
        <v>88</v>
      </c>
      <c r="N683">
        <v>287.5</v>
      </c>
      <c r="O683">
        <v>14.22</v>
      </c>
      <c r="P683">
        <v>2.2799999999999998</v>
      </c>
      <c r="Q683">
        <v>4.2561999999999998</v>
      </c>
      <c r="R683">
        <v>0.68100000000000005</v>
      </c>
      <c r="S683" t="s">
        <v>3478</v>
      </c>
      <c r="T683">
        <v>6</v>
      </c>
      <c r="U683" t="s">
        <v>89</v>
      </c>
      <c r="W683" t="s">
        <v>754</v>
      </c>
    </row>
    <row r="684" spans="1:23" outlineLevel="2" x14ac:dyDescent="0.25">
      <c r="A684" t="s">
        <v>82</v>
      </c>
      <c r="B684" t="s">
        <v>83</v>
      </c>
      <c r="C684">
        <v>30</v>
      </c>
      <c r="D684" t="s">
        <v>84</v>
      </c>
      <c r="E684">
        <v>184</v>
      </c>
      <c r="F684" t="s">
        <v>85</v>
      </c>
      <c r="G684">
        <v>9216</v>
      </c>
      <c r="H684" t="s">
        <v>43</v>
      </c>
      <c r="I684">
        <v>1000009216</v>
      </c>
      <c r="J684">
        <v>29469613</v>
      </c>
      <c r="K684" t="s">
        <v>1924</v>
      </c>
      <c r="L684" t="s">
        <v>752</v>
      </c>
      <c r="M684" t="s">
        <v>88</v>
      </c>
      <c r="N684">
        <v>136.5</v>
      </c>
      <c r="O684">
        <v>14.22</v>
      </c>
      <c r="P684">
        <v>2.2799999999999998</v>
      </c>
      <c r="Q684">
        <v>4.2561999999999998</v>
      </c>
      <c r="R684">
        <v>0.68100000000000005</v>
      </c>
      <c r="S684" t="s">
        <v>3480</v>
      </c>
      <c r="T684">
        <v>6</v>
      </c>
      <c r="U684" t="s">
        <v>89</v>
      </c>
      <c r="W684" t="s">
        <v>754</v>
      </c>
    </row>
    <row r="685" spans="1:23" outlineLevel="2" x14ac:dyDescent="0.25">
      <c r="A685" t="s">
        <v>82</v>
      </c>
      <c r="B685" t="s">
        <v>83</v>
      </c>
      <c r="C685">
        <v>30</v>
      </c>
      <c r="D685" t="s">
        <v>84</v>
      </c>
      <c r="E685">
        <v>184</v>
      </c>
      <c r="F685" t="s">
        <v>85</v>
      </c>
      <c r="G685">
        <v>9216</v>
      </c>
      <c r="H685" t="s">
        <v>43</v>
      </c>
      <c r="I685">
        <v>1000009216</v>
      </c>
      <c r="J685">
        <v>29470946</v>
      </c>
      <c r="K685" t="s">
        <v>1954</v>
      </c>
      <c r="L685" t="s">
        <v>752</v>
      </c>
      <c r="M685" t="s">
        <v>88</v>
      </c>
      <c r="N685">
        <v>194.5</v>
      </c>
      <c r="O685">
        <v>14.22</v>
      </c>
      <c r="P685">
        <v>2.2799999999999998</v>
      </c>
      <c r="Q685">
        <v>4.2561999999999998</v>
      </c>
      <c r="R685">
        <v>0.68100000000000005</v>
      </c>
      <c r="S685" t="s">
        <v>3482</v>
      </c>
      <c r="T685">
        <v>6</v>
      </c>
      <c r="U685" t="s">
        <v>89</v>
      </c>
      <c r="W685" t="s">
        <v>754</v>
      </c>
    </row>
    <row r="686" spans="1:23" outlineLevel="2" x14ac:dyDescent="0.25">
      <c r="A686" t="s">
        <v>82</v>
      </c>
      <c r="B686" t="s">
        <v>83</v>
      </c>
      <c r="C686">
        <v>30</v>
      </c>
      <c r="D686" t="s">
        <v>84</v>
      </c>
      <c r="E686">
        <v>184</v>
      </c>
      <c r="F686" t="s">
        <v>85</v>
      </c>
      <c r="G686">
        <v>9216</v>
      </c>
      <c r="H686" t="s">
        <v>43</v>
      </c>
      <c r="I686">
        <v>1000009216</v>
      </c>
      <c r="J686">
        <v>29474082</v>
      </c>
      <c r="K686" t="s">
        <v>2011</v>
      </c>
      <c r="L686" t="s">
        <v>752</v>
      </c>
      <c r="M686" t="s">
        <v>88</v>
      </c>
      <c r="N686">
        <v>94.5</v>
      </c>
      <c r="O686">
        <v>14.22</v>
      </c>
      <c r="P686">
        <v>2.2799999999999998</v>
      </c>
      <c r="Q686">
        <v>4.2561999999999998</v>
      </c>
      <c r="R686">
        <v>0.68100000000000005</v>
      </c>
      <c r="S686" t="s">
        <v>3484</v>
      </c>
      <c r="T686">
        <v>6</v>
      </c>
      <c r="U686" t="s">
        <v>89</v>
      </c>
      <c r="W686" t="s">
        <v>754</v>
      </c>
    </row>
    <row r="687" spans="1:23" outlineLevel="2" x14ac:dyDescent="0.25">
      <c r="A687" t="s">
        <v>82</v>
      </c>
      <c r="B687" t="s">
        <v>83</v>
      </c>
      <c r="C687">
        <v>30</v>
      </c>
      <c r="D687" t="s">
        <v>84</v>
      </c>
      <c r="E687">
        <v>184</v>
      </c>
      <c r="F687" t="s">
        <v>85</v>
      </c>
      <c r="G687">
        <v>9216</v>
      </c>
      <c r="H687" t="s">
        <v>43</v>
      </c>
      <c r="I687">
        <v>1000009216</v>
      </c>
      <c r="J687">
        <v>29475595</v>
      </c>
      <c r="K687" t="s">
        <v>2034</v>
      </c>
      <c r="L687" t="s">
        <v>752</v>
      </c>
      <c r="M687" t="s">
        <v>88</v>
      </c>
      <c r="N687">
        <v>875.5</v>
      </c>
      <c r="O687">
        <v>14.22</v>
      </c>
      <c r="P687">
        <v>2.2799999999999998</v>
      </c>
      <c r="Q687">
        <v>4.2561999999999998</v>
      </c>
      <c r="R687">
        <v>0.68100000000000005</v>
      </c>
      <c r="S687" t="s">
        <v>3486</v>
      </c>
      <c r="T687">
        <v>6</v>
      </c>
      <c r="U687" t="s">
        <v>89</v>
      </c>
      <c r="W687" t="s">
        <v>754</v>
      </c>
    </row>
    <row r="688" spans="1:23" outlineLevel="2" x14ac:dyDescent="0.25">
      <c r="A688" t="s">
        <v>82</v>
      </c>
      <c r="B688" t="s">
        <v>83</v>
      </c>
      <c r="C688">
        <v>30</v>
      </c>
      <c r="D688" t="s">
        <v>84</v>
      </c>
      <c r="E688">
        <v>184</v>
      </c>
      <c r="F688" t="s">
        <v>85</v>
      </c>
      <c r="G688">
        <v>9216</v>
      </c>
      <c r="H688" t="s">
        <v>43</v>
      </c>
      <c r="I688">
        <v>1000009216</v>
      </c>
      <c r="J688">
        <v>29487985</v>
      </c>
      <c r="K688" t="s">
        <v>2159</v>
      </c>
      <c r="L688" t="s">
        <v>752</v>
      </c>
      <c r="M688" t="s">
        <v>88</v>
      </c>
      <c r="N688">
        <v>99.5</v>
      </c>
      <c r="O688">
        <v>14.22</v>
      </c>
      <c r="P688">
        <v>2.2799999999999998</v>
      </c>
      <c r="Q688">
        <v>4.2561999999999998</v>
      </c>
      <c r="R688">
        <v>0.68100000000000005</v>
      </c>
      <c r="S688" t="s">
        <v>3488</v>
      </c>
      <c r="T688">
        <v>6</v>
      </c>
      <c r="U688" t="s">
        <v>89</v>
      </c>
      <c r="W688" t="s">
        <v>754</v>
      </c>
    </row>
    <row r="689" spans="1:23" outlineLevel="2" x14ac:dyDescent="0.25">
      <c r="A689" t="s">
        <v>82</v>
      </c>
      <c r="B689" t="s">
        <v>83</v>
      </c>
      <c r="C689">
        <v>30</v>
      </c>
      <c r="D689" t="s">
        <v>84</v>
      </c>
      <c r="E689">
        <v>184</v>
      </c>
      <c r="F689" t="s">
        <v>85</v>
      </c>
      <c r="G689">
        <v>9216</v>
      </c>
      <c r="H689" t="s">
        <v>43</v>
      </c>
      <c r="I689">
        <v>1000009216</v>
      </c>
      <c r="J689">
        <v>29488588</v>
      </c>
      <c r="K689" t="s">
        <v>2165</v>
      </c>
      <c r="L689" t="s">
        <v>752</v>
      </c>
      <c r="M689" t="s">
        <v>88</v>
      </c>
      <c r="N689">
        <v>456.5</v>
      </c>
      <c r="O689">
        <v>14.22</v>
      </c>
      <c r="P689">
        <v>2.2799999999999998</v>
      </c>
      <c r="Q689">
        <v>4.2561999999999998</v>
      </c>
      <c r="R689">
        <v>0.68100000000000005</v>
      </c>
      <c r="S689" t="s">
        <v>3490</v>
      </c>
      <c r="T689">
        <v>6</v>
      </c>
      <c r="U689" t="s">
        <v>89</v>
      </c>
      <c r="W689" t="s">
        <v>754</v>
      </c>
    </row>
    <row r="690" spans="1:23" outlineLevel="2" x14ac:dyDescent="0.25">
      <c r="A690" t="s">
        <v>82</v>
      </c>
      <c r="B690" t="s">
        <v>83</v>
      </c>
      <c r="C690">
        <v>30</v>
      </c>
      <c r="D690" t="s">
        <v>84</v>
      </c>
      <c r="E690">
        <v>184</v>
      </c>
      <c r="F690" t="s">
        <v>85</v>
      </c>
      <c r="G690">
        <v>9216</v>
      </c>
      <c r="H690" t="s">
        <v>43</v>
      </c>
      <c r="I690">
        <v>1000009216</v>
      </c>
      <c r="J690">
        <v>29500128</v>
      </c>
      <c r="K690" t="s">
        <v>2256</v>
      </c>
      <c r="L690" t="s">
        <v>752</v>
      </c>
      <c r="M690" t="s">
        <v>88</v>
      </c>
      <c r="N690">
        <v>136.5</v>
      </c>
      <c r="O690">
        <v>14.22</v>
      </c>
      <c r="P690">
        <v>2.2799999999999998</v>
      </c>
      <c r="Q690">
        <v>4.2561999999999998</v>
      </c>
      <c r="R690">
        <v>0.68100000000000005</v>
      </c>
      <c r="S690" t="s">
        <v>3492</v>
      </c>
      <c r="T690">
        <v>6</v>
      </c>
      <c r="U690" t="s">
        <v>89</v>
      </c>
      <c r="W690" t="s">
        <v>754</v>
      </c>
    </row>
    <row r="691" spans="1:23" outlineLevel="2" x14ac:dyDescent="0.25">
      <c r="A691" s="8" t="s">
        <v>82</v>
      </c>
      <c r="B691" s="8" t="s">
        <v>83</v>
      </c>
      <c r="C691" s="8">
        <v>30</v>
      </c>
      <c r="D691" s="8" t="s">
        <v>84</v>
      </c>
      <c r="E691" s="8">
        <v>184</v>
      </c>
      <c r="F691" s="8" t="s">
        <v>85</v>
      </c>
      <c r="G691" s="8">
        <v>9216</v>
      </c>
      <c r="H691" s="8" t="s">
        <v>43</v>
      </c>
      <c r="I691" s="8">
        <v>1000009216</v>
      </c>
      <c r="J691" s="8">
        <v>29502280</v>
      </c>
      <c r="K691" s="8" t="s">
        <v>2272</v>
      </c>
      <c r="L691" s="8" t="s">
        <v>752</v>
      </c>
      <c r="M691" s="8" t="s">
        <v>88</v>
      </c>
      <c r="N691" s="8">
        <v>93.5</v>
      </c>
      <c r="O691" s="8">
        <v>14.22</v>
      </c>
      <c r="P691" s="8">
        <v>2.2799999999999998</v>
      </c>
      <c r="Q691" s="8">
        <v>4.2561999999999998</v>
      </c>
      <c r="R691" s="8">
        <v>0.68100000000000005</v>
      </c>
      <c r="S691" s="8" t="s">
        <v>3521</v>
      </c>
      <c r="T691" s="8">
        <v>6</v>
      </c>
      <c r="U691" s="8" t="s">
        <v>89</v>
      </c>
      <c r="V691" s="8"/>
      <c r="W691" t="s">
        <v>754</v>
      </c>
    </row>
    <row r="692" spans="1:23" x14ac:dyDescent="0.25">
      <c r="A692" s="8"/>
      <c r="B692" s="8"/>
      <c r="C692" s="8"/>
      <c r="D692" s="8"/>
      <c r="E692" s="8"/>
      <c r="F692" s="8"/>
      <c r="G692" s="8"/>
      <c r="H692" s="10" t="s">
        <v>553</v>
      </c>
      <c r="I692" s="8"/>
      <c r="J692" s="8"/>
      <c r="K692" s="8"/>
      <c r="L692" s="8"/>
      <c r="M692" s="8"/>
      <c r="N692" s="8">
        <f>SUBTOTAL(9,N4:N691)</f>
        <v>166564</v>
      </c>
      <c r="O692" s="8"/>
      <c r="P692" s="8"/>
      <c r="Q692" s="8">
        <f>COUNT(O3:O691)</f>
        <v>688</v>
      </c>
      <c r="R692" s="8">
        <f>Q692*4.94</f>
        <v>3398.7200000000003</v>
      </c>
      <c r="S692" s="73">
        <f>N692-R692</f>
        <v>163165.28</v>
      </c>
      <c r="T692" s="8"/>
      <c r="U692" s="8"/>
      <c r="V692" s="8"/>
    </row>
  </sheetData>
  <sortState xmlns:xlrd2="http://schemas.microsoft.com/office/spreadsheetml/2017/richdata2" ref="A4:V691">
    <sortCondition ref="H4:H691"/>
    <sortCondition ref="K4:K69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E9681-07F7-4107-8E1F-BAC74D13EDF7}">
  <dimension ref="A2:H687"/>
  <sheetViews>
    <sheetView workbookViewId="0">
      <selection sqref="A1:A1048576"/>
    </sheetView>
    <sheetView workbookViewId="1"/>
  </sheetViews>
  <sheetFormatPr baseColWidth="10" defaultRowHeight="15" x14ac:dyDescent="0.25"/>
  <cols>
    <col min="1" max="1" width="5" bestFit="1" customWidth="1"/>
    <col min="2" max="2" width="10.7109375" bestFit="1" customWidth="1"/>
    <col min="3" max="3" width="13" bestFit="1" customWidth="1"/>
    <col min="4" max="4" width="10.5703125" bestFit="1" customWidth="1"/>
    <col min="5" max="5" width="37.28515625" bestFit="1" customWidth="1"/>
    <col min="6" max="6" width="19.42578125" bestFit="1" customWidth="1"/>
    <col min="7" max="7" width="11.7109375" bestFit="1" customWidth="1"/>
  </cols>
  <sheetData>
    <row r="2" spans="1:8" x14ac:dyDescent="0.25">
      <c r="A2" t="s">
        <v>744</v>
      </c>
      <c r="B2" t="s">
        <v>19</v>
      </c>
      <c r="C2" t="s">
        <v>745</v>
      </c>
      <c r="D2" t="s">
        <v>750</v>
      </c>
      <c r="E2" t="s">
        <v>746</v>
      </c>
      <c r="F2" t="s">
        <v>748</v>
      </c>
      <c r="G2" t="s">
        <v>751</v>
      </c>
    </row>
    <row r="3" spans="1:8" x14ac:dyDescent="0.25">
      <c r="A3">
        <v>11</v>
      </c>
      <c r="B3" s="52">
        <v>44774</v>
      </c>
      <c r="C3" s="18">
        <v>1.545138888888889E-2</v>
      </c>
      <c r="D3">
        <v>1731604</v>
      </c>
      <c r="E3" t="s">
        <v>722</v>
      </c>
      <c r="F3" t="s">
        <v>749</v>
      </c>
      <c r="G3">
        <v>1</v>
      </c>
      <c r="H3" t="s">
        <v>754</v>
      </c>
    </row>
    <row r="4" spans="1:8" x14ac:dyDescent="0.25">
      <c r="A4">
        <v>11</v>
      </c>
      <c r="B4" s="52">
        <v>44774</v>
      </c>
      <c r="C4" s="18">
        <v>0.51245370370370369</v>
      </c>
      <c r="D4">
        <v>1731717</v>
      </c>
      <c r="E4" t="s">
        <v>703</v>
      </c>
      <c r="F4" t="s">
        <v>749</v>
      </c>
      <c r="G4">
        <v>1</v>
      </c>
      <c r="H4" t="s">
        <v>754</v>
      </c>
    </row>
    <row r="5" spans="1:8" x14ac:dyDescent="0.25">
      <c r="A5">
        <v>11</v>
      </c>
      <c r="B5" s="52">
        <v>44774</v>
      </c>
      <c r="C5" s="18">
        <v>0.51418981481481485</v>
      </c>
      <c r="D5">
        <v>1731718</v>
      </c>
      <c r="E5" t="s">
        <v>703</v>
      </c>
      <c r="F5" t="s">
        <v>749</v>
      </c>
      <c r="G5">
        <v>1</v>
      </c>
      <c r="H5" t="s">
        <v>754</v>
      </c>
    </row>
    <row r="6" spans="1:8" x14ac:dyDescent="0.25">
      <c r="A6">
        <v>11</v>
      </c>
      <c r="B6" s="52">
        <v>44774</v>
      </c>
      <c r="C6" s="18">
        <v>0.51585648148148155</v>
      </c>
      <c r="D6">
        <v>1731719</v>
      </c>
      <c r="E6" t="s">
        <v>703</v>
      </c>
      <c r="F6" t="s">
        <v>749</v>
      </c>
      <c r="G6">
        <v>1</v>
      </c>
      <c r="H6" t="s">
        <v>754</v>
      </c>
    </row>
    <row r="7" spans="1:8" x14ac:dyDescent="0.25">
      <c r="A7">
        <v>11</v>
      </c>
      <c r="B7" s="52">
        <v>44776</v>
      </c>
      <c r="C7" s="18">
        <v>0.53689814814814818</v>
      </c>
      <c r="D7">
        <v>1732506</v>
      </c>
      <c r="E7" t="s">
        <v>703</v>
      </c>
      <c r="F7" t="s">
        <v>749</v>
      </c>
      <c r="G7">
        <v>1</v>
      </c>
      <c r="H7" t="s">
        <v>754</v>
      </c>
    </row>
    <row r="8" spans="1:8" x14ac:dyDescent="0.25">
      <c r="A8">
        <v>11</v>
      </c>
      <c r="B8" s="52">
        <v>44776</v>
      </c>
      <c r="C8" s="18">
        <v>0.6404050925925926</v>
      </c>
      <c r="D8">
        <v>1732572</v>
      </c>
      <c r="E8" t="s">
        <v>703</v>
      </c>
      <c r="F8" t="s">
        <v>749</v>
      </c>
      <c r="G8">
        <v>1</v>
      </c>
      <c r="H8" t="s">
        <v>754</v>
      </c>
    </row>
    <row r="9" spans="1:8" x14ac:dyDescent="0.25">
      <c r="A9">
        <v>11</v>
      </c>
      <c r="B9" s="52">
        <v>44777</v>
      </c>
      <c r="C9" s="18">
        <v>0.38523148148148145</v>
      </c>
      <c r="D9">
        <v>1732856</v>
      </c>
      <c r="E9" t="s">
        <v>703</v>
      </c>
      <c r="F9" t="s">
        <v>749</v>
      </c>
      <c r="G9">
        <v>1</v>
      </c>
      <c r="H9" t="s">
        <v>754</v>
      </c>
    </row>
    <row r="10" spans="1:8" x14ac:dyDescent="0.25">
      <c r="A10">
        <v>11</v>
      </c>
      <c r="B10" s="52">
        <v>44777</v>
      </c>
      <c r="C10" s="18">
        <v>0.73818287037037045</v>
      </c>
      <c r="D10">
        <v>1733017</v>
      </c>
      <c r="E10" t="s">
        <v>703</v>
      </c>
      <c r="F10" t="s">
        <v>749</v>
      </c>
      <c r="G10">
        <v>1</v>
      </c>
      <c r="H10" t="s">
        <v>754</v>
      </c>
    </row>
    <row r="11" spans="1:8" x14ac:dyDescent="0.25">
      <c r="A11">
        <v>11</v>
      </c>
      <c r="B11" s="52">
        <v>44777</v>
      </c>
      <c r="C11" s="18">
        <v>0.74230324074074072</v>
      </c>
      <c r="D11">
        <v>1733020</v>
      </c>
      <c r="E11" t="s">
        <v>703</v>
      </c>
      <c r="F11" t="s">
        <v>749</v>
      </c>
      <c r="G11">
        <v>1</v>
      </c>
      <c r="H11" t="s">
        <v>754</v>
      </c>
    </row>
    <row r="12" spans="1:8" x14ac:dyDescent="0.25">
      <c r="A12">
        <v>11</v>
      </c>
      <c r="B12" s="52">
        <v>44777</v>
      </c>
      <c r="C12" s="18">
        <v>0.92043981481481485</v>
      </c>
      <c r="D12">
        <v>1733135</v>
      </c>
      <c r="E12" t="s">
        <v>706</v>
      </c>
      <c r="F12" t="s">
        <v>749</v>
      </c>
      <c r="G12">
        <v>1</v>
      </c>
      <c r="H12" t="s">
        <v>754</v>
      </c>
    </row>
    <row r="13" spans="1:8" x14ac:dyDescent="0.25">
      <c r="A13">
        <v>11</v>
      </c>
      <c r="B13" s="52">
        <v>44778</v>
      </c>
      <c r="C13" s="18">
        <v>0.30865740740740738</v>
      </c>
      <c r="D13">
        <v>1733231</v>
      </c>
      <c r="E13" t="s">
        <v>703</v>
      </c>
      <c r="F13" t="s">
        <v>749</v>
      </c>
      <c r="G13">
        <v>1</v>
      </c>
      <c r="H13" t="s">
        <v>754</v>
      </c>
    </row>
    <row r="14" spans="1:8" x14ac:dyDescent="0.25">
      <c r="A14">
        <v>11</v>
      </c>
      <c r="B14" s="52">
        <v>44778</v>
      </c>
      <c r="C14" s="18">
        <v>0.35788194444444449</v>
      </c>
      <c r="D14">
        <v>1733246</v>
      </c>
      <c r="E14" t="s">
        <v>703</v>
      </c>
      <c r="F14" t="s">
        <v>749</v>
      </c>
      <c r="G14">
        <v>1</v>
      </c>
      <c r="H14" t="s">
        <v>754</v>
      </c>
    </row>
    <row r="15" spans="1:8" x14ac:dyDescent="0.25">
      <c r="A15">
        <v>11</v>
      </c>
      <c r="B15" s="52">
        <v>44778</v>
      </c>
      <c r="C15" s="18">
        <v>0.35947916666666663</v>
      </c>
      <c r="D15">
        <v>1733247</v>
      </c>
      <c r="E15" t="s">
        <v>703</v>
      </c>
      <c r="F15" t="s">
        <v>749</v>
      </c>
      <c r="G15">
        <v>1</v>
      </c>
      <c r="H15" t="s">
        <v>754</v>
      </c>
    </row>
    <row r="16" spans="1:8" x14ac:dyDescent="0.25">
      <c r="A16">
        <v>11</v>
      </c>
      <c r="B16" s="52">
        <v>44778</v>
      </c>
      <c r="C16" s="18">
        <v>0.36633101851851851</v>
      </c>
      <c r="D16">
        <v>1733248</v>
      </c>
      <c r="E16" t="s">
        <v>703</v>
      </c>
      <c r="F16" t="s">
        <v>749</v>
      </c>
      <c r="G16">
        <v>1</v>
      </c>
      <c r="H16" t="s">
        <v>754</v>
      </c>
    </row>
    <row r="17" spans="1:8" x14ac:dyDescent="0.25">
      <c r="A17">
        <v>11</v>
      </c>
      <c r="B17" s="52">
        <v>44778</v>
      </c>
      <c r="C17" s="18">
        <v>0.42910879629629628</v>
      </c>
      <c r="D17">
        <v>1733266</v>
      </c>
      <c r="E17" t="s">
        <v>703</v>
      </c>
      <c r="F17" t="s">
        <v>749</v>
      </c>
      <c r="G17">
        <v>1</v>
      </c>
      <c r="H17" t="s">
        <v>754</v>
      </c>
    </row>
    <row r="18" spans="1:8" x14ac:dyDescent="0.25">
      <c r="A18">
        <v>11</v>
      </c>
      <c r="B18" s="52">
        <v>44778</v>
      </c>
      <c r="C18" s="18">
        <v>0.55917824074074074</v>
      </c>
      <c r="D18">
        <v>1733336</v>
      </c>
      <c r="E18" t="s">
        <v>703</v>
      </c>
      <c r="F18" t="s">
        <v>749</v>
      </c>
      <c r="G18">
        <v>1</v>
      </c>
      <c r="H18" t="s">
        <v>754</v>
      </c>
    </row>
    <row r="19" spans="1:8" x14ac:dyDescent="0.25">
      <c r="A19">
        <v>11</v>
      </c>
      <c r="B19" s="52">
        <v>44778</v>
      </c>
      <c r="C19" s="18">
        <v>0.57687500000000003</v>
      </c>
      <c r="D19">
        <v>1733346</v>
      </c>
      <c r="E19" t="s">
        <v>703</v>
      </c>
      <c r="F19" t="s">
        <v>749</v>
      </c>
      <c r="G19">
        <v>1</v>
      </c>
      <c r="H19" t="s">
        <v>754</v>
      </c>
    </row>
    <row r="20" spans="1:8" x14ac:dyDescent="0.25">
      <c r="A20">
        <v>11</v>
      </c>
      <c r="B20" s="52">
        <v>44778</v>
      </c>
      <c r="C20" s="18">
        <v>0.85478009259259258</v>
      </c>
      <c r="D20">
        <v>1733486</v>
      </c>
      <c r="E20" t="s">
        <v>706</v>
      </c>
      <c r="F20" t="s">
        <v>749</v>
      </c>
      <c r="G20">
        <v>1</v>
      </c>
      <c r="H20" t="s">
        <v>754</v>
      </c>
    </row>
    <row r="21" spans="1:8" x14ac:dyDescent="0.25">
      <c r="A21">
        <v>11</v>
      </c>
      <c r="B21" s="52">
        <v>44778</v>
      </c>
      <c r="C21" s="18">
        <v>0.86813657407407396</v>
      </c>
      <c r="D21">
        <v>1733495</v>
      </c>
      <c r="E21" t="s">
        <v>706</v>
      </c>
      <c r="F21" t="s">
        <v>749</v>
      </c>
      <c r="G21">
        <v>1</v>
      </c>
      <c r="H21" t="s">
        <v>754</v>
      </c>
    </row>
    <row r="22" spans="1:8" x14ac:dyDescent="0.25">
      <c r="A22">
        <v>21</v>
      </c>
      <c r="B22" s="52">
        <v>44774</v>
      </c>
      <c r="C22" s="18">
        <v>0.48736111111111113</v>
      </c>
      <c r="D22">
        <v>1457307</v>
      </c>
      <c r="E22" t="s">
        <v>707</v>
      </c>
      <c r="F22" t="s">
        <v>749</v>
      </c>
      <c r="G22">
        <v>1</v>
      </c>
      <c r="H22" t="s">
        <v>754</v>
      </c>
    </row>
    <row r="23" spans="1:8" x14ac:dyDescent="0.25">
      <c r="A23">
        <v>21</v>
      </c>
      <c r="B23" s="52">
        <v>44774</v>
      </c>
      <c r="C23" s="18">
        <v>0.54996527777777782</v>
      </c>
      <c r="D23">
        <v>1457326</v>
      </c>
      <c r="E23" t="s">
        <v>707</v>
      </c>
      <c r="F23" t="s">
        <v>749</v>
      </c>
      <c r="G23">
        <v>1</v>
      </c>
      <c r="H23" t="s">
        <v>754</v>
      </c>
    </row>
    <row r="24" spans="1:8" x14ac:dyDescent="0.25">
      <c r="A24">
        <v>21</v>
      </c>
      <c r="B24" s="52">
        <v>44774</v>
      </c>
      <c r="C24" s="18">
        <v>0.89723379629629629</v>
      </c>
      <c r="D24">
        <v>1457449</v>
      </c>
      <c r="E24" t="s">
        <v>893</v>
      </c>
      <c r="F24" t="s">
        <v>749</v>
      </c>
      <c r="G24">
        <v>1</v>
      </c>
      <c r="H24" t="s">
        <v>754</v>
      </c>
    </row>
    <row r="25" spans="1:8" x14ac:dyDescent="0.25">
      <c r="A25">
        <v>21</v>
      </c>
      <c r="B25" s="52">
        <v>44776</v>
      </c>
      <c r="C25" s="18">
        <v>0.7990624999999999</v>
      </c>
      <c r="D25">
        <v>1457926</v>
      </c>
      <c r="E25" t="s">
        <v>707</v>
      </c>
      <c r="F25" t="s">
        <v>749</v>
      </c>
      <c r="G25">
        <v>1</v>
      </c>
      <c r="H25" t="s">
        <v>754</v>
      </c>
    </row>
    <row r="26" spans="1:8" x14ac:dyDescent="0.25">
      <c r="A26">
        <v>21</v>
      </c>
      <c r="B26" s="52">
        <v>44776</v>
      </c>
      <c r="C26" s="18">
        <v>0.87631944444444443</v>
      </c>
      <c r="D26">
        <v>1457962</v>
      </c>
      <c r="E26" t="s">
        <v>731</v>
      </c>
      <c r="F26" t="s">
        <v>749</v>
      </c>
      <c r="G26">
        <v>1</v>
      </c>
      <c r="H26" t="s">
        <v>754</v>
      </c>
    </row>
    <row r="27" spans="1:8" x14ac:dyDescent="0.25">
      <c r="A27">
        <v>21</v>
      </c>
      <c r="B27" s="52">
        <v>44778</v>
      </c>
      <c r="C27" s="18">
        <v>0.30146990740740742</v>
      </c>
      <c r="D27">
        <v>1458270</v>
      </c>
      <c r="E27" t="s">
        <v>707</v>
      </c>
      <c r="F27" t="s">
        <v>749</v>
      </c>
      <c r="G27">
        <v>1</v>
      </c>
      <c r="H27" t="s">
        <v>754</v>
      </c>
    </row>
    <row r="28" spans="1:8" x14ac:dyDescent="0.25">
      <c r="A28">
        <v>21</v>
      </c>
      <c r="B28" s="52">
        <v>44778</v>
      </c>
      <c r="C28" s="18">
        <v>0.34008101851851852</v>
      </c>
      <c r="D28">
        <v>1458277</v>
      </c>
      <c r="E28" t="s">
        <v>707</v>
      </c>
      <c r="F28" t="s">
        <v>749</v>
      </c>
      <c r="G28">
        <v>1</v>
      </c>
      <c r="H28" t="s">
        <v>754</v>
      </c>
    </row>
    <row r="29" spans="1:8" x14ac:dyDescent="0.25">
      <c r="A29">
        <v>21</v>
      </c>
      <c r="B29" s="52">
        <v>44778</v>
      </c>
      <c r="C29" s="18">
        <v>0.38844907407407409</v>
      </c>
      <c r="D29">
        <v>1458289</v>
      </c>
      <c r="E29" t="s">
        <v>707</v>
      </c>
      <c r="F29" t="s">
        <v>749</v>
      </c>
      <c r="G29">
        <v>1</v>
      </c>
      <c r="H29" t="s">
        <v>754</v>
      </c>
    </row>
    <row r="30" spans="1:8" x14ac:dyDescent="0.25">
      <c r="A30">
        <v>21</v>
      </c>
      <c r="B30" s="52">
        <v>44778</v>
      </c>
      <c r="C30" s="18">
        <v>0.39782407407407411</v>
      </c>
      <c r="D30">
        <v>1458292</v>
      </c>
      <c r="E30" t="s">
        <v>707</v>
      </c>
      <c r="F30" t="s">
        <v>749</v>
      </c>
      <c r="G30">
        <v>1</v>
      </c>
      <c r="H30" t="s">
        <v>754</v>
      </c>
    </row>
    <row r="31" spans="1:8" x14ac:dyDescent="0.25">
      <c r="A31">
        <v>21</v>
      </c>
      <c r="B31" s="52">
        <v>44778</v>
      </c>
      <c r="C31" s="18">
        <v>0.57837962962962963</v>
      </c>
      <c r="D31">
        <v>1458360</v>
      </c>
      <c r="E31" t="s">
        <v>707</v>
      </c>
      <c r="F31" t="s">
        <v>749</v>
      </c>
      <c r="G31">
        <v>1</v>
      </c>
      <c r="H31" t="s">
        <v>754</v>
      </c>
    </row>
    <row r="32" spans="1:8" x14ac:dyDescent="0.25">
      <c r="A32">
        <v>21</v>
      </c>
      <c r="B32" s="52">
        <v>44778</v>
      </c>
      <c r="C32" s="18">
        <v>0.5958796296296297</v>
      </c>
      <c r="D32">
        <v>1458365</v>
      </c>
      <c r="E32" t="s">
        <v>707</v>
      </c>
      <c r="F32" t="s">
        <v>749</v>
      </c>
      <c r="G32">
        <v>1</v>
      </c>
      <c r="H32" t="s">
        <v>754</v>
      </c>
    </row>
    <row r="33" spans="1:8" x14ac:dyDescent="0.25">
      <c r="A33">
        <v>21</v>
      </c>
      <c r="B33" s="52">
        <v>44778</v>
      </c>
      <c r="C33" s="18">
        <v>0.75211805555555555</v>
      </c>
      <c r="D33">
        <v>1458420</v>
      </c>
      <c r="E33" t="s">
        <v>707</v>
      </c>
      <c r="F33" t="s">
        <v>749</v>
      </c>
      <c r="G33">
        <v>1</v>
      </c>
      <c r="H33" t="s">
        <v>754</v>
      </c>
    </row>
    <row r="34" spans="1:8" x14ac:dyDescent="0.25">
      <c r="A34">
        <v>21</v>
      </c>
      <c r="B34" s="52">
        <v>44778</v>
      </c>
      <c r="C34" s="18">
        <v>0.86857638888888899</v>
      </c>
      <c r="D34">
        <v>1458470</v>
      </c>
      <c r="E34" t="s">
        <v>893</v>
      </c>
      <c r="F34" t="s">
        <v>749</v>
      </c>
      <c r="G34">
        <v>1</v>
      </c>
      <c r="H34" t="s">
        <v>754</v>
      </c>
    </row>
    <row r="35" spans="1:8" x14ac:dyDescent="0.25">
      <c r="A35">
        <v>21</v>
      </c>
      <c r="B35" s="52">
        <v>44779</v>
      </c>
      <c r="C35" s="18">
        <v>0.47098379629629633</v>
      </c>
      <c r="D35">
        <v>1458610</v>
      </c>
      <c r="E35" t="s">
        <v>707</v>
      </c>
      <c r="F35" t="s">
        <v>749</v>
      </c>
      <c r="G35">
        <v>1</v>
      </c>
      <c r="H35" t="s">
        <v>754</v>
      </c>
    </row>
    <row r="36" spans="1:8" x14ac:dyDescent="0.25">
      <c r="A36">
        <v>21</v>
      </c>
      <c r="B36" s="52">
        <v>44780</v>
      </c>
      <c r="C36" s="18">
        <v>0.92332175925925919</v>
      </c>
      <c r="D36">
        <v>1459139</v>
      </c>
      <c r="E36" t="s">
        <v>893</v>
      </c>
      <c r="F36" t="s">
        <v>749</v>
      </c>
      <c r="G36">
        <v>1</v>
      </c>
      <c r="H36" t="s">
        <v>754</v>
      </c>
    </row>
    <row r="37" spans="1:8" x14ac:dyDescent="0.25">
      <c r="A37">
        <v>31</v>
      </c>
      <c r="B37" s="52">
        <v>44776</v>
      </c>
      <c r="C37" s="18">
        <v>0.49009259259259258</v>
      </c>
      <c r="D37">
        <v>1506005</v>
      </c>
      <c r="E37" t="s">
        <v>894</v>
      </c>
      <c r="F37" t="s">
        <v>749</v>
      </c>
      <c r="G37">
        <v>1</v>
      </c>
      <c r="H37" t="s">
        <v>754</v>
      </c>
    </row>
    <row r="38" spans="1:8" x14ac:dyDescent="0.25">
      <c r="A38">
        <v>31</v>
      </c>
      <c r="B38" s="52">
        <v>44776</v>
      </c>
      <c r="C38" s="18">
        <v>0.51217592592592587</v>
      </c>
      <c r="D38">
        <v>1506015</v>
      </c>
      <c r="E38" t="s">
        <v>894</v>
      </c>
      <c r="F38" t="s">
        <v>749</v>
      </c>
      <c r="G38">
        <v>1</v>
      </c>
      <c r="H38" t="s">
        <v>754</v>
      </c>
    </row>
    <row r="39" spans="1:8" x14ac:dyDescent="0.25">
      <c r="A39">
        <v>31</v>
      </c>
      <c r="B39" s="52">
        <v>44777</v>
      </c>
      <c r="C39" s="18">
        <v>0.35752314814814817</v>
      </c>
      <c r="D39">
        <v>1506224</v>
      </c>
      <c r="E39" t="s">
        <v>894</v>
      </c>
      <c r="F39" t="s">
        <v>749</v>
      </c>
      <c r="G39">
        <v>1</v>
      </c>
      <c r="H39" t="s">
        <v>754</v>
      </c>
    </row>
    <row r="40" spans="1:8" x14ac:dyDescent="0.25">
      <c r="A40">
        <v>31</v>
      </c>
      <c r="B40" s="52">
        <v>44777</v>
      </c>
      <c r="C40" s="18">
        <v>0.35828703703703701</v>
      </c>
      <c r="D40">
        <v>1506225</v>
      </c>
      <c r="E40" t="s">
        <v>894</v>
      </c>
      <c r="F40" t="s">
        <v>749</v>
      </c>
      <c r="G40">
        <v>1</v>
      </c>
      <c r="H40" t="s">
        <v>754</v>
      </c>
    </row>
    <row r="41" spans="1:8" x14ac:dyDescent="0.25">
      <c r="A41">
        <v>31</v>
      </c>
      <c r="B41" s="52">
        <v>44777</v>
      </c>
      <c r="C41" s="18">
        <v>0.3598958333333333</v>
      </c>
      <c r="D41">
        <v>1506227</v>
      </c>
      <c r="E41" t="s">
        <v>894</v>
      </c>
      <c r="F41" t="s">
        <v>749</v>
      </c>
      <c r="G41">
        <v>1</v>
      </c>
      <c r="H41" t="s">
        <v>754</v>
      </c>
    </row>
    <row r="42" spans="1:8" x14ac:dyDescent="0.25">
      <c r="A42">
        <v>31</v>
      </c>
      <c r="B42" s="52">
        <v>44777</v>
      </c>
      <c r="C42" s="18">
        <v>0.70202546296296298</v>
      </c>
      <c r="D42">
        <v>1506332</v>
      </c>
      <c r="E42" t="s">
        <v>895</v>
      </c>
      <c r="F42" t="s">
        <v>749</v>
      </c>
      <c r="G42">
        <v>1</v>
      </c>
      <c r="H42" t="s">
        <v>754</v>
      </c>
    </row>
    <row r="43" spans="1:8" x14ac:dyDescent="0.25">
      <c r="A43">
        <v>31</v>
      </c>
      <c r="B43" s="52">
        <v>44778</v>
      </c>
      <c r="C43" s="18">
        <v>0.34532407407407412</v>
      </c>
      <c r="D43">
        <v>1506504</v>
      </c>
      <c r="E43" t="s">
        <v>894</v>
      </c>
      <c r="F43" t="s">
        <v>749</v>
      </c>
      <c r="G43">
        <v>1</v>
      </c>
      <c r="H43" t="s">
        <v>754</v>
      </c>
    </row>
    <row r="44" spans="1:8" x14ac:dyDescent="0.25">
      <c r="A44">
        <v>31</v>
      </c>
      <c r="B44" s="52">
        <v>44778</v>
      </c>
      <c r="C44" s="18">
        <v>0.3480671296296296</v>
      </c>
      <c r="D44">
        <v>1506506</v>
      </c>
      <c r="E44" t="s">
        <v>894</v>
      </c>
      <c r="F44" t="s">
        <v>749</v>
      </c>
      <c r="G44">
        <v>1</v>
      </c>
      <c r="H44" t="s">
        <v>754</v>
      </c>
    </row>
    <row r="45" spans="1:8" x14ac:dyDescent="0.25">
      <c r="A45">
        <v>31</v>
      </c>
      <c r="B45" s="52">
        <v>44778</v>
      </c>
      <c r="C45" s="18">
        <v>0.34952546296296294</v>
      </c>
      <c r="D45">
        <v>1506508</v>
      </c>
      <c r="E45" t="s">
        <v>894</v>
      </c>
      <c r="F45" t="s">
        <v>749</v>
      </c>
      <c r="G45">
        <v>1</v>
      </c>
      <c r="H45" t="s">
        <v>754</v>
      </c>
    </row>
    <row r="46" spans="1:8" x14ac:dyDescent="0.25">
      <c r="A46">
        <v>31</v>
      </c>
      <c r="B46" s="52">
        <v>44778</v>
      </c>
      <c r="C46" s="18">
        <v>0.35157407407407404</v>
      </c>
      <c r="D46">
        <v>1506511</v>
      </c>
      <c r="E46" t="s">
        <v>894</v>
      </c>
      <c r="F46" t="s">
        <v>749</v>
      </c>
      <c r="G46">
        <v>1</v>
      </c>
      <c r="H46" t="s">
        <v>754</v>
      </c>
    </row>
    <row r="47" spans="1:8" x14ac:dyDescent="0.25">
      <c r="A47">
        <v>31</v>
      </c>
      <c r="B47" s="52">
        <v>44778</v>
      </c>
      <c r="C47" s="18">
        <v>0.3694560185185185</v>
      </c>
      <c r="D47">
        <v>1506518</v>
      </c>
      <c r="E47" t="s">
        <v>894</v>
      </c>
      <c r="F47" t="s">
        <v>749</v>
      </c>
      <c r="G47">
        <v>1</v>
      </c>
      <c r="H47" t="s">
        <v>754</v>
      </c>
    </row>
    <row r="48" spans="1:8" x14ac:dyDescent="0.25">
      <c r="A48">
        <v>31</v>
      </c>
      <c r="B48" s="52">
        <v>44778</v>
      </c>
      <c r="C48" s="18">
        <v>0.3739467592592593</v>
      </c>
      <c r="D48">
        <v>1506520</v>
      </c>
      <c r="E48" t="s">
        <v>894</v>
      </c>
      <c r="F48" t="s">
        <v>749</v>
      </c>
      <c r="G48">
        <v>1</v>
      </c>
      <c r="H48" t="s">
        <v>754</v>
      </c>
    </row>
    <row r="49" spans="1:8" x14ac:dyDescent="0.25">
      <c r="A49">
        <v>31</v>
      </c>
      <c r="B49" s="52">
        <v>44778</v>
      </c>
      <c r="C49" s="18">
        <v>0.37582175925925926</v>
      </c>
      <c r="D49">
        <v>1506521</v>
      </c>
      <c r="E49" t="s">
        <v>894</v>
      </c>
      <c r="F49" t="s">
        <v>749</v>
      </c>
      <c r="G49">
        <v>1</v>
      </c>
      <c r="H49" t="s">
        <v>754</v>
      </c>
    </row>
    <row r="50" spans="1:8" x14ac:dyDescent="0.25">
      <c r="A50">
        <v>31</v>
      </c>
      <c r="B50" s="52">
        <v>44778</v>
      </c>
      <c r="C50" s="18">
        <v>0.3868402777777778</v>
      </c>
      <c r="D50">
        <v>1506523</v>
      </c>
      <c r="E50" t="s">
        <v>894</v>
      </c>
      <c r="F50" t="s">
        <v>749</v>
      </c>
      <c r="G50">
        <v>1</v>
      </c>
      <c r="H50" t="s">
        <v>754</v>
      </c>
    </row>
    <row r="51" spans="1:8" x14ac:dyDescent="0.25">
      <c r="A51">
        <v>31</v>
      </c>
      <c r="B51" s="52">
        <v>44778</v>
      </c>
      <c r="C51" s="18">
        <v>0.38843749999999999</v>
      </c>
      <c r="D51">
        <v>1506524</v>
      </c>
      <c r="E51" t="s">
        <v>894</v>
      </c>
      <c r="F51" t="s">
        <v>749</v>
      </c>
      <c r="G51">
        <v>1</v>
      </c>
      <c r="H51" t="s">
        <v>754</v>
      </c>
    </row>
    <row r="52" spans="1:8" x14ac:dyDescent="0.25">
      <c r="A52">
        <v>31</v>
      </c>
      <c r="B52" s="52">
        <v>44778</v>
      </c>
      <c r="C52" s="18">
        <v>0.39271990740740742</v>
      </c>
      <c r="D52">
        <v>1506525</v>
      </c>
      <c r="E52" t="s">
        <v>894</v>
      </c>
      <c r="F52" t="s">
        <v>749</v>
      </c>
      <c r="G52">
        <v>1</v>
      </c>
      <c r="H52" t="s">
        <v>754</v>
      </c>
    </row>
    <row r="53" spans="1:8" x14ac:dyDescent="0.25">
      <c r="A53">
        <v>31</v>
      </c>
      <c r="B53" s="52">
        <v>44778</v>
      </c>
      <c r="C53" s="18">
        <v>0.40016203703703707</v>
      </c>
      <c r="D53">
        <v>1506527</v>
      </c>
      <c r="E53" t="s">
        <v>894</v>
      </c>
      <c r="F53" t="s">
        <v>749</v>
      </c>
      <c r="G53">
        <v>1</v>
      </c>
      <c r="H53" t="s">
        <v>754</v>
      </c>
    </row>
    <row r="54" spans="1:8" x14ac:dyDescent="0.25">
      <c r="A54">
        <v>31</v>
      </c>
      <c r="B54" s="52">
        <v>44778</v>
      </c>
      <c r="C54" s="18">
        <v>0.43623842592592593</v>
      </c>
      <c r="D54">
        <v>1506540</v>
      </c>
      <c r="E54" t="s">
        <v>894</v>
      </c>
      <c r="F54" t="s">
        <v>749</v>
      </c>
      <c r="G54">
        <v>1</v>
      </c>
      <c r="H54" t="s">
        <v>754</v>
      </c>
    </row>
    <row r="55" spans="1:8" x14ac:dyDescent="0.25">
      <c r="A55">
        <v>31</v>
      </c>
      <c r="B55" s="52">
        <v>44778</v>
      </c>
      <c r="C55" s="18">
        <v>0.4510763888888889</v>
      </c>
      <c r="D55">
        <v>1506542</v>
      </c>
      <c r="E55" t="s">
        <v>894</v>
      </c>
      <c r="F55" t="s">
        <v>749</v>
      </c>
      <c r="G55">
        <v>1</v>
      </c>
      <c r="H55" t="s">
        <v>754</v>
      </c>
    </row>
    <row r="56" spans="1:8" x14ac:dyDescent="0.25">
      <c r="A56">
        <v>31</v>
      </c>
      <c r="B56" s="52">
        <v>44778</v>
      </c>
      <c r="C56" s="18">
        <v>0.4660069444444444</v>
      </c>
      <c r="D56">
        <v>1506546</v>
      </c>
      <c r="E56" t="s">
        <v>894</v>
      </c>
      <c r="F56" t="s">
        <v>749</v>
      </c>
      <c r="G56">
        <v>1</v>
      </c>
      <c r="H56" t="s">
        <v>754</v>
      </c>
    </row>
    <row r="57" spans="1:8" x14ac:dyDescent="0.25">
      <c r="A57">
        <v>31</v>
      </c>
      <c r="B57" s="52">
        <v>44778</v>
      </c>
      <c r="C57" s="18">
        <v>0.49186342592592597</v>
      </c>
      <c r="D57">
        <v>1506558</v>
      </c>
      <c r="E57" t="s">
        <v>894</v>
      </c>
      <c r="F57" t="s">
        <v>749</v>
      </c>
      <c r="G57">
        <v>1</v>
      </c>
      <c r="H57" t="s">
        <v>754</v>
      </c>
    </row>
    <row r="58" spans="1:8" x14ac:dyDescent="0.25">
      <c r="A58">
        <v>31</v>
      </c>
      <c r="B58" s="52">
        <v>44778</v>
      </c>
      <c r="C58" s="18">
        <v>0.54827546296296303</v>
      </c>
      <c r="D58">
        <v>1506578</v>
      </c>
      <c r="E58" t="s">
        <v>894</v>
      </c>
      <c r="F58" t="s">
        <v>749</v>
      </c>
      <c r="G58">
        <v>1</v>
      </c>
      <c r="H58" t="s">
        <v>754</v>
      </c>
    </row>
    <row r="59" spans="1:8" x14ac:dyDescent="0.25">
      <c r="A59">
        <v>31</v>
      </c>
      <c r="B59" s="52">
        <v>44778</v>
      </c>
      <c r="C59" s="18">
        <v>0.57142361111111117</v>
      </c>
      <c r="D59">
        <v>1506587</v>
      </c>
      <c r="E59" t="s">
        <v>894</v>
      </c>
      <c r="F59" t="s">
        <v>749</v>
      </c>
      <c r="G59">
        <v>1</v>
      </c>
      <c r="H59" t="s">
        <v>754</v>
      </c>
    </row>
    <row r="60" spans="1:8" x14ac:dyDescent="0.25">
      <c r="A60">
        <v>41</v>
      </c>
      <c r="B60" s="52">
        <v>44774</v>
      </c>
      <c r="C60" s="18">
        <v>0.39664351851851848</v>
      </c>
      <c r="D60">
        <v>2693133</v>
      </c>
      <c r="E60" t="s">
        <v>708</v>
      </c>
      <c r="F60" t="s">
        <v>749</v>
      </c>
      <c r="G60">
        <v>1</v>
      </c>
      <c r="H60" t="s">
        <v>754</v>
      </c>
    </row>
    <row r="61" spans="1:8" x14ac:dyDescent="0.25">
      <c r="A61">
        <v>41</v>
      </c>
      <c r="B61" s="52">
        <v>44774</v>
      </c>
      <c r="C61" s="18">
        <v>0.50739583333333338</v>
      </c>
      <c r="D61">
        <v>2693228</v>
      </c>
      <c r="E61" t="s">
        <v>708</v>
      </c>
      <c r="F61" t="s">
        <v>749</v>
      </c>
      <c r="G61">
        <v>1</v>
      </c>
      <c r="H61" t="s">
        <v>754</v>
      </c>
    </row>
    <row r="62" spans="1:8" x14ac:dyDescent="0.25">
      <c r="A62">
        <v>41</v>
      </c>
      <c r="B62" s="52">
        <v>44774</v>
      </c>
      <c r="C62" s="18">
        <v>0.63237268518518519</v>
      </c>
      <c r="D62">
        <v>2693352</v>
      </c>
      <c r="E62" t="s">
        <v>715</v>
      </c>
      <c r="F62" t="s">
        <v>749</v>
      </c>
      <c r="G62">
        <v>1</v>
      </c>
      <c r="H62" t="s">
        <v>754</v>
      </c>
    </row>
    <row r="63" spans="1:8" x14ac:dyDescent="0.25">
      <c r="A63">
        <v>41</v>
      </c>
      <c r="B63" s="52">
        <v>44774</v>
      </c>
      <c r="C63" s="18">
        <v>0.74311342592592589</v>
      </c>
      <c r="D63">
        <v>2693430</v>
      </c>
      <c r="E63" t="s">
        <v>708</v>
      </c>
      <c r="F63" t="s">
        <v>749</v>
      </c>
      <c r="G63">
        <v>1</v>
      </c>
      <c r="H63" t="s">
        <v>754</v>
      </c>
    </row>
    <row r="64" spans="1:8" x14ac:dyDescent="0.25">
      <c r="A64">
        <v>41</v>
      </c>
      <c r="B64" s="52">
        <v>44774</v>
      </c>
      <c r="C64" s="18">
        <v>0.76937500000000003</v>
      </c>
      <c r="D64">
        <v>2693455</v>
      </c>
      <c r="E64" t="s">
        <v>708</v>
      </c>
      <c r="F64" t="s">
        <v>749</v>
      </c>
      <c r="G64">
        <v>1</v>
      </c>
      <c r="H64" t="s">
        <v>754</v>
      </c>
    </row>
    <row r="65" spans="1:8" x14ac:dyDescent="0.25">
      <c r="A65">
        <v>41</v>
      </c>
      <c r="B65" s="52">
        <v>44774</v>
      </c>
      <c r="C65" s="18">
        <v>0.78619212962962959</v>
      </c>
      <c r="D65">
        <v>2693468</v>
      </c>
      <c r="E65" t="s">
        <v>708</v>
      </c>
      <c r="F65" t="s">
        <v>749</v>
      </c>
      <c r="G65">
        <v>1</v>
      </c>
      <c r="H65" t="s">
        <v>754</v>
      </c>
    </row>
    <row r="66" spans="1:8" x14ac:dyDescent="0.25">
      <c r="A66">
        <v>41</v>
      </c>
      <c r="B66" s="52">
        <v>44774</v>
      </c>
      <c r="C66" s="18">
        <v>0.7876967592592593</v>
      </c>
      <c r="D66">
        <v>2693470</v>
      </c>
      <c r="E66" t="s">
        <v>708</v>
      </c>
      <c r="F66" t="s">
        <v>749</v>
      </c>
      <c r="G66">
        <v>1</v>
      </c>
      <c r="H66" t="s">
        <v>754</v>
      </c>
    </row>
    <row r="67" spans="1:8" x14ac:dyDescent="0.25">
      <c r="A67">
        <v>41</v>
      </c>
      <c r="B67" s="52">
        <v>44775</v>
      </c>
      <c r="C67" s="18">
        <v>0.38726851851851851</v>
      </c>
      <c r="D67">
        <v>2693696</v>
      </c>
      <c r="E67" t="s">
        <v>708</v>
      </c>
      <c r="F67" t="s">
        <v>749</v>
      </c>
      <c r="G67">
        <v>1</v>
      </c>
      <c r="H67" t="s">
        <v>754</v>
      </c>
    </row>
    <row r="68" spans="1:8" x14ac:dyDescent="0.25">
      <c r="A68">
        <v>41</v>
      </c>
      <c r="B68" s="52">
        <v>44775</v>
      </c>
      <c r="C68" s="18">
        <v>0.5087962962962963</v>
      </c>
      <c r="D68">
        <v>2693775</v>
      </c>
      <c r="E68" t="s">
        <v>708</v>
      </c>
      <c r="F68" t="s">
        <v>749</v>
      </c>
      <c r="G68">
        <v>1</v>
      </c>
      <c r="H68" t="s">
        <v>754</v>
      </c>
    </row>
    <row r="69" spans="1:8" x14ac:dyDescent="0.25">
      <c r="A69">
        <v>41</v>
      </c>
      <c r="B69" s="52">
        <v>44775</v>
      </c>
      <c r="C69" s="18">
        <v>0.51087962962962963</v>
      </c>
      <c r="D69">
        <v>2693778</v>
      </c>
      <c r="E69" t="s">
        <v>708</v>
      </c>
      <c r="F69" t="s">
        <v>749</v>
      </c>
      <c r="G69">
        <v>1</v>
      </c>
      <c r="H69" t="s">
        <v>754</v>
      </c>
    </row>
    <row r="70" spans="1:8" x14ac:dyDescent="0.25">
      <c r="A70">
        <v>41</v>
      </c>
      <c r="B70" s="52">
        <v>44775</v>
      </c>
      <c r="C70" s="18">
        <v>0.57186342592592598</v>
      </c>
      <c r="D70">
        <v>2693823</v>
      </c>
      <c r="E70" t="s">
        <v>708</v>
      </c>
      <c r="F70" t="s">
        <v>749</v>
      </c>
      <c r="G70">
        <v>1</v>
      </c>
      <c r="H70" t="s">
        <v>754</v>
      </c>
    </row>
    <row r="71" spans="1:8" x14ac:dyDescent="0.25">
      <c r="A71">
        <v>41</v>
      </c>
      <c r="B71" s="52">
        <v>44775</v>
      </c>
      <c r="C71" s="18">
        <v>0.57357638888888884</v>
      </c>
      <c r="D71">
        <v>2693824</v>
      </c>
      <c r="E71" t="s">
        <v>708</v>
      </c>
      <c r="F71" t="s">
        <v>749</v>
      </c>
      <c r="G71">
        <v>1</v>
      </c>
      <c r="H71" t="s">
        <v>754</v>
      </c>
    </row>
    <row r="72" spans="1:8" x14ac:dyDescent="0.25">
      <c r="A72">
        <v>41</v>
      </c>
      <c r="B72" s="52">
        <v>44775</v>
      </c>
      <c r="C72" s="18">
        <v>0.61563657407407402</v>
      </c>
      <c r="D72">
        <v>2693866</v>
      </c>
      <c r="E72" t="s">
        <v>708</v>
      </c>
      <c r="F72" t="s">
        <v>749</v>
      </c>
      <c r="G72">
        <v>1</v>
      </c>
      <c r="H72" t="s">
        <v>754</v>
      </c>
    </row>
    <row r="73" spans="1:8" x14ac:dyDescent="0.25">
      <c r="A73">
        <v>41</v>
      </c>
      <c r="B73" s="52">
        <v>44775</v>
      </c>
      <c r="C73" s="18">
        <v>0.75343749999999998</v>
      </c>
      <c r="D73">
        <v>2693961</v>
      </c>
      <c r="E73" t="s">
        <v>708</v>
      </c>
      <c r="F73" t="s">
        <v>749</v>
      </c>
      <c r="G73">
        <v>1</v>
      </c>
      <c r="H73" t="s">
        <v>754</v>
      </c>
    </row>
    <row r="74" spans="1:8" x14ac:dyDescent="0.25">
      <c r="A74">
        <v>41</v>
      </c>
      <c r="B74" s="52">
        <v>44775</v>
      </c>
      <c r="C74" s="18">
        <v>0.78187499999999999</v>
      </c>
      <c r="D74">
        <v>2693983</v>
      </c>
      <c r="E74" t="s">
        <v>710</v>
      </c>
      <c r="F74" t="s">
        <v>749</v>
      </c>
      <c r="G74">
        <v>1</v>
      </c>
    </row>
    <row r="75" spans="1:8" x14ac:dyDescent="0.25">
      <c r="A75">
        <v>41</v>
      </c>
      <c r="B75" s="52">
        <v>44776</v>
      </c>
      <c r="C75" s="18">
        <v>0.46271990740740737</v>
      </c>
      <c r="D75">
        <v>2694227</v>
      </c>
      <c r="E75" t="s">
        <v>896</v>
      </c>
      <c r="F75" t="s">
        <v>749</v>
      </c>
      <c r="G75">
        <v>1</v>
      </c>
      <c r="H75" t="s">
        <v>754</v>
      </c>
    </row>
    <row r="76" spans="1:8" x14ac:dyDescent="0.25">
      <c r="A76">
        <v>41</v>
      </c>
      <c r="B76" s="52">
        <v>44776</v>
      </c>
      <c r="C76" s="18">
        <v>0.60256944444444438</v>
      </c>
      <c r="D76">
        <v>2694333</v>
      </c>
      <c r="E76" t="s">
        <v>896</v>
      </c>
      <c r="F76" t="s">
        <v>749</v>
      </c>
      <c r="G76">
        <v>1</v>
      </c>
      <c r="H76" t="s">
        <v>754</v>
      </c>
    </row>
    <row r="77" spans="1:8" x14ac:dyDescent="0.25">
      <c r="A77">
        <v>41</v>
      </c>
      <c r="B77" s="52">
        <v>44776</v>
      </c>
      <c r="C77" s="18">
        <v>0.7718518518518519</v>
      </c>
      <c r="D77">
        <v>2694439</v>
      </c>
      <c r="E77" t="s">
        <v>896</v>
      </c>
      <c r="F77" t="s">
        <v>749</v>
      </c>
      <c r="G77">
        <v>1</v>
      </c>
      <c r="H77" t="s">
        <v>754</v>
      </c>
    </row>
    <row r="78" spans="1:8" x14ac:dyDescent="0.25">
      <c r="A78">
        <v>41</v>
      </c>
      <c r="B78" s="52">
        <v>44777</v>
      </c>
      <c r="C78" s="18">
        <v>0.37927083333333328</v>
      </c>
      <c r="D78">
        <v>2694656</v>
      </c>
      <c r="E78" t="s">
        <v>708</v>
      </c>
      <c r="F78" t="s">
        <v>749</v>
      </c>
      <c r="G78">
        <v>1</v>
      </c>
      <c r="H78" t="s">
        <v>754</v>
      </c>
    </row>
    <row r="79" spans="1:8" x14ac:dyDescent="0.25">
      <c r="A79">
        <v>41</v>
      </c>
      <c r="B79" s="52">
        <v>44777</v>
      </c>
      <c r="C79" s="18">
        <v>0.37973379629629633</v>
      </c>
      <c r="D79">
        <v>2694657</v>
      </c>
      <c r="E79" t="s">
        <v>708</v>
      </c>
      <c r="F79" t="s">
        <v>749</v>
      </c>
      <c r="G79">
        <v>1</v>
      </c>
      <c r="H79" t="s">
        <v>754</v>
      </c>
    </row>
    <row r="80" spans="1:8" x14ac:dyDescent="0.25">
      <c r="A80">
        <v>41</v>
      </c>
      <c r="B80" s="52">
        <v>44778</v>
      </c>
      <c r="C80" s="18">
        <v>0.31736111111111115</v>
      </c>
      <c r="D80">
        <v>2695155</v>
      </c>
      <c r="E80" t="s">
        <v>896</v>
      </c>
      <c r="F80" t="s">
        <v>749</v>
      </c>
      <c r="G80">
        <v>1</v>
      </c>
      <c r="H80" t="s">
        <v>754</v>
      </c>
    </row>
    <row r="81" spans="1:8" x14ac:dyDescent="0.25">
      <c r="A81">
        <v>41</v>
      </c>
      <c r="B81" s="52">
        <v>44778</v>
      </c>
      <c r="C81" s="18">
        <v>0.31853009259259263</v>
      </c>
      <c r="D81">
        <v>2695156</v>
      </c>
      <c r="E81" t="s">
        <v>896</v>
      </c>
      <c r="F81" t="s">
        <v>749</v>
      </c>
      <c r="G81">
        <v>1</v>
      </c>
      <c r="H81" t="s">
        <v>754</v>
      </c>
    </row>
    <row r="82" spans="1:8" x14ac:dyDescent="0.25">
      <c r="A82">
        <v>41</v>
      </c>
      <c r="B82" s="52">
        <v>44778</v>
      </c>
      <c r="C82" s="18">
        <v>0.31949074074074074</v>
      </c>
      <c r="D82">
        <v>2695157</v>
      </c>
      <c r="E82" t="s">
        <v>896</v>
      </c>
      <c r="F82" t="s">
        <v>749</v>
      </c>
      <c r="G82">
        <v>1</v>
      </c>
      <c r="H82" t="s">
        <v>754</v>
      </c>
    </row>
    <row r="83" spans="1:8" x14ac:dyDescent="0.25">
      <c r="A83">
        <v>41</v>
      </c>
      <c r="B83" s="52">
        <v>44778</v>
      </c>
      <c r="C83" s="18">
        <v>0.32099537037037035</v>
      </c>
      <c r="D83">
        <v>2695158</v>
      </c>
      <c r="E83" t="s">
        <v>896</v>
      </c>
      <c r="F83" t="s">
        <v>749</v>
      </c>
      <c r="G83">
        <v>1</v>
      </c>
      <c r="H83" t="s">
        <v>754</v>
      </c>
    </row>
    <row r="84" spans="1:8" x14ac:dyDescent="0.25">
      <c r="A84">
        <v>41</v>
      </c>
      <c r="B84" s="52">
        <v>44778</v>
      </c>
      <c r="C84" s="18">
        <v>0.37981481481481483</v>
      </c>
      <c r="D84">
        <v>2695184</v>
      </c>
      <c r="E84" t="s">
        <v>896</v>
      </c>
      <c r="F84" t="s">
        <v>749</v>
      </c>
      <c r="G84">
        <v>1</v>
      </c>
      <c r="H84" t="s">
        <v>754</v>
      </c>
    </row>
    <row r="85" spans="1:8" x14ac:dyDescent="0.25">
      <c r="A85">
        <v>41</v>
      </c>
      <c r="B85" s="52">
        <v>44778</v>
      </c>
      <c r="C85" s="18">
        <v>0.38740740740740742</v>
      </c>
      <c r="D85">
        <v>2695186</v>
      </c>
      <c r="E85" t="s">
        <v>896</v>
      </c>
      <c r="F85" t="s">
        <v>749</v>
      </c>
      <c r="G85">
        <v>1</v>
      </c>
      <c r="H85" t="s">
        <v>754</v>
      </c>
    </row>
    <row r="86" spans="1:8" x14ac:dyDescent="0.25">
      <c r="A86">
        <v>41</v>
      </c>
      <c r="B86" s="52">
        <v>44778</v>
      </c>
      <c r="C86" s="18">
        <v>0.40749999999999997</v>
      </c>
      <c r="D86">
        <v>2695198</v>
      </c>
      <c r="E86" t="s">
        <v>896</v>
      </c>
      <c r="F86" t="s">
        <v>749</v>
      </c>
      <c r="G86">
        <v>1</v>
      </c>
      <c r="H86" t="s">
        <v>754</v>
      </c>
    </row>
    <row r="87" spans="1:8" x14ac:dyDescent="0.25">
      <c r="A87">
        <v>41</v>
      </c>
      <c r="B87" s="52">
        <v>44778</v>
      </c>
      <c r="C87" s="18">
        <v>0.40908564814814818</v>
      </c>
      <c r="D87">
        <v>2695199</v>
      </c>
      <c r="E87" t="s">
        <v>896</v>
      </c>
      <c r="F87" t="s">
        <v>749</v>
      </c>
      <c r="G87">
        <v>1</v>
      </c>
      <c r="H87" t="s">
        <v>754</v>
      </c>
    </row>
    <row r="88" spans="1:8" x14ac:dyDescent="0.25">
      <c r="A88">
        <v>41</v>
      </c>
      <c r="B88" s="52">
        <v>44778</v>
      </c>
      <c r="C88" s="18">
        <v>0.42515046296296299</v>
      </c>
      <c r="D88">
        <v>2695215</v>
      </c>
      <c r="E88" t="s">
        <v>896</v>
      </c>
      <c r="F88" t="s">
        <v>749</v>
      </c>
      <c r="G88">
        <v>1</v>
      </c>
      <c r="H88" t="s">
        <v>754</v>
      </c>
    </row>
    <row r="89" spans="1:8" x14ac:dyDescent="0.25">
      <c r="A89">
        <v>41</v>
      </c>
      <c r="B89" s="52">
        <v>44778</v>
      </c>
      <c r="C89" s="18">
        <v>0.47245370370370371</v>
      </c>
      <c r="D89">
        <v>2695250</v>
      </c>
      <c r="E89" t="s">
        <v>896</v>
      </c>
      <c r="F89" t="s">
        <v>749</v>
      </c>
      <c r="G89">
        <v>1</v>
      </c>
      <c r="H89" t="s">
        <v>754</v>
      </c>
    </row>
    <row r="90" spans="1:8" x14ac:dyDescent="0.25">
      <c r="A90">
        <v>41</v>
      </c>
      <c r="B90" s="52">
        <v>44778</v>
      </c>
      <c r="C90" s="18">
        <v>0.47523148148148148</v>
      </c>
      <c r="D90">
        <v>2695252</v>
      </c>
      <c r="E90" t="s">
        <v>896</v>
      </c>
      <c r="F90" t="s">
        <v>749</v>
      </c>
      <c r="G90">
        <v>1</v>
      </c>
      <c r="H90" t="s">
        <v>754</v>
      </c>
    </row>
    <row r="91" spans="1:8" x14ac:dyDescent="0.25">
      <c r="A91">
        <v>41</v>
      </c>
      <c r="B91" s="52">
        <v>44778</v>
      </c>
      <c r="C91" s="18">
        <v>0.6114236111111111</v>
      </c>
      <c r="D91">
        <v>2695371</v>
      </c>
      <c r="E91" t="s">
        <v>896</v>
      </c>
      <c r="F91" t="s">
        <v>749</v>
      </c>
      <c r="G91">
        <v>1</v>
      </c>
      <c r="H91" t="s">
        <v>754</v>
      </c>
    </row>
    <row r="92" spans="1:8" x14ac:dyDescent="0.25">
      <c r="A92">
        <v>41</v>
      </c>
      <c r="B92" s="52">
        <v>44778</v>
      </c>
      <c r="C92" s="18">
        <v>0.66844907407407417</v>
      </c>
      <c r="D92">
        <v>2695413</v>
      </c>
      <c r="E92" t="s">
        <v>896</v>
      </c>
      <c r="F92" t="s">
        <v>749</v>
      </c>
      <c r="G92">
        <v>1</v>
      </c>
      <c r="H92" t="s">
        <v>754</v>
      </c>
    </row>
    <row r="93" spans="1:8" x14ac:dyDescent="0.25">
      <c r="A93">
        <v>41</v>
      </c>
      <c r="B93" s="52">
        <v>44778</v>
      </c>
      <c r="C93" s="18">
        <v>0.73745370370370367</v>
      </c>
      <c r="D93">
        <v>2695456</v>
      </c>
      <c r="E93" t="s">
        <v>896</v>
      </c>
      <c r="F93" t="s">
        <v>749</v>
      </c>
      <c r="G93">
        <v>1</v>
      </c>
      <c r="H93" t="s">
        <v>754</v>
      </c>
    </row>
    <row r="94" spans="1:8" x14ac:dyDescent="0.25">
      <c r="A94">
        <v>41</v>
      </c>
      <c r="B94" s="52">
        <v>44778</v>
      </c>
      <c r="C94" s="18">
        <v>0.74403935185185188</v>
      </c>
      <c r="D94">
        <v>2695458</v>
      </c>
      <c r="E94" t="s">
        <v>896</v>
      </c>
      <c r="F94" t="s">
        <v>749</v>
      </c>
      <c r="G94">
        <v>1</v>
      </c>
      <c r="H94" t="s">
        <v>754</v>
      </c>
    </row>
    <row r="95" spans="1:8" x14ac:dyDescent="0.25">
      <c r="A95">
        <v>41</v>
      </c>
      <c r="B95" s="52">
        <v>44779</v>
      </c>
      <c r="C95" s="18">
        <v>0.40322916666666669</v>
      </c>
      <c r="D95">
        <v>2695710</v>
      </c>
      <c r="E95" t="s">
        <v>896</v>
      </c>
      <c r="F95" t="s">
        <v>749</v>
      </c>
      <c r="G95">
        <v>1</v>
      </c>
      <c r="H95" t="s">
        <v>754</v>
      </c>
    </row>
    <row r="96" spans="1:8" x14ac:dyDescent="0.25">
      <c r="A96">
        <v>41</v>
      </c>
      <c r="B96" s="52">
        <v>44780</v>
      </c>
      <c r="C96" s="18">
        <v>0.85464120370370367</v>
      </c>
      <c r="D96">
        <v>2696564</v>
      </c>
      <c r="E96" t="s">
        <v>710</v>
      </c>
      <c r="F96" t="s">
        <v>749</v>
      </c>
      <c r="G96">
        <v>1</v>
      </c>
      <c r="H96" t="s">
        <v>754</v>
      </c>
    </row>
    <row r="97" spans="1:8" x14ac:dyDescent="0.25">
      <c r="A97">
        <v>51</v>
      </c>
      <c r="B97" s="52">
        <v>44776</v>
      </c>
      <c r="C97" s="18">
        <v>0.46607638888888886</v>
      </c>
      <c r="D97">
        <v>1459319</v>
      </c>
      <c r="E97" t="s">
        <v>897</v>
      </c>
      <c r="F97" t="s">
        <v>749</v>
      </c>
      <c r="G97">
        <v>1</v>
      </c>
      <c r="H97" t="s">
        <v>754</v>
      </c>
    </row>
    <row r="98" spans="1:8" x14ac:dyDescent="0.25">
      <c r="A98">
        <v>51</v>
      </c>
      <c r="B98" s="52">
        <v>44776</v>
      </c>
      <c r="C98" s="18">
        <v>0.62706018518518525</v>
      </c>
      <c r="D98">
        <v>1459439</v>
      </c>
      <c r="E98" t="s">
        <v>897</v>
      </c>
      <c r="F98" t="s">
        <v>749</v>
      </c>
      <c r="G98">
        <v>1</v>
      </c>
      <c r="H98" t="s">
        <v>754</v>
      </c>
    </row>
    <row r="99" spans="1:8" x14ac:dyDescent="0.25">
      <c r="A99">
        <v>51</v>
      </c>
      <c r="B99" s="52">
        <v>44777</v>
      </c>
      <c r="C99" s="18">
        <v>0.59560185185185188</v>
      </c>
      <c r="D99">
        <v>1459866</v>
      </c>
      <c r="E99" t="s">
        <v>711</v>
      </c>
      <c r="F99" t="s">
        <v>749</v>
      </c>
      <c r="G99">
        <v>1</v>
      </c>
      <c r="H99" t="s">
        <v>754</v>
      </c>
    </row>
    <row r="100" spans="1:8" x14ac:dyDescent="0.25">
      <c r="A100">
        <v>51</v>
      </c>
      <c r="B100" s="52">
        <v>44777</v>
      </c>
      <c r="C100" s="18">
        <v>0.74741898148148145</v>
      </c>
      <c r="D100">
        <v>1459927</v>
      </c>
      <c r="E100" t="s">
        <v>897</v>
      </c>
      <c r="F100" t="s">
        <v>749</v>
      </c>
      <c r="G100">
        <v>1</v>
      </c>
      <c r="H100" t="s">
        <v>754</v>
      </c>
    </row>
    <row r="101" spans="1:8" x14ac:dyDescent="0.25">
      <c r="A101">
        <v>51</v>
      </c>
      <c r="B101" s="52">
        <v>44777</v>
      </c>
      <c r="C101" s="18">
        <v>0.75810185185185175</v>
      </c>
      <c r="D101">
        <v>1459932</v>
      </c>
      <c r="E101" t="s">
        <v>897</v>
      </c>
      <c r="F101" t="s">
        <v>749</v>
      </c>
      <c r="G101">
        <v>1</v>
      </c>
      <c r="H101" t="s">
        <v>754</v>
      </c>
    </row>
    <row r="102" spans="1:8" x14ac:dyDescent="0.25">
      <c r="A102">
        <v>51</v>
      </c>
      <c r="B102" s="52">
        <v>44777</v>
      </c>
      <c r="C102" s="18">
        <v>0.76929398148148154</v>
      </c>
      <c r="D102">
        <v>1459943</v>
      </c>
      <c r="E102" t="s">
        <v>897</v>
      </c>
      <c r="F102" t="s">
        <v>749</v>
      </c>
      <c r="G102">
        <v>1</v>
      </c>
      <c r="H102" t="s">
        <v>754</v>
      </c>
    </row>
    <row r="103" spans="1:8" x14ac:dyDescent="0.25">
      <c r="A103">
        <v>51</v>
      </c>
      <c r="B103" s="52">
        <v>44777</v>
      </c>
      <c r="C103" s="18">
        <v>0.83199074074074064</v>
      </c>
      <c r="D103">
        <v>1459973</v>
      </c>
      <c r="E103" t="s">
        <v>897</v>
      </c>
      <c r="F103" t="s">
        <v>749</v>
      </c>
      <c r="G103">
        <v>1</v>
      </c>
      <c r="H103" t="s">
        <v>754</v>
      </c>
    </row>
    <row r="104" spans="1:8" x14ac:dyDescent="0.25">
      <c r="A104">
        <v>51</v>
      </c>
      <c r="B104" s="52">
        <v>44777</v>
      </c>
      <c r="C104" s="18">
        <v>0.83542824074074085</v>
      </c>
      <c r="D104">
        <v>1459977</v>
      </c>
      <c r="E104" t="s">
        <v>897</v>
      </c>
      <c r="F104" t="s">
        <v>749</v>
      </c>
      <c r="G104">
        <v>1</v>
      </c>
      <c r="H104" t="s">
        <v>754</v>
      </c>
    </row>
    <row r="105" spans="1:8" x14ac:dyDescent="0.25">
      <c r="A105">
        <v>51</v>
      </c>
      <c r="B105" s="52">
        <v>44777</v>
      </c>
      <c r="C105" s="18">
        <v>0.87696759259259249</v>
      </c>
      <c r="D105">
        <v>1460014</v>
      </c>
      <c r="E105" t="s">
        <v>897</v>
      </c>
      <c r="F105" t="s">
        <v>749</v>
      </c>
      <c r="G105">
        <v>1</v>
      </c>
      <c r="H105" t="s">
        <v>754</v>
      </c>
    </row>
    <row r="106" spans="1:8" x14ac:dyDescent="0.25">
      <c r="A106">
        <v>51</v>
      </c>
      <c r="B106" s="52">
        <v>44777</v>
      </c>
      <c r="C106" s="18">
        <v>0.895625</v>
      </c>
      <c r="D106">
        <v>1460029</v>
      </c>
      <c r="E106" t="s">
        <v>722</v>
      </c>
      <c r="F106" t="s">
        <v>749</v>
      </c>
      <c r="G106">
        <v>1</v>
      </c>
      <c r="H106" t="s">
        <v>754</v>
      </c>
    </row>
    <row r="107" spans="1:8" x14ac:dyDescent="0.25">
      <c r="A107">
        <v>51</v>
      </c>
      <c r="B107" s="52">
        <v>44778</v>
      </c>
      <c r="C107" s="18">
        <v>0.3742476851851852</v>
      </c>
      <c r="D107">
        <v>1460172</v>
      </c>
      <c r="E107" t="s">
        <v>711</v>
      </c>
      <c r="F107" t="s">
        <v>749</v>
      </c>
      <c r="G107">
        <v>1</v>
      </c>
      <c r="H107" t="s">
        <v>754</v>
      </c>
    </row>
    <row r="108" spans="1:8" x14ac:dyDescent="0.25">
      <c r="A108">
        <v>51</v>
      </c>
      <c r="B108" s="52">
        <v>44778</v>
      </c>
      <c r="C108" s="18">
        <v>0.38033564814814813</v>
      </c>
      <c r="D108">
        <v>1460173</v>
      </c>
      <c r="E108" t="s">
        <v>711</v>
      </c>
      <c r="F108" t="s">
        <v>749</v>
      </c>
      <c r="G108">
        <v>1</v>
      </c>
      <c r="H108" t="s">
        <v>754</v>
      </c>
    </row>
    <row r="109" spans="1:8" x14ac:dyDescent="0.25">
      <c r="A109">
        <v>51</v>
      </c>
      <c r="B109" s="52">
        <v>44778</v>
      </c>
      <c r="C109" s="18">
        <v>0.38153935185185189</v>
      </c>
      <c r="D109">
        <v>1460174</v>
      </c>
      <c r="E109" t="s">
        <v>711</v>
      </c>
      <c r="F109" t="s">
        <v>749</v>
      </c>
      <c r="G109">
        <v>1</v>
      </c>
      <c r="H109" t="s">
        <v>754</v>
      </c>
    </row>
    <row r="110" spans="1:8" x14ac:dyDescent="0.25">
      <c r="A110">
        <v>51</v>
      </c>
      <c r="B110" s="52">
        <v>44778</v>
      </c>
      <c r="C110" s="18">
        <v>0.38453703703703707</v>
      </c>
      <c r="D110">
        <v>1460176</v>
      </c>
      <c r="E110" t="s">
        <v>711</v>
      </c>
      <c r="F110" t="s">
        <v>749</v>
      </c>
      <c r="G110">
        <v>1</v>
      </c>
      <c r="H110" t="s">
        <v>754</v>
      </c>
    </row>
    <row r="111" spans="1:8" x14ac:dyDescent="0.25">
      <c r="A111">
        <v>51</v>
      </c>
      <c r="B111" s="52">
        <v>44778</v>
      </c>
      <c r="C111" s="18">
        <v>0.3948726851851852</v>
      </c>
      <c r="D111">
        <v>1460181</v>
      </c>
      <c r="E111" t="s">
        <v>711</v>
      </c>
      <c r="F111" t="s">
        <v>749</v>
      </c>
      <c r="G111">
        <v>1</v>
      </c>
      <c r="H111" t="s">
        <v>754</v>
      </c>
    </row>
    <row r="112" spans="1:8" x14ac:dyDescent="0.25">
      <c r="A112">
        <v>51</v>
      </c>
      <c r="B112" s="52">
        <v>44778</v>
      </c>
      <c r="C112" s="18">
        <v>0.3974421296296296</v>
      </c>
      <c r="D112">
        <v>1460182</v>
      </c>
      <c r="E112" t="s">
        <v>711</v>
      </c>
      <c r="F112" t="s">
        <v>749</v>
      </c>
      <c r="G112">
        <v>1</v>
      </c>
      <c r="H112" t="s">
        <v>754</v>
      </c>
    </row>
    <row r="113" spans="1:8" x14ac:dyDescent="0.25">
      <c r="A113">
        <v>51</v>
      </c>
      <c r="B113" s="52">
        <v>44778</v>
      </c>
      <c r="C113" s="18">
        <v>0.3991898148148148</v>
      </c>
      <c r="D113">
        <v>1460184</v>
      </c>
      <c r="E113" t="s">
        <v>711</v>
      </c>
      <c r="F113" t="s">
        <v>749</v>
      </c>
      <c r="G113">
        <v>1</v>
      </c>
      <c r="H113" t="s">
        <v>754</v>
      </c>
    </row>
    <row r="114" spans="1:8" x14ac:dyDescent="0.25">
      <c r="A114">
        <v>51</v>
      </c>
      <c r="B114" s="52">
        <v>44778</v>
      </c>
      <c r="C114" s="18">
        <v>0.41069444444444447</v>
      </c>
      <c r="D114">
        <v>1460186</v>
      </c>
      <c r="E114" t="s">
        <v>711</v>
      </c>
      <c r="F114" t="s">
        <v>749</v>
      </c>
      <c r="G114">
        <v>1</v>
      </c>
      <c r="H114" t="s">
        <v>754</v>
      </c>
    </row>
    <row r="115" spans="1:8" x14ac:dyDescent="0.25">
      <c r="A115">
        <v>51</v>
      </c>
      <c r="B115" s="52">
        <v>44778</v>
      </c>
      <c r="C115" s="18">
        <v>0.56865740740740744</v>
      </c>
      <c r="D115">
        <v>1460238</v>
      </c>
      <c r="E115" t="s">
        <v>711</v>
      </c>
      <c r="F115" t="s">
        <v>749</v>
      </c>
      <c r="G115">
        <v>1</v>
      </c>
      <c r="H115" t="s">
        <v>754</v>
      </c>
    </row>
    <row r="116" spans="1:8" x14ac:dyDescent="0.25">
      <c r="A116">
        <v>51</v>
      </c>
      <c r="B116" s="52">
        <v>44779</v>
      </c>
      <c r="C116" s="18">
        <v>0.61541666666666661</v>
      </c>
      <c r="D116">
        <v>1460678</v>
      </c>
      <c r="E116" t="s">
        <v>897</v>
      </c>
      <c r="F116" t="s">
        <v>749</v>
      </c>
      <c r="G116">
        <v>1</v>
      </c>
      <c r="H116" t="s">
        <v>754</v>
      </c>
    </row>
    <row r="117" spans="1:8" x14ac:dyDescent="0.25">
      <c r="A117">
        <v>51</v>
      </c>
      <c r="B117" s="52">
        <v>44779</v>
      </c>
      <c r="C117" s="18">
        <v>0.69306712962962969</v>
      </c>
      <c r="D117">
        <v>1460747</v>
      </c>
      <c r="E117" t="s">
        <v>897</v>
      </c>
      <c r="F117" t="s">
        <v>749</v>
      </c>
      <c r="G117">
        <v>1</v>
      </c>
      <c r="H117" t="s">
        <v>754</v>
      </c>
    </row>
    <row r="118" spans="1:8" x14ac:dyDescent="0.25">
      <c r="A118">
        <v>51</v>
      </c>
      <c r="B118" s="52">
        <v>44780</v>
      </c>
      <c r="C118" s="18">
        <v>0.40442129629629631</v>
      </c>
      <c r="D118">
        <v>1461022</v>
      </c>
      <c r="E118" t="s">
        <v>711</v>
      </c>
      <c r="F118" t="s">
        <v>749</v>
      </c>
      <c r="G118">
        <v>1</v>
      </c>
      <c r="H118" t="s">
        <v>754</v>
      </c>
    </row>
    <row r="119" spans="1:8" x14ac:dyDescent="0.25">
      <c r="A119">
        <v>61</v>
      </c>
      <c r="B119" s="52">
        <v>44774</v>
      </c>
      <c r="C119" s="18">
        <v>0.71689814814814812</v>
      </c>
      <c r="D119">
        <v>1543586</v>
      </c>
      <c r="E119" t="s">
        <v>714</v>
      </c>
      <c r="F119" t="s">
        <v>749</v>
      </c>
      <c r="G119">
        <v>1</v>
      </c>
      <c r="H119" t="s">
        <v>754</v>
      </c>
    </row>
    <row r="120" spans="1:8" x14ac:dyDescent="0.25">
      <c r="A120">
        <v>61</v>
      </c>
      <c r="B120" s="52">
        <v>44775</v>
      </c>
      <c r="C120" s="18">
        <v>0.66387731481481482</v>
      </c>
      <c r="D120">
        <v>1543866</v>
      </c>
      <c r="E120" t="s">
        <v>714</v>
      </c>
      <c r="F120" t="s">
        <v>749</v>
      </c>
      <c r="G120">
        <v>1</v>
      </c>
      <c r="H120" t="s">
        <v>754</v>
      </c>
    </row>
    <row r="121" spans="1:8" x14ac:dyDescent="0.25">
      <c r="A121">
        <v>61</v>
      </c>
      <c r="B121" s="52">
        <v>44777</v>
      </c>
      <c r="C121" s="18">
        <v>0.76069444444444445</v>
      </c>
      <c r="D121">
        <v>1544581</v>
      </c>
      <c r="E121" t="s">
        <v>714</v>
      </c>
      <c r="F121" t="s">
        <v>749</v>
      </c>
      <c r="G121">
        <v>1</v>
      </c>
      <c r="H121" t="s">
        <v>754</v>
      </c>
    </row>
    <row r="122" spans="1:8" x14ac:dyDescent="0.25">
      <c r="A122">
        <v>61</v>
      </c>
      <c r="B122" s="52">
        <v>44777</v>
      </c>
      <c r="C122" s="18">
        <v>0.85633101851851856</v>
      </c>
      <c r="D122">
        <v>1544623</v>
      </c>
      <c r="E122" t="s">
        <v>898</v>
      </c>
      <c r="F122" t="s">
        <v>749</v>
      </c>
      <c r="G122">
        <v>1</v>
      </c>
      <c r="H122" t="s">
        <v>754</v>
      </c>
    </row>
    <row r="123" spans="1:8" x14ac:dyDescent="0.25">
      <c r="A123">
        <v>61</v>
      </c>
      <c r="B123" s="52">
        <v>44777</v>
      </c>
      <c r="C123" s="18">
        <v>0.91800925925925936</v>
      </c>
      <c r="D123">
        <v>1544659</v>
      </c>
      <c r="E123" t="s">
        <v>898</v>
      </c>
      <c r="F123" t="s">
        <v>749</v>
      </c>
      <c r="G123">
        <v>1</v>
      </c>
      <c r="H123" t="s">
        <v>754</v>
      </c>
    </row>
    <row r="124" spans="1:8" x14ac:dyDescent="0.25">
      <c r="A124">
        <v>61</v>
      </c>
      <c r="B124" s="52">
        <v>44778</v>
      </c>
      <c r="C124" s="18">
        <v>0.33666666666666667</v>
      </c>
      <c r="D124">
        <v>1544748</v>
      </c>
      <c r="E124" t="s">
        <v>714</v>
      </c>
      <c r="F124" t="s">
        <v>749</v>
      </c>
      <c r="G124">
        <v>1</v>
      </c>
      <c r="H124" t="s">
        <v>754</v>
      </c>
    </row>
    <row r="125" spans="1:8" x14ac:dyDescent="0.25">
      <c r="A125">
        <v>61</v>
      </c>
      <c r="B125" s="52">
        <v>44778</v>
      </c>
      <c r="C125" s="18">
        <v>0.34354166666666663</v>
      </c>
      <c r="D125">
        <v>1544750</v>
      </c>
      <c r="E125" t="s">
        <v>714</v>
      </c>
      <c r="F125" t="s">
        <v>749</v>
      </c>
      <c r="G125">
        <v>1</v>
      </c>
      <c r="H125" t="s">
        <v>754</v>
      </c>
    </row>
    <row r="126" spans="1:8" x14ac:dyDescent="0.25">
      <c r="A126">
        <v>61</v>
      </c>
      <c r="B126" s="52">
        <v>44778</v>
      </c>
      <c r="C126" s="18">
        <v>0.34703703703703703</v>
      </c>
      <c r="D126">
        <v>1544752</v>
      </c>
      <c r="E126" t="s">
        <v>714</v>
      </c>
      <c r="F126" t="s">
        <v>749</v>
      </c>
      <c r="G126">
        <v>1</v>
      </c>
      <c r="H126" t="s">
        <v>754</v>
      </c>
    </row>
    <row r="127" spans="1:8" x14ac:dyDescent="0.25">
      <c r="A127">
        <v>61</v>
      </c>
      <c r="B127" s="52">
        <v>44778</v>
      </c>
      <c r="C127" s="18">
        <v>0.53160879629629632</v>
      </c>
      <c r="D127">
        <v>1544802</v>
      </c>
      <c r="E127" t="s">
        <v>714</v>
      </c>
      <c r="F127" t="s">
        <v>749</v>
      </c>
      <c r="G127">
        <v>1</v>
      </c>
      <c r="H127" t="s">
        <v>754</v>
      </c>
    </row>
    <row r="128" spans="1:8" x14ac:dyDescent="0.25">
      <c r="A128">
        <v>61</v>
      </c>
      <c r="B128" s="52">
        <v>44778</v>
      </c>
      <c r="C128" s="18">
        <v>0.56791666666666674</v>
      </c>
      <c r="D128">
        <v>1544817</v>
      </c>
      <c r="E128" t="s">
        <v>714</v>
      </c>
      <c r="F128" t="s">
        <v>749</v>
      </c>
      <c r="G128">
        <v>1</v>
      </c>
      <c r="H128" t="s">
        <v>754</v>
      </c>
    </row>
    <row r="129" spans="1:8" x14ac:dyDescent="0.25">
      <c r="A129">
        <v>61</v>
      </c>
      <c r="B129" s="52">
        <v>44778</v>
      </c>
      <c r="C129" s="18">
        <v>0.81488425925925922</v>
      </c>
      <c r="D129">
        <v>1544959</v>
      </c>
      <c r="E129" t="s">
        <v>898</v>
      </c>
      <c r="F129" t="s">
        <v>749</v>
      </c>
      <c r="G129">
        <v>1</v>
      </c>
      <c r="H129" t="s">
        <v>754</v>
      </c>
    </row>
    <row r="130" spans="1:8" x14ac:dyDescent="0.25">
      <c r="A130">
        <v>61</v>
      </c>
      <c r="B130" s="52">
        <v>44778</v>
      </c>
      <c r="C130" s="18">
        <v>0.93343750000000003</v>
      </c>
      <c r="D130">
        <v>1545041</v>
      </c>
      <c r="E130" t="s">
        <v>898</v>
      </c>
      <c r="F130" t="s">
        <v>749</v>
      </c>
      <c r="G130">
        <v>1</v>
      </c>
      <c r="H130" t="s">
        <v>754</v>
      </c>
    </row>
    <row r="131" spans="1:8" x14ac:dyDescent="0.25">
      <c r="A131">
        <v>71</v>
      </c>
      <c r="B131" s="52">
        <v>44774</v>
      </c>
      <c r="C131" s="18">
        <v>0.37035879629629626</v>
      </c>
      <c r="D131">
        <v>1638756</v>
      </c>
      <c r="E131" t="s">
        <v>716</v>
      </c>
      <c r="F131" t="s">
        <v>749</v>
      </c>
      <c r="G131">
        <v>1</v>
      </c>
      <c r="H131" t="s">
        <v>754</v>
      </c>
    </row>
    <row r="132" spans="1:8" x14ac:dyDescent="0.25">
      <c r="A132">
        <v>71</v>
      </c>
      <c r="B132" s="52">
        <v>44774</v>
      </c>
      <c r="C132" s="18">
        <v>0.56269675925925922</v>
      </c>
      <c r="D132">
        <v>1638842</v>
      </c>
      <c r="E132" t="s">
        <v>716</v>
      </c>
      <c r="F132" t="s">
        <v>749</v>
      </c>
      <c r="G132">
        <v>1</v>
      </c>
      <c r="H132" t="s">
        <v>754</v>
      </c>
    </row>
    <row r="133" spans="1:8" x14ac:dyDescent="0.25">
      <c r="A133">
        <v>71</v>
      </c>
      <c r="B133" s="52">
        <v>44775</v>
      </c>
      <c r="C133" s="18">
        <v>0.46003472222222225</v>
      </c>
      <c r="D133">
        <v>1639153</v>
      </c>
      <c r="E133" t="s">
        <v>716</v>
      </c>
      <c r="F133" t="s">
        <v>749</v>
      </c>
      <c r="G133">
        <v>1</v>
      </c>
      <c r="H133" t="s">
        <v>754</v>
      </c>
    </row>
    <row r="134" spans="1:8" x14ac:dyDescent="0.25">
      <c r="A134">
        <v>71</v>
      </c>
      <c r="B134" s="52">
        <v>44775</v>
      </c>
      <c r="C134" s="18">
        <v>0.46770833333333334</v>
      </c>
      <c r="D134">
        <v>1639157</v>
      </c>
      <c r="E134" t="s">
        <v>716</v>
      </c>
      <c r="F134" t="s">
        <v>749</v>
      </c>
      <c r="G134">
        <v>1</v>
      </c>
      <c r="H134" t="s">
        <v>754</v>
      </c>
    </row>
    <row r="135" spans="1:8" x14ac:dyDescent="0.25">
      <c r="A135">
        <v>71</v>
      </c>
      <c r="B135" s="52">
        <v>44775</v>
      </c>
      <c r="C135" s="18">
        <v>0.56732638888888887</v>
      </c>
      <c r="D135">
        <v>1639194</v>
      </c>
      <c r="E135" t="s">
        <v>716</v>
      </c>
      <c r="F135" t="s">
        <v>749</v>
      </c>
      <c r="G135">
        <v>1</v>
      </c>
    </row>
    <row r="136" spans="1:8" x14ac:dyDescent="0.25">
      <c r="A136">
        <v>71</v>
      </c>
      <c r="B136" s="52">
        <v>44776</v>
      </c>
      <c r="C136" s="18">
        <v>0.78353009259259254</v>
      </c>
      <c r="D136">
        <v>1639623</v>
      </c>
      <c r="E136" t="s">
        <v>899</v>
      </c>
      <c r="F136" t="s">
        <v>749</v>
      </c>
      <c r="G136">
        <v>1</v>
      </c>
      <c r="H136" t="s">
        <v>754</v>
      </c>
    </row>
    <row r="137" spans="1:8" x14ac:dyDescent="0.25">
      <c r="A137">
        <v>71</v>
      </c>
      <c r="B137" s="52">
        <v>44776</v>
      </c>
      <c r="C137" s="18">
        <v>0.85525462962962961</v>
      </c>
      <c r="D137">
        <v>1639660</v>
      </c>
      <c r="E137" t="s">
        <v>899</v>
      </c>
      <c r="F137" t="s">
        <v>749</v>
      </c>
      <c r="G137">
        <v>1</v>
      </c>
      <c r="H137" t="s">
        <v>754</v>
      </c>
    </row>
    <row r="138" spans="1:8" x14ac:dyDescent="0.25">
      <c r="A138">
        <v>71</v>
      </c>
      <c r="B138" s="52">
        <v>44776</v>
      </c>
      <c r="C138" s="18">
        <v>0.93267361111111102</v>
      </c>
      <c r="D138">
        <v>1639710</v>
      </c>
      <c r="E138" t="s">
        <v>899</v>
      </c>
      <c r="F138" t="s">
        <v>749</v>
      </c>
      <c r="G138">
        <v>1</v>
      </c>
      <c r="H138" t="s">
        <v>754</v>
      </c>
    </row>
    <row r="139" spans="1:8" x14ac:dyDescent="0.25">
      <c r="A139">
        <v>71</v>
      </c>
      <c r="B139" s="52">
        <v>44777</v>
      </c>
      <c r="C139" s="18">
        <v>0.47438657407407409</v>
      </c>
      <c r="D139">
        <v>1639863</v>
      </c>
      <c r="E139" t="s">
        <v>716</v>
      </c>
      <c r="F139" t="s">
        <v>749</v>
      </c>
      <c r="G139">
        <v>1</v>
      </c>
      <c r="H139" t="s">
        <v>754</v>
      </c>
    </row>
    <row r="140" spans="1:8" x14ac:dyDescent="0.25">
      <c r="A140">
        <v>71</v>
      </c>
      <c r="B140" s="52">
        <v>44777</v>
      </c>
      <c r="C140" s="18">
        <v>0.68225694444444451</v>
      </c>
      <c r="D140">
        <v>1639960</v>
      </c>
      <c r="E140" t="s">
        <v>716</v>
      </c>
      <c r="F140" t="s">
        <v>749</v>
      </c>
      <c r="G140">
        <v>1</v>
      </c>
      <c r="H140" t="s">
        <v>754</v>
      </c>
    </row>
    <row r="141" spans="1:8" x14ac:dyDescent="0.25">
      <c r="A141">
        <v>71</v>
      </c>
      <c r="B141" s="52">
        <v>44777</v>
      </c>
      <c r="C141" s="18">
        <v>0.82255787037037031</v>
      </c>
      <c r="D141">
        <v>1640009</v>
      </c>
      <c r="E141" t="s">
        <v>899</v>
      </c>
      <c r="F141" t="s">
        <v>749</v>
      </c>
      <c r="G141">
        <v>1</v>
      </c>
      <c r="H141" t="s">
        <v>754</v>
      </c>
    </row>
    <row r="142" spans="1:8" x14ac:dyDescent="0.25">
      <c r="A142">
        <v>71</v>
      </c>
      <c r="B142" s="52">
        <v>44777</v>
      </c>
      <c r="C142" s="18">
        <v>0.82547453703703699</v>
      </c>
      <c r="D142">
        <v>1640014</v>
      </c>
      <c r="E142" t="s">
        <v>899</v>
      </c>
      <c r="F142" t="s">
        <v>749</v>
      </c>
      <c r="G142">
        <v>1</v>
      </c>
      <c r="H142" t="s">
        <v>754</v>
      </c>
    </row>
    <row r="143" spans="1:8" x14ac:dyDescent="0.25">
      <c r="A143">
        <v>71</v>
      </c>
      <c r="B143" s="52">
        <v>44777</v>
      </c>
      <c r="C143" s="18">
        <v>0.82715277777777774</v>
      </c>
      <c r="D143">
        <v>1640015</v>
      </c>
      <c r="E143" t="s">
        <v>899</v>
      </c>
      <c r="F143" t="s">
        <v>749</v>
      </c>
      <c r="G143">
        <v>1</v>
      </c>
      <c r="H143" t="s">
        <v>754</v>
      </c>
    </row>
    <row r="144" spans="1:8" x14ac:dyDescent="0.25">
      <c r="A144">
        <v>71</v>
      </c>
      <c r="B144" s="52">
        <v>44778</v>
      </c>
      <c r="C144" s="18">
        <v>0.29994212962962963</v>
      </c>
      <c r="D144">
        <v>1640163</v>
      </c>
      <c r="E144" t="s">
        <v>716</v>
      </c>
      <c r="F144" t="s">
        <v>749</v>
      </c>
      <c r="G144">
        <v>1</v>
      </c>
      <c r="H144" t="s">
        <v>754</v>
      </c>
    </row>
    <row r="145" spans="1:8" x14ac:dyDescent="0.25">
      <c r="A145">
        <v>71</v>
      </c>
      <c r="B145" s="52">
        <v>44778</v>
      </c>
      <c r="C145" s="18">
        <v>0.30563657407407407</v>
      </c>
      <c r="D145">
        <v>1640165</v>
      </c>
      <c r="E145" t="s">
        <v>716</v>
      </c>
      <c r="F145" t="s">
        <v>749</v>
      </c>
      <c r="G145">
        <v>1</v>
      </c>
      <c r="H145" t="s">
        <v>754</v>
      </c>
    </row>
    <row r="146" spans="1:8" x14ac:dyDescent="0.25">
      <c r="A146">
        <v>71</v>
      </c>
      <c r="B146" s="52">
        <v>44778</v>
      </c>
      <c r="C146" s="18">
        <v>0.31160879629629629</v>
      </c>
      <c r="D146">
        <v>1640167</v>
      </c>
      <c r="E146" t="s">
        <v>716</v>
      </c>
      <c r="F146" t="s">
        <v>749</v>
      </c>
      <c r="G146">
        <v>1</v>
      </c>
      <c r="H146" t="s">
        <v>754</v>
      </c>
    </row>
    <row r="147" spans="1:8" x14ac:dyDescent="0.25">
      <c r="A147">
        <v>71</v>
      </c>
      <c r="B147" s="52">
        <v>44778</v>
      </c>
      <c r="C147" s="18">
        <v>0.31435185185185183</v>
      </c>
      <c r="D147">
        <v>1640168</v>
      </c>
      <c r="E147" t="s">
        <v>716</v>
      </c>
      <c r="F147" t="s">
        <v>749</v>
      </c>
      <c r="G147">
        <v>1</v>
      </c>
      <c r="H147" t="s">
        <v>754</v>
      </c>
    </row>
    <row r="148" spans="1:8" x14ac:dyDescent="0.25">
      <c r="A148">
        <v>71</v>
      </c>
      <c r="B148" s="52">
        <v>44778</v>
      </c>
      <c r="C148" s="18">
        <v>0.34478009259259257</v>
      </c>
      <c r="D148">
        <v>1640180</v>
      </c>
      <c r="E148" t="s">
        <v>716</v>
      </c>
      <c r="F148" t="s">
        <v>749</v>
      </c>
      <c r="G148">
        <v>1</v>
      </c>
      <c r="H148" t="s">
        <v>754</v>
      </c>
    </row>
    <row r="149" spans="1:8" x14ac:dyDescent="0.25">
      <c r="A149">
        <v>71</v>
      </c>
      <c r="B149" s="52">
        <v>44778</v>
      </c>
      <c r="C149" s="18">
        <v>0.34728009259259257</v>
      </c>
      <c r="D149">
        <v>1640181</v>
      </c>
      <c r="E149" t="s">
        <v>716</v>
      </c>
      <c r="F149" t="s">
        <v>749</v>
      </c>
      <c r="G149">
        <v>1</v>
      </c>
      <c r="H149" t="s">
        <v>754</v>
      </c>
    </row>
    <row r="150" spans="1:8" x14ac:dyDescent="0.25">
      <c r="A150">
        <v>71</v>
      </c>
      <c r="B150" s="52">
        <v>44778</v>
      </c>
      <c r="C150" s="18">
        <v>0.34922453703703704</v>
      </c>
      <c r="D150">
        <v>1640183</v>
      </c>
      <c r="E150" t="s">
        <v>716</v>
      </c>
      <c r="F150" t="s">
        <v>749</v>
      </c>
      <c r="G150">
        <v>1</v>
      </c>
      <c r="H150" t="s">
        <v>754</v>
      </c>
    </row>
    <row r="151" spans="1:8" x14ac:dyDescent="0.25">
      <c r="A151">
        <v>71</v>
      </c>
      <c r="B151" s="52">
        <v>44778</v>
      </c>
      <c r="C151" s="18">
        <v>0.36193287037037036</v>
      </c>
      <c r="D151">
        <v>1640189</v>
      </c>
      <c r="E151" t="s">
        <v>716</v>
      </c>
      <c r="F151" t="s">
        <v>749</v>
      </c>
      <c r="G151">
        <v>1</v>
      </c>
      <c r="H151" t="s">
        <v>754</v>
      </c>
    </row>
    <row r="152" spans="1:8" x14ac:dyDescent="0.25">
      <c r="A152">
        <v>71</v>
      </c>
      <c r="B152" s="52">
        <v>44778</v>
      </c>
      <c r="C152" s="18">
        <v>0.37209490740740742</v>
      </c>
      <c r="D152">
        <v>1640193</v>
      </c>
      <c r="E152" t="s">
        <v>716</v>
      </c>
      <c r="F152" t="s">
        <v>749</v>
      </c>
      <c r="G152">
        <v>1</v>
      </c>
      <c r="H152" t="s">
        <v>754</v>
      </c>
    </row>
    <row r="153" spans="1:8" x14ac:dyDescent="0.25">
      <c r="A153">
        <v>71</v>
      </c>
      <c r="B153" s="52">
        <v>44778</v>
      </c>
      <c r="C153" s="18">
        <v>0.37427083333333333</v>
      </c>
      <c r="D153">
        <v>1640195</v>
      </c>
      <c r="E153" t="s">
        <v>716</v>
      </c>
      <c r="F153" t="s">
        <v>749</v>
      </c>
      <c r="G153">
        <v>1</v>
      </c>
      <c r="H153" t="s">
        <v>754</v>
      </c>
    </row>
    <row r="154" spans="1:8" x14ac:dyDescent="0.25">
      <c r="A154">
        <v>71</v>
      </c>
      <c r="B154" s="52">
        <v>44778</v>
      </c>
      <c r="C154" s="18">
        <v>0.40443287037037035</v>
      </c>
      <c r="D154">
        <v>1640201</v>
      </c>
      <c r="E154" t="s">
        <v>716</v>
      </c>
      <c r="F154" t="s">
        <v>749</v>
      </c>
      <c r="G154">
        <v>1</v>
      </c>
      <c r="H154" t="s">
        <v>754</v>
      </c>
    </row>
    <row r="155" spans="1:8" x14ac:dyDescent="0.25">
      <c r="A155">
        <v>71</v>
      </c>
      <c r="B155" s="52">
        <v>44778</v>
      </c>
      <c r="C155" s="18">
        <v>0.40673611111111113</v>
      </c>
      <c r="D155">
        <v>1640202</v>
      </c>
      <c r="E155" t="s">
        <v>716</v>
      </c>
      <c r="F155" t="s">
        <v>749</v>
      </c>
      <c r="G155">
        <v>1</v>
      </c>
      <c r="H155" t="s">
        <v>754</v>
      </c>
    </row>
    <row r="156" spans="1:8" x14ac:dyDescent="0.25">
      <c r="A156">
        <v>71</v>
      </c>
      <c r="B156" s="52">
        <v>44778</v>
      </c>
      <c r="C156" s="18">
        <v>0.40956018518518517</v>
      </c>
      <c r="D156">
        <v>1640204</v>
      </c>
      <c r="E156" t="s">
        <v>716</v>
      </c>
      <c r="F156" t="s">
        <v>749</v>
      </c>
      <c r="G156">
        <v>1</v>
      </c>
      <c r="H156" t="s">
        <v>754</v>
      </c>
    </row>
    <row r="157" spans="1:8" x14ac:dyDescent="0.25">
      <c r="A157">
        <v>71</v>
      </c>
      <c r="B157" s="52">
        <v>44778</v>
      </c>
      <c r="C157" s="18">
        <v>0.41181712962962963</v>
      </c>
      <c r="D157">
        <v>1640206</v>
      </c>
      <c r="E157" t="s">
        <v>716</v>
      </c>
      <c r="F157" t="s">
        <v>749</v>
      </c>
      <c r="G157">
        <v>1</v>
      </c>
      <c r="H157" t="s">
        <v>754</v>
      </c>
    </row>
    <row r="158" spans="1:8" x14ac:dyDescent="0.25">
      <c r="A158">
        <v>71</v>
      </c>
      <c r="B158" s="52">
        <v>44778</v>
      </c>
      <c r="C158" s="18">
        <v>0.42503472222222222</v>
      </c>
      <c r="D158">
        <v>1640214</v>
      </c>
      <c r="E158" t="s">
        <v>716</v>
      </c>
      <c r="F158" t="s">
        <v>749</v>
      </c>
      <c r="G158">
        <v>1</v>
      </c>
      <c r="H158" t="s">
        <v>754</v>
      </c>
    </row>
    <row r="159" spans="1:8" x14ac:dyDescent="0.25">
      <c r="A159">
        <v>71</v>
      </c>
      <c r="B159" s="52">
        <v>44778</v>
      </c>
      <c r="C159" s="18">
        <v>0.42958333333333337</v>
      </c>
      <c r="D159">
        <v>1640217</v>
      </c>
      <c r="E159" t="s">
        <v>716</v>
      </c>
      <c r="F159" t="s">
        <v>749</v>
      </c>
      <c r="G159">
        <v>1</v>
      </c>
      <c r="H159" t="s">
        <v>754</v>
      </c>
    </row>
    <row r="160" spans="1:8" x14ac:dyDescent="0.25">
      <c r="A160">
        <v>71</v>
      </c>
      <c r="B160" s="52">
        <v>44778</v>
      </c>
      <c r="C160" s="18">
        <v>0.44513888888888892</v>
      </c>
      <c r="D160">
        <v>1640229</v>
      </c>
      <c r="E160" t="s">
        <v>716</v>
      </c>
      <c r="F160" t="s">
        <v>749</v>
      </c>
      <c r="G160">
        <v>1</v>
      </c>
      <c r="H160" t="s">
        <v>754</v>
      </c>
    </row>
    <row r="161" spans="1:8" x14ac:dyDescent="0.25">
      <c r="A161">
        <v>71</v>
      </c>
      <c r="B161" s="52">
        <v>44778</v>
      </c>
      <c r="C161" s="18">
        <v>0.47476851851851848</v>
      </c>
      <c r="D161">
        <v>1640242</v>
      </c>
      <c r="E161" t="s">
        <v>716</v>
      </c>
      <c r="F161" t="s">
        <v>749</v>
      </c>
      <c r="G161">
        <v>1</v>
      </c>
      <c r="H161" t="s">
        <v>754</v>
      </c>
    </row>
    <row r="162" spans="1:8" x14ac:dyDescent="0.25">
      <c r="A162">
        <v>71</v>
      </c>
      <c r="B162" s="52">
        <v>44778</v>
      </c>
      <c r="C162" s="18">
        <v>0.53303240740740743</v>
      </c>
      <c r="D162">
        <v>1640274</v>
      </c>
      <c r="E162" t="s">
        <v>716</v>
      </c>
      <c r="F162" t="s">
        <v>749</v>
      </c>
      <c r="G162">
        <v>1</v>
      </c>
      <c r="H162" t="s">
        <v>754</v>
      </c>
    </row>
    <row r="163" spans="1:8" x14ac:dyDescent="0.25">
      <c r="A163">
        <v>71</v>
      </c>
      <c r="B163" s="52">
        <v>44778</v>
      </c>
      <c r="C163" s="18">
        <v>0.57664351851851847</v>
      </c>
      <c r="D163">
        <v>1640298</v>
      </c>
      <c r="E163" t="s">
        <v>716</v>
      </c>
      <c r="F163" t="s">
        <v>749</v>
      </c>
      <c r="G163">
        <v>1</v>
      </c>
      <c r="H163" t="s">
        <v>754</v>
      </c>
    </row>
    <row r="164" spans="1:8" x14ac:dyDescent="0.25">
      <c r="A164">
        <v>71</v>
      </c>
      <c r="B164" s="52">
        <v>44778</v>
      </c>
      <c r="C164" s="18">
        <v>0.62414351851851857</v>
      </c>
      <c r="D164">
        <v>1640322</v>
      </c>
      <c r="E164" t="s">
        <v>716</v>
      </c>
      <c r="F164" t="s">
        <v>749</v>
      </c>
      <c r="G164">
        <v>1</v>
      </c>
      <c r="H164" t="s">
        <v>754</v>
      </c>
    </row>
    <row r="165" spans="1:8" x14ac:dyDescent="0.25">
      <c r="A165">
        <v>71</v>
      </c>
      <c r="B165" s="52">
        <v>44778</v>
      </c>
      <c r="C165" s="18">
        <v>0.69111111111111112</v>
      </c>
      <c r="D165">
        <v>1640369</v>
      </c>
      <c r="E165" t="s">
        <v>716</v>
      </c>
      <c r="F165" t="s">
        <v>749</v>
      </c>
      <c r="G165">
        <v>1</v>
      </c>
      <c r="H165" t="s">
        <v>754</v>
      </c>
    </row>
    <row r="166" spans="1:8" x14ac:dyDescent="0.25">
      <c r="A166">
        <v>71</v>
      </c>
      <c r="B166" s="52">
        <v>44778</v>
      </c>
      <c r="C166" s="18">
        <v>0.72180555555555559</v>
      </c>
      <c r="D166">
        <v>1640392</v>
      </c>
      <c r="E166" t="s">
        <v>716</v>
      </c>
      <c r="F166" t="s">
        <v>749</v>
      </c>
      <c r="G166">
        <v>1</v>
      </c>
      <c r="H166" t="s">
        <v>754</v>
      </c>
    </row>
    <row r="167" spans="1:8" x14ac:dyDescent="0.25">
      <c r="A167">
        <v>71</v>
      </c>
      <c r="B167" s="52">
        <v>44778</v>
      </c>
      <c r="C167" s="18">
        <v>0.76555555555555566</v>
      </c>
      <c r="D167">
        <v>1640422</v>
      </c>
      <c r="E167" t="s">
        <v>899</v>
      </c>
      <c r="F167" t="s">
        <v>749</v>
      </c>
      <c r="G167">
        <v>1</v>
      </c>
      <c r="H167" t="s">
        <v>754</v>
      </c>
    </row>
    <row r="168" spans="1:8" x14ac:dyDescent="0.25">
      <c r="A168">
        <v>71</v>
      </c>
      <c r="B168" s="52">
        <v>44778</v>
      </c>
      <c r="C168" s="18">
        <v>0.93767361111111114</v>
      </c>
      <c r="D168">
        <v>1640511</v>
      </c>
      <c r="E168" t="s">
        <v>899</v>
      </c>
      <c r="F168" t="s">
        <v>749</v>
      </c>
      <c r="G168">
        <v>1</v>
      </c>
      <c r="H168" t="s">
        <v>754</v>
      </c>
    </row>
    <row r="169" spans="1:8" x14ac:dyDescent="0.25">
      <c r="A169">
        <v>71</v>
      </c>
      <c r="B169" s="52">
        <v>44779</v>
      </c>
      <c r="C169" s="18">
        <v>0.83998842592592593</v>
      </c>
      <c r="D169">
        <v>1640862</v>
      </c>
      <c r="E169" t="s">
        <v>899</v>
      </c>
      <c r="F169" t="s">
        <v>749</v>
      </c>
      <c r="G169">
        <v>1</v>
      </c>
      <c r="H169" t="s">
        <v>754</v>
      </c>
    </row>
    <row r="170" spans="1:8" x14ac:dyDescent="0.25">
      <c r="A170">
        <v>71</v>
      </c>
      <c r="B170" s="52">
        <v>44780</v>
      </c>
      <c r="C170" s="18">
        <v>0.48662037037037037</v>
      </c>
      <c r="D170">
        <v>1641111</v>
      </c>
      <c r="E170" t="s">
        <v>722</v>
      </c>
      <c r="F170" t="s">
        <v>749</v>
      </c>
      <c r="G170">
        <v>1</v>
      </c>
      <c r="H170" t="s">
        <v>754</v>
      </c>
    </row>
    <row r="171" spans="1:8" x14ac:dyDescent="0.25">
      <c r="A171">
        <v>81</v>
      </c>
      <c r="B171" s="52">
        <v>44774</v>
      </c>
      <c r="C171" s="18">
        <v>0.359375</v>
      </c>
      <c r="D171">
        <v>1468276</v>
      </c>
      <c r="E171" t="s">
        <v>717</v>
      </c>
      <c r="F171" t="s">
        <v>749</v>
      </c>
      <c r="G171">
        <v>1</v>
      </c>
      <c r="H171" t="s">
        <v>754</v>
      </c>
    </row>
    <row r="172" spans="1:8" x14ac:dyDescent="0.25">
      <c r="A172">
        <v>81</v>
      </c>
      <c r="B172" s="52">
        <v>44774</v>
      </c>
      <c r="C172" s="18">
        <v>0.36657407407407411</v>
      </c>
      <c r="D172">
        <v>1468280</v>
      </c>
      <c r="E172" t="s">
        <v>717</v>
      </c>
      <c r="F172" t="s">
        <v>749</v>
      </c>
      <c r="G172">
        <v>1</v>
      </c>
      <c r="H172" t="s">
        <v>754</v>
      </c>
    </row>
    <row r="173" spans="1:8" x14ac:dyDescent="0.25">
      <c r="A173">
        <v>81</v>
      </c>
      <c r="B173" s="52">
        <v>44774</v>
      </c>
      <c r="C173" s="18">
        <v>0.48868055555555556</v>
      </c>
      <c r="D173">
        <v>1468312</v>
      </c>
      <c r="E173" t="s">
        <v>717</v>
      </c>
      <c r="F173" t="s">
        <v>749</v>
      </c>
      <c r="G173">
        <v>1</v>
      </c>
      <c r="H173" t="s">
        <v>754</v>
      </c>
    </row>
    <row r="174" spans="1:8" x14ac:dyDescent="0.25">
      <c r="A174">
        <v>81</v>
      </c>
      <c r="B174" s="52">
        <v>44774</v>
      </c>
      <c r="C174" s="18">
        <v>0.67535879629629625</v>
      </c>
      <c r="D174">
        <v>1468387</v>
      </c>
      <c r="E174" t="s">
        <v>717</v>
      </c>
      <c r="F174" t="s">
        <v>749</v>
      </c>
      <c r="G174">
        <v>1</v>
      </c>
      <c r="H174" t="s">
        <v>754</v>
      </c>
    </row>
    <row r="175" spans="1:8" x14ac:dyDescent="0.25">
      <c r="A175">
        <v>81</v>
      </c>
      <c r="B175" s="52">
        <v>44775</v>
      </c>
      <c r="C175" s="18">
        <v>0.42800925925925926</v>
      </c>
      <c r="D175">
        <v>1468569</v>
      </c>
      <c r="E175" t="s">
        <v>717</v>
      </c>
      <c r="F175" t="s">
        <v>749</v>
      </c>
      <c r="G175">
        <v>1</v>
      </c>
      <c r="H175" t="s">
        <v>754</v>
      </c>
    </row>
    <row r="176" spans="1:8" x14ac:dyDescent="0.25">
      <c r="A176">
        <v>81</v>
      </c>
      <c r="B176" s="52">
        <v>44775</v>
      </c>
      <c r="C176" s="18">
        <v>0.57203703703703701</v>
      </c>
      <c r="D176">
        <v>1468614</v>
      </c>
      <c r="E176" t="s">
        <v>717</v>
      </c>
      <c r="F176" t="s">
        <v>749</v>
      </c>
      <c r="G176">
        <v>1</v>
      </c>
      <c r="H176" t="s">
        <v>754</v>
      </c>
    </row>
    <row r="177" spans="1:8" x14ac:dyDescent="0.25">
      <c r="A177">
        <v>81</v>
      </c>
      <c r="B177" s="52">
        <v>44775</v>
      </c>
      <c r="C177" s="18">
        <v>0.74674768518518519</v>
      </c>
      <c r="D177">
        <v>1468694</v>
      </c>
      <c r="E177" t="s">
        <v>717</v>
      </c>
      <c r="F177" t="s">
        <v>749</v>
      </c>
      <c r="G177">
        <v>1</v>
      </c>
      <c r="H177" t="s">
        <v>754</v>
      </c>
    </row>
    <row r="178" spans="1:8" x14ac:dyDescent="0.25">
      <c r="A178">
        <v>81</v>
      </c>
      <c r="B178" s="52">
        <v>44775</v>
      </c>
      <c r="C178" s="18">
        <v>0.748113425925926</v>
      </c>
      <c r="D178">
        <v>1468696</v>
      </c>
      <c r="E178" t="s">
        <v>717</v>
      </c>
      <c r="F178" t="s">
        <v>749</v>
      </c>
      <c r="G178">
        <v>1</v>
      </c>
    </row>
    <row r="179" spans="1:8" x14ac:dyDescent="0.25">
      <c r="A179">
        <v>81</v>
      </c>
      <c r="B179" s="52">
        <v>44776</v>
      </c>
      <c r="C179" s="18">
        <v>0.42072916666666665</v>
      </c>
      <c r="D179">
        <v>1468874</v>
      </c>
      <c r="E179" t="s">
        <v>900</v>
      </c>
      <c r="F179" t="s">
        <v>749</v>
      </c>
      <c r="G179">
        <v>1</v>
      </c>
      <c r="H179" t="s">
        <v>754</v>
      </c>
    </row>
    <row r="180" spans="1:8" x14ac:dyDescent="0.25">
      <c r="A180">
        <v>81</v>
      </c>
      <c r="B180" s="52">
        <v>44776</v>
      </c>
      <c r="C180" s="18">
        <v>0.82990740740740743</v>
      </c>
      <c r="D180">
        <v>1469038</v>
      </c>
      <c r="E180" t="s">
        <v>718</v>
      </c>
      <c r="F180" t="s">
        <v>749</v>
      </c>
      <c r="G180">
        <v>1</v>
      </c>
      <c r="H180" t="s">
        <v>754</v>
      </c>
    </row>
    <row r="181" spans="1:8" x14ac:dyDescent="0.25">
      <c r="A181">
        <v>81</v>
      </c>
      <c r="B181" s="52">
        <v>44776</v>
      </c>
      <c r="C181" s="18">
        <v>0.91467592592592595</v>
      </c>
      <c r="D181">
        <v>1469083</v>
      </c>
      <c r="E181" t="s">
        <v>718</v>
      </c>
      <c r="F181" t="s">
        <v>749</v>
      </c>
      <c r="G181">
        <v>1</v>
      </c>
      <c r="H181" t="s">
        <v>754</v>
      </c>
    </row>
    <row r="182" spans="1:8" x14ac:dyDescent="0.25">
      <c r="A182">
        <v>81</v>
      </c>
      <c r="B182" s="52">
        <v>44777</v>
      </c>
      <c r="C182" s="18">
        <v>0.32453703703703701</v>
      </c>
      <c r="D182">
        <v>1469148</v>
      </c>
      <c r="E182" t="s">
        <v>718</v>
      </c>
      <c r="F182" t="s">
        <v>749</v>
      </c>
      <c r="G182">
        <v>1</v>
      </c>
      <c r="H182" t="s">
        <v>754</v>
      </c>
    </row>
    <row r="183" spans="1:8" x14ac:dyDescent="0.25">
      <c r="A183">
        <v>81</v>
      </c>
      <c r="B183" s="52">
        <v>44777</v>
      </c>
      <c r="C183" s="18">
        <v>0.39019675925925923</v>
      </c>
      <c r="D183">
        <v>1469158</v>
      </c>
      <c r="E183" t="s">
        <v>900</v>
      </c>
      <c r="F183" t="s">
        <v>749</v>
      </c>
      <c r="G183">
        <v>1</v>
      </c>
      <c r="H183" t="s">
        <v>754</v>
      </c>
    </row>
    <row r="184" spans="1:8" x14ac:dyDescent="0.25">
      <c r="A184">
        <v>81</v>
      </c>
      <c r="B184" s="52">
        <v>44777</v>
      </c>
      <c r="C184" s="18">
        <v>0.39157407407407407</v>
      </c>
      <c r="D184">
        <v>1469159</v>
      </c>
      <c r="E184" t="s">
        <v>900</v>
      </c>
      <c r="F184" t="s">
        <v>749</v>
      </c>
      <c r="G184">
        <v>1</v>
      </c>
      <c r="H184" t="s">
        <v>754</v>
      </c>
    </row>
    <row r="185" spans="1:8" x14ac:dyDescent="0.25">
      <c r="A185">
        <v>81</v>
      </c>
      <c r="B185" s="52">
        <v>44777</v>
      </c>
      <c r="C185" s="18">
        <v>0.39292824074074079</v>
      </c>
      <c r="D185">
        <v>1469160</v>
      </c>
      <c r="E185" t="s">
        <v>900</v>
      </c>
      <c r="F185" t="s">
        <v>749</v>
      </c>
      <c r="G185">
        <v>1</v>
      </c>
      <c r="H185" t="s">
        <v>754</v>
      </c>
    </row>
    <row r="186" spans="1:8" x14ac:dyDescent="0.25">
      <c r="A186">
        <v>81</v>
      </c>
      <c r="B186" s="52">
        <v>44777</v>
      </c>
      <c r="C186" s="18">
        <v>0.50090277777777781</v>
      </c>
      <c r="D186">
        <v>1469189</v>
      </c>
      <c r="E186" t="s">
        <v>900</v>
      </c>
      <c r="F186" t="s">
        <v>749</v>
      </c>
      <c r="G186">
        <v>1</v>
      </c>
      <c r="H186" t="s">
        <v>754</v>
      </c>
    </row>
    <row r="187" spans="1:8" x14ac:dyDescent="0.25">
      <c r="A187">
        <v>81</v>
      </c>
      <c r="B187" s="52">
        <v>44777</v>
      </c>
      <c r="C187" s="18">
        <v>0.50565972222222222</v>
      </c>
      <c r="D187">
        <v>1469190</v>
      </c>
      <c r="E187" t="s">
        <v>900</v>
      </c>
      <c r="F187" t="s">
        <v>749</v>
      </c>
      <c r="G187">
        <v>1</v>
      </c>
      <c r="H187" t="s">
        <v>754</v>
      </c>
    </row>
    <row r="188" spans="1:8" x14ac:dyDescent="0.25">
      <c r="A188">
        <v>81</v>
      </c>
      <c r="B188" s="52">
        <v>44777</v>
      </c>
      <c r="C188" s="18">
        <v>0.72256944444444438</v>
      </c>
      <c r="D188">
        <v>1469271</v>
      </c>
      <c r="E188" t="s">
        <v>900</v>
      </c>
      <c r="F188" t="s">
        <v>749</v>
      </c>
      <c r="G188">
        <v>1</v>
      </c>
      <c r="H188" t="s">
        <v>754</v>
      </c>
    </row>
    <row r="189" spans="1:8" x14ac:dyDescent="0.25">
      <c r="A189">
        <v>81</v>
      </c>
      <c r="B189" s="52">
        <v>44777</v>
      </c>
      <c r="C189" s="18">
        <v>0.72365740740740747</v>
      </c>
      <c r="D189">
        <v>1469272</v>
      </c>
      <c r="E189" t="s">
        <v>900</v>
      </c>
      <c r="F189" t="s">
        <v>749</v>
      </c>
      <c r="G189">
        <v>1</v>
      </c>
      <c r="H189" t="s">
        <v>754</v>
      </c>
    </row>
    <row r="190" spans="1:8" x14ac:dyDescent="0.25">
      <c r="A190">
        <v>81</v>
      </c>
      <c r="B190" s="52">
        <v>44777</v>
      </c>
      <c r="C190" s="18">
        <v>0.72585648148148152</v>
      </c>
      <c r="D190">
        <v>1469274</v>
      </c>
      <c r="E190" t="s">
        <v>900</v>
      </c>
      <c r="F190" t="s">
        <v>749</v>
      </c>
      <c r="G190">
        <v>1</v>
      </c>
      <c r="H190" t="s">
        <v>754</v>
      </c>
    </row>
    <row r="191" spans="1:8" x14ac:dyDescent="0.25">
      <c r="A191">
        <v>81</v>
      </c>
      <c r="B191" s="52">
        <v>44777</v>
      </c>
      <c r="C191" s="18">
        <v>0.74420138888888887</v>
      </c>
      <c r="D191">
        <v>1469284</v>
      </c>
      <c r="E191" t="s">
        <v>900</v>
      </c>
      <c r="F191" t="s">
        <v>749</v>
      </c>
      <c r="G191">
        <v>1</v>
      </c>
      <c r="H191" t="s">
        <v>754</v>
      </c>
    </row>
    <row r="192" spans="1:8" x14ac:dyDescent="0.25">
      <c r="A192">
        <v>81</v>
      </c>
      <c r="B192" s="52">
        <v>44777</v>
      </c>
      <c r="C192" s="18">
        <v>0.84791666666666676</v>
      </c>
      <c r="D192">
        <v>1469350</v>
      </c>
      <c r="E192" t="s">
        <v>718</v>
      </c>
      <c r="F192" t="s">
        <v>749</v>
      </c>
      <c r="G192">
        <v>1</v>
      </c>
      <c r="H192" t="s">
        <v>754</v>
      </c>
    </row>
    <row r="193" spans="1:8" x14ac:dyDescent="0.25">
      <c r="A193">
        <v>81</v>
      </c>
      <c r="B193" s="52">
        <v>44777</v>
      </c>
      <c r="C193" s="18">
        <v>0.86680555555555561</v>
      </c>
      <c r="D193">
        <v>1469364</v>
      </c>
      <c r="E193" t="s">
        <v>718</v>
      </c>
      <c r="F193" t="s">
        <v>749</v>
      </c>
      <c r="G193">
        <v>1</v>
      </c>
      <c r="H193" t="s">
        <v>754</v>
      </c>
    </row>
    <row r="194" spans="1:8" x14ac:dyDescent="0.25">
      <c r="A194">
        <v>81</v>
      </c>
      <c r="B194" s="52">
        <v>44778</v>
      </c>
      <c r="C194" s="18">
        <v>0.30018518518518517</v>
      </c>
      <c r="D194">
        <v>1469467</v>
      </c>
      <c r="E194" t="s">
        <v>718</v>
      </c>
      <c r="F194" t="s">
        <v>749</v>
      </c>
      <c r="G194">
        <v>1</v>
      </c>
      <c r="H194" t="s">
        <v>754</v>
      </c>
    </row>
    <row r="195" spans="1:8" x14ac:dyDescent="0.25">
      <c r="A195">
        <v>81</v>
      </c>
      <c r="B195" s="52">
        <v>44778</v>
      </c>
      <c r="C195" s="18">
        <v>0.33201388888888889</v>
      </c>
      <c r="D195">
        <v>1469473</v>
      </c>
      <c r="E195" t="s">
        <v>718</v>
      </c>
      <c r="F195" t="s">
        <v>749</v>
      </c>
      <c r="G195">
        <v>1</v>
      </c>
      <c r="H195" t="s">
        <v>754</v>
      </c>
    </row>
    <row r="196" spans="1:8" x14ac:dyDescent="0.25">
      <c r="A196">
        <v>81</v>
      </c>
      <c r="B196" s="52">
        <v>44778</v>
      </c>
      <c r="C196" s="18">
        <v>0.33489583333333334</v>
      </c>
      <c r="D196">
        <v>1469474</v>
      </c>
      <c r="E196" t="s">
        <v>900</v>
      </c>
      <c r="F196" t="s">
        <v>749</v>
      </c>
      <c r="G196">
        <v>1</v>
      </c>
      <c r="H196" t="s">
        <v>754</v>
      </c>
    </row>
    <row r="197" spans="1:8" x14ac:dyDescent="0.25">
      <c r="A197">
        <v>81</v>
      </c>
      <c r="B197" s="52">
        <v>44778</v>
      </c>
      <c r="C197" s="18">
        <v>0.34540509259259261</v>
      </c>
      <c r="D197">
        <v>1469475</v>
      </c>
      <c r="E197" t="s">
        <v>900</v>
      </c>
      <c r="F197" t="s">
        <v>749</v>
      </c>
      <c r="G197">
        <v>1</v>
      </c>
      <c r="H197" t="s">
        <v>754</v>
      </c>
    </row>
    <row r="198" spans="1:8" x14ac:dyDescent="0.25">
      <c r="A198">
        <v>81</v>
      </c>
      <c r="B198" s="52">
        <v>44778</v>
      </c>
      <c r="C198" s="18">
        <v>0.34738425925925925</v>
      </c>
      <c r="D198">
        <v>1469476</v>
      </c>
      <c r="E198" t="s">
        <v>900</v>
      </c>
      <c r="F198" t="s">
        <v>749</v>
      </c>
      <c r="G198">
        <v>1</v>
      </c>
      <c r="H198" t="s">
        <v>754</v>
      </c>
    </row>
    <row r="199" spans="1:8" x14ac:dyDescent="0.25">
      <c r="A199">
        <v>81</v>
      </c>
      <c r="B199" s="52">
        <v>44778</v>
      </c>
      <c r="C199" s="18">
        <v>0.3490625</v>
      </c>
      <c r="D199">
        <v>1469477</v>
      </c>
      <c r="E199" t="s">
        <v>900</v>
      </c>
      <c r="F199" t="s">
        <v>749</v>
      </c>
      <c r="G199">
        <v>1</v>
      </c>
      <c r="H199" t="s">
        <v>754</v>
      </c>
    </row>
    <row r="200" spans="1:8" x14ac:dyDescent="0.25">
      <c r="A200">
        <v>81</v>
      </c>
      <c r="B200" s="52">
        <v>44778</v>
      </c>
      <c r="C200" s="18">
        <v>0.35503472222222227</v>
      </c>
      <c r="D200">
        <v>1469480</v>
      </c>
      <c r="E200" t="s">
        <v>900</v>
      </c>
      <c r="F200" t="s">
        <v>749</v>
      </c>
      <c r="G200">
        <v>1</v>
      </c>
      <c r="H200" t="s">
        <v>754</v>
      </c>
    </row>
    <row r="201" spans="1:8" x14ac:dyDescent="0.25">
      <c r="A201">
        <v>81</v>
      </c>
      <c r="B201" s="52">
        <v>44778</v>
      </c>
      <c r="C201" s="18">
        <v>0.35952546296296295</v>
      </c>
      <c r="D201">
        <v>1469481</v>
      </c>
      <c r="E201" t="s">
        <v>900</v>
      </c>
      <c r="F201" t="s">
        <v>749</v>
      </c>
      <c r="G201">
        <v>1</v>
      </c>
      <c r="H201" t="s">
        <v>754</v>
      </c>
    </row>
    <row r="202" spans="1:8" x14ac:dyDescent="0.25">
      <c r="A202">
        <v>81</v>
      </c>
      <c r="B202" s="52">
        <v>44778</v>
      </c>
      <c r="C202" s="18">
        <v>0.36255787037037041</v>
      </c>
      <c r="D202">
        <v>1469483</v>
      </c>
      <c r="E202" t="s">
        <v>900</v>
      </c>
      <c r="F202" t="s">
        <v>749</v>
      </c>
      <c r="G202">
        <v>1</v>
      </c>
      <c r="H202" t="s">
        <v>754</v>
      </c>
    </row>
    <row r="203" spans="1:8" x14ac:dyDescent="0.25">
      <c r="A203">
        <v>81</v>
      </c>
      <c r="B203" s="52">
        <v>44778</v>
      </c>
      <c r="C203" s="18">
        <v>0.36858796296296298</v>
      </c>
      <c r="D203">
        <v>1469485</v>
      </c>
      <c r="E203" t="s">
        <v>900</v>
      </c>
      <c r="F203" t="s">
        <v>749</v>
      </c>
      <c r="G203">
        <v>1</v>
      </c>
      <c r="H203" t="s">
        <v>754</v>
      </c>
    </row>
    <row r="204" spans="1:8" x14ac:dyDescent="0.25">
      <c r="A204">
        <v>81</v>
      </c>
      <c r="B204" s="52">
        <v>44778</v>
      </c>
      <c r="C204" s="18">
        <v>0.3739467592592593</v>
      </c>
      <c r="D204">
        <v>1469487</v>
      </c>
      <c r="E204" t="s">
        <v>900</v>
      </c>
      <c r="F204" t="s">
        <v>749</v>
      </c>
      <c r="G204">
        <v>1</v>
      </c>
      <c r="H204" t="s">
        <v>754</v>
      </c>
    </row>
    <row r="205" spans="1:8" x14ac:dyDescent="0.25">
      <c r="A205">
        <v>81</v>
      </c>
      <c r="B205" s="52">
        <v>44778</v>
      </c>
      <c r="C205" s="18">
        <v>0.37574074074074071</v>
      </c>
      <c r="D205">
        <v>1469489</v>
      </c>
      <c r="E205" t="s">
        <v>900</v>
      </c>
      <c r="F205" t="s">
        <v>749</v>
      </c>
      <c r="G205">
        <v>1</v>
      </c>
      <c r="H205" t="s">
        <v>754</v>
      </c>
    </row>
    <row r="206" spans="1:8" x14ac:dyDescent="0.25">
      <c r="A206">
        <v>81</v>
      </c>
      <c r="B206" s="52">
        <v>44778</v>
      </c>
      <c r="C206" s="18">
        <v>0.38055555555555554</v>
      </c>
      <c r="D206">
        <v>1469491</v>
      </c>
      <c r="E206" t="s">
        <v>900</v>
      </c>
      <c r="F206" t="s">
        <v>749</v>
      </c>
      <c r="G206">
        <v>1</v>
      </c>
      <c r="H206" t="s">
        <v>754</v>
      </c>
    </row>
    <row r="207" spans="1:8" x14ac:dyDescent="0.25">
      <c r="A207">
        <v>81</v>
      </c>
      <c r="B207" s="52">
        <v>44778</v>
      </c>
      <c r="C207" s="18">
        <v>0.3818171296296296</v>
      </c>
      <c r="D207">
        <v>1469492</v>
      </c>
      <c r="E207" t="s">
        <v>900</v>
      </c>
      <c r="F207" t="s">
        <v>749</v>
      </c>
      <c r="G207">
        <v>1</v>
      </c>
      <c r="H207" t="s">
        <v>754</v>
      </c>
    </row>
    <row r="208" spans="1:8" x14ac:dyDescent="0.25">
      <c r="A208">
        <v>81</v>
      </c>
      <c r="B208" s="52">
        <v>44778</v>
      </c>
      <c r="C208" s="18">
        <v>0.39571759259259259</v>
      </c>
      <c r="D208">
        <v>1469498</v>
      </c>
      <c r="E208" t="s">
        <v>900</v>
      </c>
      <c r="F208" t="s">
        <v>749</v>
      </c>
      <c r="G208">
        <v>1</v>
      </c>
      <c r="H208" t="s">
        <v>754</v>
      </c>
    </row>
    <row r="209" spans="1:8" x14ac:dyDescent="0.25">
      <c r="A209">
        <v>81</v>
      </c>
      <c r="B209" s="52">
        <v>44778</v>
      </c>
      <c r="C209" s="18">
        <v>0.39781249999999996</v>
      </c>
      <c r="D209">
        <v>1469499</v>
      </c>
      <c r="E209" t="s">
        <v>900</v>
      </c>
      <c r="F209" t="s">
        <v>749</v>
      </c>
      <c r="G209">
        <v>1</v>
      </c>
      <c r="H209" t="s">
        <v>754</v>
      </c>
    </row>
    <row r="210" spans="1:8" x14ac:dyDescent="0.25">
      <c r="A210">
        <v>81</v>
      </c>
      <c r="B210" s="52">
        <v>44778</v>
      </c>
      <c r="C210" s="18">
        <v>0.40035879629629628</v>
      </c>
      <c r="D210">
        <v>1469503</v>
      </c>
      <c r="E210" t="s">
        <v>900</v>
      </c>
      <c r="F210" t="s">
        <v>749</v>
      </c>
      <c r="G210">
        <v>1</v>
      </c>
      <c r="H210" t="s">
        <v>754</v>
      </c>
    </row>
    <row r="211" spans="1:8" x14ac:dyDescent="0.25">
      <c r="A211">
        <v>81</v>
      </c>
      <c r="B211" s="52">
        <v>44778</v>
      </c>
      <c r="C211" s="18">
        <v>0.41645833333333332</v>
      </c>
      <c r="D211">
        <v>1469512</v>
      </c>
      <c r="E211" t="s">
        <v>900</v>
      </c>
      <c r="F211" t="s">
        <v>749</v>
      </c>
      <c r="G211">
        <v>1</v>
      </c>
      <c r="H211" t="s">
        <v>754</v>
      </c>
    </row>
    <row r="212" spans="1:8" x14ac:dyDescent="0.25">
      <c r="A212">
        <v>81</v>
      </c>
      <c r="B212" s="52">
        <v>44778</v>
      </c>
      <c r="C212" s="18">
        <v>0.41946759259259259</v>
      </c>
      <c r="D212">
        <v>1469515</v>
      </c>
      <c r="E212" t="s">
        <v>900</v>
      </c>
      <c r="F212" t="s">
        <v>749</v>
      </c>
      <c r="G212">
        <v>1</v>
      </c>
      <c r="H212" t="s">
        <v>754</v>
      </c>
    </row>
    <row r="213" spans="1:8" x14ac:dyDescent="0.25">
      <c r="A213">
        <v>81</v>
      </c>
      <c r="B213" s="52">
        <v>44778</v>
      </c>
      <c r="C213" s="18">
        <v>0.42527777777777781</v>
      </c>
      <c r="D213">
        <v>1469517</v>
      </c>
      <c r="E213" t="s">
        <v>900</v>
      </c>
      <c r="F213" t="s">
        <v>749</v>
      </c>
      <c r="G213">
        <v>1</v>
      </c>
      <c r="H213" t="s">
        <v>754</v>
      </c>
    </row>
    <row r="214" spans="1:8" x14ac:dyDescent="0.25">
      <c r="A214">
        <v>81</v>
      </c>
      <c r="B214" s="52">
        <v>44778</v>
      </c>
      <c r="C214" s="18">
        <v>0.43753472222222217</v>
      </c>
      <c r="D214">
        <v>1469522</v>
      </c>
      <c r="E214" t="s">
        <v>900</v>
      </c>
      <c r="F214" t="s">
        <v>749</v>
      </c>
      <c r="G214">
        <v>1</v>
      </c>
      <c r="H214" t="s">
        <v>754</v>
      </c>
    </row>
    <row r="215" spans="1:8" x14ac:dyDescent="0.25">
      <c r="A215">
        <v>81</v>
      </c>
      <c r="B215" s="52">
        <v>44778</v>
      </c>
      <c r="C215" s="18">
        <v>0.45550925925925928</v>
      </c>
      <c r="D215">
        <v>1469526</v>
      </c>
      <c r="E215" t="s">
        <v>900</v>
      </c>
      <c r="F215" t="s">
        <v>749</v>
      </c>
      <c r="G215">
        <v>1</v>
      </c>
      <c r="H215" t="s">
        <v>754</v>
      </c>
    </row>
    <row r="216" spans="1:8" x14ac:dyDescent="0.25">
      <c r="A216">
        <v>81</v>
      </c>
      <c r="B216" s="52">
        <v>44778</v>
      </c>
      <c r="C216" s="18">
        <v>0.4650347222222222</v>
      </c>
      <c r="D216">
        <v>1469534</v>
      </c>
      <c r="E216" t="s">
        <v>900</v>
      </c>
      <c r="F216" t="s">
        <v>749</v>
      </c>
      <c r="G216">
        <v>1</v>
      </c>
      <c r="H216" t="s">
        <v>754</v>
      </c>
    </row>
    <row r="217" spans="1:8" x14ac:dyDescent="0.25">
      <c r="A217">
        <v>81</v>
      </c>
      <c r="B217" s="52">
        <v>44778</v>
      </c>
      <c r="C217" s="18">
        <v>0.4788425925925926</v>
      </c>
      <c r="D217">
        <v>1469543</v>
      </c>
      <c r="E217" t="s">
        <v>900</v>
      </c>
      <c r="F217" t="s">
        <v>749</v>
      </c>
      <c r="G217">
        <v>1</v>
      </c>
      <c r="H217" t="s">
        <v>754</v>
      </c>
    </row>
    <row r="218" spans="1:8" x14ac:dyDescent="0.25">
      <c r="A218">
        <v>81</v>
      </c>
      <c r="B218" s="52">
        <v>44778</v>
      </c>
      <c r="C218" s="18">
        <v>0.48837962962962966</v>
      </c>
      <c r="D218">
        <v>1469547</v>
      </c>
      <c r="E218" t="s">
        <v>900</v>
      </c>
      <c r="F218" t="s">
        <v>749</v>
      </c>
      <c r="G218">
        <v>1</v>
      </c>
      <c r="H218" t="s">
        <v>754</v>
      </c>
    </row>
    <row r="219" spans="1:8" x14ac:dyDescent="0.25">
      <c r="A219">
        <v>81</v>
      </c>
      <c r="B219" s="52">
        <v>44778</v>
      </c>
      <c r="C219" s="18">
        <v>0.59112268518518518</v>
      </c>
      <c r="D219">
        <v>1469565</v>
      </c>
      <c r="E219" t="s">
        <v>900</v>
      </c>
      <c r="F219" t="s">
        <v>749</v>
      </c>
      <c r="G219">
        <v>1</v>
      </c>
      <c r="H219" t="s">
        <v>754</v>
      </c>
    </row>
    <row r="220" spans="1:8" x14ac:dyDescent="0.25">
      <c r="A220">
        <v>81</v>
      </c>
      <c r="B220" s="52">
        <v>44778</v>
      </c>
      <c r="C220" s="18">
        <v>0.60688657407407409</v>
      </c>
      <c r="D220">
        <v>1469571</v>
      </c>
      <c r="E220" t="s">
        <v>900</v>
      </c>
      <c r="F220" t="s">
        <v>749</v>
      </c>
      <c r="G220">
        <v>1</v>
      </c>
      <c r="H220" t="s">
        <v>754</v>
      </c>
    </row>
    <row r="221" spans="1:8" x14ac:dyDescent="0.25">
      <c r="A221">
        <v>81</v>
      </c>
      <c r="B221" s="52">
        <v>44778</v>
      </c>
      <c r="C221" s="18">
        <v>0.65562500000000001</v>
      </c>
      <c r="D221">
        <v>1469597</v>
      </c>
      <c r="E221" t="s">
        <v>900</v>
      </c>
      <c r="F221" t="s">
        <v>749</v>
      </c>
      <c r="G221">
        <v>1</v>
      </c>
      <c r="H221" t="s">
        <v>754</v>
      </c>
    </row>
    <row r="222" spans="1:8" x14ac:dyDescent="0.25">
      <c r="A222">
        <v>81</v>
      </c>
      <c r="B222" s="52">
        <v>44778</v>
      </c>
      <c r="C222" s="18">
        <v>0.66975694444444445</v>
      </c>
      <c r="D222">
        <v>1469598</v>
      </c>
      <c r="E222" t="s">
        <v>900</v>
      </c>
      <c r="F222" t="s">
        <v>749</v>
      </c>
      <c r="G222">
        <v>1</v>
      </c>
      <c r="H222" t="s">
        <v>754</v>
      </c>
    </row>
    <row r="223" spans="1:8" x14ac:dyDescent="0.25">
      <c r="A223">
        <v>81</v>
      </c>
      <c r="B223" s="52">
        <v>44778</v>
      </c>
      <c r="C223" s="18">
        <v>0.67418981481481488</v>
      </c>
      <c r="D223">
        <v>1469600</v>
      </c>
      <c r="E223" t="s">
        <v>900</v>
      </c>
      <c r="F223" t="s">
        <v>749</v>
      </c>
      <c r="G223">
        <v>1</v>
      </c>
      <c r="H223" t="s">
        <v>754</v>
      </c>
    </row>
    <row r="224" spans="1:8" x14ac:dyDescent="0.25">
      <c r="A224">
        <v>81</v>
      </c>
      <c r="B224" s="52">
        <v>44778</v>
      </c>
      <c r="C224" s="18">
        <v>0.7149537037037037</v>
      </c>
      <c r="D224">
        <v>1469616</v>
      </c>
      <c r="E224" t="s">
        <v>717</v>
      </c>
      <c r="F224" t="s">
        <v>749</v>
      </c>
      <c r="G224">
        <v>1</v>
      </c>
      <c r="H224" t="s">
        <v>754</v>
      </c>
    </row>
    <row r="225" spans="1:8" x14ac:dyDescent="0.25">
      <c r="A225">
        <v>81</v>
      </c>
      <c r="B225" s="52">
        <v>44778</v>
      </c>
      <c r="C225" s="18">
        <v>0.77427083333333335</v>
      </c>
      <c r="D225">
        <v>1469639</v>
      </c>
      <c r="E225" t="s">
        <v>717</v>
      </c>
      <c r="F225" t="s">
        <v>749</v>
      </c>
      <c r="G225">
        <v>1</v>
      </c>
      <c r="H225" t="s">
        <v>754</v>
      </c>
    </row>
    <row r="226" spans="1:8" x14ac:dyDescent="0.25">
      <c r="A226">
        <v>81</v>
      </c>
      <c r="B226" s="52">
        <v>44778</v>
      </c>
      <c r="C226" s="18">
        <v>0.80163194444444441</v>
      </c>
      <c r="D226">
        <v>1469664</v>
      </c>
      <c r="E226" t="s">
        <v>717</v>
      </c>
      <c r="F226" t="s">
        <v>749</v>
      </c>
      <c r="G226">
        <v>1</v>
      </c>
      <c r="H226" t="s">
        <v>754</v>
      </c>
    </row>
    <row r="227" spans="1:8" x14ac:dyDescent="0.25">
      <c r="A227">
        <v>81</v>
      </c>
      <c r="B227" s="52">
        <v>44778</v>
      </c>
      <c r="C227" s="18">
        <v>0.9252083333333333</v>
      </c>
      <c r="D227">
        <v>1469742</v>
      </c>
      <c r="E227" t="s">
        <v>718</v>
      </c>
      <c r="F227" t="s">
        <v>749</v>
      </c>
      <c r="G227">
        <v>1</v>
      </c>
      <c r="H227" t="s">
        <v>754</v>
      </c>
    </row>
    <row r="228" spans="1:8" x14ac:dyDescent="0.25">
      <c r="A228">
        <v>81</v>
      </c>
      <c r="B228" s="52">
        <v>44778</v>
      </c>
      <c r="C228" s="18">
        <v>0.95811342592592597</v>
      </c>
      <c r="D228">
        <v>1469758</v>
      </c>
      <c r="E228" t="s">
        <v>718</v>
      </c>
      <c r="F228" t="s">
        <v>749</v>
      </c>
      <c r="G228">
        <v>1</v>
      </c>
      <c r="H228" t="s">
        <v>754</v>
      </c>
    </row>
    <row r="229" spans="1:8" x14ac:dyDescent="0.25">
      <c r="A229">
        <v>81</v>
      </c>
      <c r="B229" s="52">
        <v>44779</v>
      </c>
      <c r="C229" s="18">
        <v>0.63506944444444446</v>
      </c>
      <c r="D229">
        <v>1469922</v>
      </c>
      <c r="E229" t="s">
        <v>900</v>
      </c>
      <c r="F229" t="s">
        <v>749</v>
      </c>
      <c r="G229">
        <v>1</v>
      </c>
      <c r="H229" t="s">
        <v>754</v>
      </c>
    </row>
    <row r="230" spans="1:8" x14ac:dyDescent="0.25">
      <c r="A230">
        <v>81</v>
      </c>
      <c r="B230" s="52">
        <v>44780</v>
      </c>
      <c r="C230" s="18">
        <v>0.59810185185185183</v>
      </c>
      <c r="D230">
        <v>1470307</v>
      </c>
      <c r="E230" t="s">
        <v>900</v>
      </c>
      <c r="F230" t="s">
        <v>749</v>
      </c>
      <c r="G230">
        <v>1</v>
      </c>
      <c r="H230" t="s">
        <v>754</v>
      </c>
    </row>
    <row r="231" spans="1:8" x14ac:dyDescent="0.25">
      <c r="A231">
        <v>91</v>
      </c>
      <c r="B231" s="52">
        <v>44774</v>
      </c>
      <c r="C231" s="18">
        <v>0.44003472222222223</v>
      </c>
      <c r="D231">
        <v>1081554</v>
      </c>
      <c r="E231" t="s">
        <v>719</v>
      </c>
      <c r="F231" t="s">
        <v>749</v>
      </c>
      <c r="G231">
        <v>1</v>
      </c>
      <c r="H231" t="s">
        <v>754</v>
      </c>
    </row>
    <row r="232" spans="1:8" x14ac:dyDescent="0.25">
      <c r="A232">
        <v>91</v>
      </c>
      <c r="B232" s="52">
        <v>44774</v>
      </c>
      <c r="C232" s="18">
        <v>0.44152777777777774</v>
      </c>
      <c r="D232">
        <v>1081555</v>
      </c>
      <c r="E232" t="s">
        <v>719</v>
      </c>
      <c r="F232" t="s">
        <v>749</v>
      </c>
      <c r="G232">
        <v>1</v>
      </c>
      <c r="H232" t="s">
        <v>754</v>
      </c>
    </row>
    <row r="233" spans="1:8" x14ac:dyDescent="0.25">
      <c r="A233">
        <v>91</v>
      </c>
      <c r="B233" s="52">
        <v>44774</v>
      </c>
      <c r="C233" s="18">
        <v>0.90226851851851853</v>
      </c>
      <c r="D233">
        <v>1081734</v>
      </c>
      <c r="E233" t="s">
        <v>720</v>
      </c>
      <c r="F233" t="s">
        <v>749</v>
      </c>
      <c r="G233">
        <v>1</v>
      </c>
      <c r="H233" t="s">
        <v>754</v>
      </c>
    </row>
    <row r="234" spans="1:8" x14ac:dyDescent="0.25">
      <c r="A234">
        <v>91</v>
      </c>
      <c r="B234" s="52">
        <v>44775</v>
      </c>
      <c r="C234" s="18">
        <v>0.6182523148148148</v>
      </c>
      <c r="D234">
        <v>1081926</v>
      </c>
      <c r="E234" t="s">
        <v>719</v>
      </c>
      <c r="F234" t="s">
        <v>749</v>
      </c>
      <c r="G234">
        <v>1</v>
      </c>
      <c r="H234" t="s">
        <v>754</v>
      </c>
    </row>
    <row r="235" spans="1:8" x14ac:dyDescent="0.25">
      <c r="A235">
        <v>91</v>
      </c>
      <c r="B235" s="52">
        <v>44775</v>
      </c>
      <c r="C235" s="18">
        <v>0.80483796296296306</v>
      </c>
      <c r="D235">
        <v>1081978</v>
      </c>
      <c r="E235" t="s">
        <v>720</v>
      </c>
      <c r="F235" t="s">
        <v>749</v>
      </c>
      <c r="G235">
        <v>1</v>
      </c>
      <c r="H235" t="s">
        <v>754</v>
      </c>
    </row>
    <row r="236" spans="1:8" x14ac:dyDescent="0.25">
      <c r="A236">
        <v>91</v>
      </c>
      <c r="B236" s="52">
        <v>44775</v>
      </c>
      <c r="C236" s="18">
        <v>0.89217592592592598</v>
      </c>
      <c r="D236">
        <v>1082007</v>
      </c>
      <c r="E236" t="s">
        <v>720</v>
      </c>
      <c r="F236" t="s">
        <v>749</v>
      </c>
      <c r="G236">
        <v>1</v>
      </c>
      <c r="H236" t="s">
        <v>754</v>
      </c>
    </row>
    <row r="237" spans="1:8" x14ac:dyDescent="0.25">
      <c r="A237">
        <v>91</v>
      </c>
      <c r="B237" s="52">
        <v>44775</v>
      </c>
      <c r="C237" s="18">
        <v>0.89348379629629626</v>
      </c>
      <c r="D237">
        <v>1082008</v>
      </c>
      <c r="E237" t="s">
        <v>720</v>
      </c>
      <c r="F237" t="s">
        <v>749</v>
      </c>
      <c r="G237">
        <v>1</v>
      </c>
      <c r="H237" t="s">
        <v>754</v>
      </c>
    </row>
    <row r="238" spans="1:8" x14ac:dyDescent="0.25">
      <c r="A238">
        <v>91</v>
      </c>
      <c r="B238" s="52">
        <v>44775</v>
      </c>
      <c r="C238" s="18">
        <v>0.89518518518518519</v>
      </c>
      <c r="D238">
        <v>1082009</v>
      </c>
      <c r="E238" t="s">
        <v>720</v>
      </c>
      <c r="F238" t="s">
        <v>749</v>
      </c>
      <c r="G238">
        <v>1</v>
      </c>
      <c r="H238" t="s">
        <v>754</v>
      </c>
    </row>
    <row r="239" spans="1:8" x14ac:dyDescent="0.25">
      <c r="A239">
        <v>91</v>
      </c>
      <c r="B239" s="52">
        <v>44776</v>
      </c>
      <c r="C239" s="18">
        <v>0.35501157407407408</v>
      </c>
      <c r="D239">
        <v>1082137</v>
      </c>
      <c r="E239" t="s">
        <v>719</v>
      </c>
      <c r="F239" t="s">
        <v>749</v>
      </c>
      <c r="G239">
        <v>1</v>
      </c>
      <c r="H239" t="s">
        <v>754</v>
      </c>
    </row>
    <row r="240" spans="1:8" x14ac:dyDescent="0.25">
      <c r="A240">
        <v>91</v>
      </c>
      <c r="B240" s="52">
        <v>44776</v>
      </c>
      <c r="C240" s="18">
        <v>0.58302083333333332</v>
      </c>
      <c r="D240">
        <v>1082200</v>
      </c>
      <c r="E240" t="s">
        <v>719</v>
      </c>
      <c r="F240" t="s">
        <v>749</v>
      </c>
      <c r="G240">
        <v>1</v>
      </c>
      <c r="H240" t="s">
        <v>754</v>
      </c>
    </row>
    <row r="241" spans="1:8" x14ac:dyDescent="0.25">
      <c r="A241">
        <v>91</v>
      </c>
      <c r="B241" s="52">
        <v>44776</v>
      </c>
      <c r="C241" s="18">
        <v>0.60347222222222219</v>
      </c>
      <c r="D241">
        <v>1082214</v>
      </c>
      <c r="E241" t="s">
        <v>719</v>
      </c>
      <c r="F241" t="s">
        <v>749</v>
      </c>
      <c r="G241">
        <v>1</v>
      </c>
      <c r="H241" t="s">
        <v>754</v>
      </c>
    </row>
    <row r="242" spans="1:8" x14ac:dyDescent="0.25">
      <c r="A242">
        <v>91</v>
      </c>
      <c r="B242" s="52">
        <v>44776</v>
      </c>
      <c r="C242" s="18">
        <v>0.70975694444444448</v>
      </c>
      <c r="D242">
        <v>1082256</v>
      </c>
      <c r="E242" t="s">
        <v>719</v>
      </c>
      <c r="F242" t="s">
        <v>749</v>
      </c>
      <c r="G242">
        <v>1</v>
      </c>
      <c r="H242" t="s">
        <v>754</v>
      </c>
    </row>
    <row r="243" spans="1:8" x14ac:dyDescent="0.25">
      <c r="A243">
        <v>91</v>
      </c>
      <c r="B243" s="52">
        <v>44777</v>
      </c>
      <c r="C243" s="18">
        <v>0.30394675925925924</v>
      </c>
      <c r="D243">
        <v>1082430</v>
      </c>
      <c r="E243" t="s">
        <v>719</v>
      </c>
      <c r="F243" t="s">
        <v>749</v>
      </c>
      <c r="G243">
        <v>1</v>
      </c>
      <c r="H243" t="s">
        <v>754</v>
      </c>
    </row>
    <row r="244" spans="1:8" x14ac:dyDescent="0.25">
      <c r="A244">
        <v>91</v>
      </c>
      <c r="B244" s="52">
        <v>44777</v>
      </c>
      <c r="C244" s="18">
        <v>0.35656249999999995</v>
      </c>
      <c r="D244">
        <v>1082445</v>
      </c>
      <c r="E244" t="s">
        <v>719</v>
      </c>
      <c r="F244" t="s">
        <v>749</v>
      </c>
      <c r="G244">
        <v>1</v>
      </c>
      <c r="H244" t="s">
        <v>754</v>
      </c>
    </row>
    <row r="245" spans="1:8" x14ac:dyDescent="0.25">
      <c r="A245">
        <v>91</v>
      </c>
      <c r="B245" s="52">
        <v>44777</v>
      </c>
      <c r="C245" s="18">
        <v>0.38383101851851853</v>
      </c>
      <c r="D245">
        <v>1082447</v>
      </c>
      <c r="E245" t="s">
        <v>719</v>
      </c>
      <c r="F245" t="s">
        <v>749</v>
      </c>
      <c r="G245">
        <v>1</v>
      </c>
      <c r="H245" t="s">
        <v>754</v>
      </c>
    </row>
    <row r="246" spans="1:8" x14ac:dyDescent="0.25">
      <c r="A246">
        <v>91</v>
      </c>
      <c r="B246" s="52">
        <v>44777</v>
      </c>
      <c r="C246" s="18">
        <v>0.68482638888888892</v>
      </c>
      <c r="D246">
        <v>1082530</v>
      </c>
      <c r="E246" t="s">
        <v>719</v>
      </c>
      <c r="F246" t="s">
        <v>749</v>
      </c>
      <c r="G246">
        <v>1</v>
      </c>
      <c r="H246" t="s">
        <v>754</v>
      </c>
    </row>
    <row r="247" spans="1:8" x14ac:dyDescent="0.25">
      <c r="A247">
        <v>91</v>
      </c>
      <c r="B247" s="52">
        <v>44777</v>
      </c>
      <c r="C247" s="18">
        <v>0.68585648148148148</v>
      </c>
      <c r="D247">
        <v>1082531</v>
      </c>
      <c r="E247" t="s">
        <v>719</v>
      </c>
      <c r="F247" t="s">
        <v>749</v>
      </c>
      <c r="G247">
        <v>1</v>
      </c>
      <c r="H247" t="s">
        <v>754</v>
      </c>
    </row>
    <row r="248" spans="1:8" x14ac:dyDescent="0.25">
      <c r="A248">
        <v>91</v>
      </c>
      <c r="B248" s="52">
        <v>44777</v>
      </c>
      <c r="C248" s="18">
        <v>0.72486111111111118</v>
      </c>
      <c r="D248">
        <v>1082543</v>
      </c>
      <c r="E248" t="s">
        <v>901</v>
      </c>
      <c r="F248" t="s">
        <v>749</v>
      </c>
      <c r="G248">
        <v>1</v>
      </c>
      <c r="H248" t="s">
        <v>754</v>
      </c>
    </row>
    <row r="249" spans="1:8" x14ac:dyDescent="0.25">
      <c r="A249">
        <v>91</v>
      </c>
      <c r="B249" s="52">
        <v>44777</v>
      </c>
      <c r="C249" s="18">
        <v>0.77501157407407406</v>
      </c>
      <c r="D249">
        <v>1082560</v>
      </c>
      <c r="E249" t="s">
        <v>720</v>
      </c>
      <c r="F249" t="s">
        <v>749</v>
      </c>
      <c r="G249">
        <v>1</v>
      </c>
      <c r="H249" t="s">
        <v>754</v>
      </c>
    </row>
    <row r="250" spans="1:8" x14ac:dyDescent="0.25">
      <c r="A250">
        <v>91</v>
      </c>
      <c r="B250" s="52">
        <v>44777</v>
      </c>
      <c r="C250" s="18">
        <v>0.77725694444444438</v>
      </c>
      <c r="D250">
        <v>1082561</v>
      </c>
      <c r="E250" t="s">
        <v>720</v>
      </c>
      <c r="F250" t="s">
        <v>749</v>
      </c>
      <c r="G250">
        <v>1</v>
      </c>
      <c r="H250" t="s">
        <v>754</v>
      </c>
    </row>
    <row r="251" spans="1:8" x14ac:dyDescent="0.25">
      <c r="A251">
        <v>91</v>
      </c>
      <c r="B251" s="52">
        <v>44777</v>
      </c>
      <c r="C251" s="18">
        <v>0.78798611111111105</v>
      </c>
      <c r="D251">
        <v>1082568</v>
      </c>
      <c r="E251" t="s">
        <v>720</v>
      </c>
      <c r="F251" t="s">
        <v>749</v>
      </c>
      <c r="G251">
        <v>1</v>
      </c>
      <c r="H251" t="s">
        <v>754</v>
      </c>
    </row>
    <row r="252" spans="1:8" x14ac:dyDescent="0.25">
      <c r="A252">
        <v>91</v>
      </c>
      <c r="B252" s="52">
        <v>44777</v>
      </c>
      <c r="C252" s="18">
        <v>0.78979166666666656</v>
      </c>
      <c r="D252">
        <v>1082569</v>
      </c>
      <c r="E252" t="s">
        <v>720</v>
      </c>
      <c r="F252" t="s">
        <v>749</v>
      </c>
      <c r="G252">
        <v>1</v>
      </c>
      <c r="H252" t="s">
        <v>754</v>
      </c>
    </row>
    <row r="253" spans="1:8" x14ac:dyDescent="0.25">
      <c r="A253">
        <v>91</v>
      </c>
      <c r="B253" s="52">
        <v>44777</v>
      </c>
      <c r="C253" s="18">
        <v>0.79182870370370362</v>
      </c>
      <c r="D253">
        <v>1082570</v>
      </c>
      <c r="E253" t="s">
        <v>720</v>
      </c>
      <c r="F253" t="s">
        <v>749</v>
      </c>
      <c r="G253">
        <v>1</v>
      </c>
      <c r="H253" t="s">
        <v>754</v>
      </c>
    </row>
    <row r="254" spans="1:8" x14ac:dyDescent="0.25">
      <c r="A254">
        <v>91</v>
      </c>
      <c r="B254" s="52">
        <v>44777</v>
      </c>
      <c r="C254" s="18">
        <v>0.88351851851851848</v>
      </c>
      <c r="D254">
        <v>1082620</v>
      </c>
      <c r="E254" t="s">
        <v>720</v>
      </c>
      <c r="F254" t="s">
        <v>749</v>
      </c>
      <c r="G254">
        <v>1</v>
      </c>
      <c r="H254" t="s">
        <v>754</v>
      </c>
    </row>
    <row r="255" spans="1:8" x14ac:dyDescent="0.25">
      <c r="A255">
        <v>91</v>
      </c>
      <c r="B255" s="52">
        <v>44777</v>
      </c>
      <c r="C255" s="18">
        <v>0.89356481481481476</v>
      </c>
      <c r="D255">
        <v>1082628</v>
      </c>
      <c r="E255" t="s">
        <v>720</v>
      </c>
      <c r="F255" t="s">
        <v>749</v>
      </c>
      <c r="G255">
        <v>1</v>
      </c>
      <c r="H255" t="s">
        <v>754</v>
      </c>
    </row>
    <row r="256" spans="1:8" x14ac:dyDescent="0.25">
      <c r="A256">
        <v>91</v>
      </c>
      <c r="B256" s="52">
        <v>44777</v>
      </c>
      <c r="C256" s="18">
        <v>0.90524305555555562</v>
      </c>
      <c r="D256">
        <v>1082630</v>
      </c>
      <c r="E256" t="s">
        <v>720</v>
      </c>
      <c r="F256" t="s">
        <v>749</v>
      </c>
      <c r="G256">
        <v>1</v>
      </c>
      <c r="H256" t="s">
        <v>754</v>
      </c>
    </row>
    <row r="257" spans="1:8" x14ac:dyDescent="0.25">
      <c r="A257">
        <v>91</v>
      </c>
      <c r="B257" s="52">
        <v>44777</v>
      </c>
      <c r="C257" s="18">
        <v>0.90666666666666673</v>
      </c>
      <c r="D257">
        <v>1082631</v>
      </c>
      <c r="E257" t="s">
        <v>720</v>
      </c>
      <c r="F257" t="s">
        <v>749</v>
      </c>
      <c r="G257">
        <v>1</v>
      </c>
      <c r="H257" t="s">
        <v>754</v>
      </c>
    </row>
    <row r="258" spans="1:8" x14ac:dyDescent="0.25">
      <c r="A258">
        <v>91</v>
      </c>
      <c r="B258" s="52">
        <v>44777</v>
      </c>
      <c r="C258" s="18">
        <v>0.91108796296296291</v>
      </c>
      <c r="D258">
        <v>1082636</v>
      </c>
      <c r="E258" t="s">
        <v>720</v>
      </c>
      <c r="F258" t="s">
        <v>749</v>
      </c>
      <c r="G258">
        <v>1</v>
      </c>
      <c r="H258" t="s">
        <v>754</v>
      </c>
    </row>
    <row r="259" spans="1:8" x14ac:dyDescent="0.25">
      <c r="A259">
        <v>91</v>
      </c>
      <c r="B259" s="52">
        <v>44777</v>
      </c>
      <c r="C259" s="18">
        <v>0.92216435185185175</v>
      </c>
      <c r="D259">
        <v>1082643</v>
      </c>
      <c r="E259" t="s">
        <v>720</v>
      </c>
      <c r="F259" t="s">
        <v>749</v>
      </c>
      <c r="G259">
        <v>1</v>
      </c>
      <c r="H259" t="s">
        <v>754</v>
      </c>
    </row>
    <row r="260" spans="1:8" x14ac:dyDescent="0.25">
      <c r="A260">
        <v>91</v>
      </c>
      <c r="B260" s="52">
        <v>44777</v>
      </c>
      <c r="C260" s="18">
        <v>0.95528935185185182</v>
      </c>
      <c r="D260">
        <v>1082665</v>
      </c>
      <c r="E260" t="s">
        <v>720</v>
      </c>
      <c r="F260" t="s">
        <v>749</v>
      </c>
      <c r="G260">
        <v>1</v>
      </c>
      <c r="H260" t="s">
        <v>754</v>
      </c>
    </row>
    <row r="261" spans="1:8" x14ac:dyDescent="0.25">
      <c r="A261">
        <v>91</v>
      </c>
      <c r="B261" s="52">
        <v>44778</v>
      </c>
      <c r="C261" s="18">
        <v>0.28483796296296299</v>
      </c>
      <c r="D261">
        <v>1082759</v>
      </c>
      <c r="E261" t="s">
        <v>720</v>
      </c>
      <c r="F261" t="s">
        <v>749</v>
      </c>
      <c r="G261">
        <v>1</v>
      </c>
      <c r="H261" t="s">
        <v>754</v>
      </c>
    </row>
    <row r="262" spans="1:8" x14ac:dyDescent="0.25">
      <c r="A262">
        <v>91</v>
      </c>
      <c r="B262" s="52">
        <v>44778</v>
      </c>
      <c r="C262" s="18">
        <v>0.29942129629629627</v>
      </c>
      <c r="D262">
        <v>1082765</v>
      </c>
      <c r="E262" t="s">
        <v>719</v>
      </c>
      <c r="F262" t="s">
        <v>749</v>
      </c>
      <c r="G262">
        <v>1</v>
      </c>
      <c r="H262" t="s">
        <v>754</v>
      </c>
    </row>
    <row r="263" spans="1:8" x14ac:dyDescent="0.25">
      <c r="A263">
        <v>91</v>
      </c>
      <c r="B263" s="52">
        <v>44778</v>
      </c>
      <c r="C263" s="18">
        <v>0.31601851851851853</v>
      </c>
      <c r="D263">
        <v>1082768</v>
      </c>
      <c r="E263" t="s">
        <v>719</v>
      </c>
      <c r="F263" t="s">
        <v>749</v>
      </c>
      <c r="G263">
        <v>1</v>
      </c>
      <c r="H263" t="s">
        <v>754</v>
      </c>
    </row>
    <row r="264" spans="1:8" x14ac:dyDescent="0.25">
      <c r="A264">
        <v>91</v>
      </c>
      <c r="B264" s="52">
        <v>44778</v>
      </c>
      <c r="C264" s="18">
        <v>0.31700231481481483</v>
      </c>
      <c r="D264">
        <v>1082769</v>
      </c>
      <c r="E264" t="s">
        <v>719</v>
      </c>
      <c r="F264" t="s">
        <v>749</v>
      </c>
      <c r="G264">
        <v>1</v>
      </c>
      <c r="H264" t="s">
        <v>754</v>
      </c>
    </row>
    <row r="265" spans="1:8" x14ac:dyDescent="0.25">
      <c r="A265">
        <v>91</v>
      </c>
      <c r="B265" s="52">
        <v>44778</v>
      </c>
      <c r="C265" s="18">
        <v>0.33717592592592593</v>
      </c>
      <c r="D265">
        <v>1082775</v>
      </c>
      <c r="E265" t="s">
        <v>719</v>
      </c>
      <c r="F265" t="s">
        <v>749</v>
      </c>
      <c r="G265">
        <v>1</v>
      </c>
      <c r="H265" t="s">
        <v>754</v>
      </c>
    </row>
    <row r="266" spans="1:8" x14ac:dyDescent="0.25">
      <c r="A266">
        <v>91</v>
      </c>
      <c r="B266" s="52">
        <v>44778</v>
      </c>
      <c r="C266" s="18">
        <v>0.37290509259259258</v>
      </c>
      <c r="D266">
        <v>1082779</v>
      </c>
      <c r="E266" t="s">
        <v>719</v>
      </c>
      <c r="F266" t="s">
        <v>749</v>
      </c>
      <c r="G266">
        <v>1</v>
      </c>
      <c r="H266" t="s">
        <v>754</v>
      </c>
    </row>
    <row r="267" spans="1:8" x14ac:dyDescent="0.25">
      <c r="A267">
        <v>91</v>
      </c>
      <c r="B267" s="52">
        <v>44778</v>
      </c>
      <c r="C267" s="18">
        <v>0.39708333333333329</v>
      </c>
      <c r="D267">
        <v>1082781</v>
      </c>
      <c r="E267" t="s">
        <v>719</v>
      </c>
      <c r="F267" t="s">
        <v>749</v>
      </c>
      <c r="G267">
        <v>1</v>
      </c>
      <c r="H267" t="s">
        <v>754</v>
      </c>
    </row>
    <row r="268" spans="1:8" x14ac:dyDescent="0.25">
      <c r="A268">
        <v>91</v>
      </c>
      <c r="B268" s="52">
        <v>44778</v>
      </c>
      <c r="C268" s="18">
        <v>0.3991898148148148</v>
      </c>
      <c r="D268">
        <v>1082782</v>
      </c>
      <c r="E268" t="s">
        <v>719</v>
      </c>
      <c r="F268" t="s">
        <v>749</v>
      </c>
      <c r="G268">
        <v>1</v>
      </c>
      <c r="H268" t="s">
        <v>754</v>
      </c>
    </row>
    <row r="269" spans="1:8" x14ac:dyDescent="0.25">
      <c r="A269">
        <v>91</v>
      </c>
      <c r="B269" s="52">
        <v>44778</v>
      </c>
      <c r="C269" s="18">
        <v>0.40099537037037036</v>
      </c>
      <c r="D269">
        <v>1082783</v>
      </c>
      <c r="E269" t="s">
        <v>719</v>
      </c>
      <c r="F269" t="s">
        <v>749</v>
      </c>
      <c r="G269">
        <v>1</v>
      </c>
      <c r="H269" t="s">
        <v>754</v>
      </c>
    </row>
    <row r="270" spans="1:8" x14ac:dyDescent="0.25">
      <c r="A270">
        <v>91</v>
      </c>
      <c r="B270" s="52">
        <v>44778</v>
      </c>
      <c r="C270" s="18">
        <v>0.40300925925925929</v>
      </c>
      <c r="D270">
        <v>1082785</v>
      </c>
      <c r="E270" t="s">
        <v>719</v>
      </c>
      <c r="F270" t="s">
        <v>749</v>
      </c>
      <c r="G270">
        <v>1</v>
      </c>
      <c r="H270" t="s">
        <v>754</v>
      </c>
    </row>
    <row r="271" spans="1:8" x14ac:dyDescent="0.25">
      <c r="A271">
        <v>91</v>
      </c>
      <c r="B271" s="52">
        <v>44778</v>
      </c>
      <c r="C271" s="18">
        <v>0.40600694444444446</v>
      </c>
      <c r="D271">
        <v>1082787</v>
      </c>
      <c r="E271" t="s">
        <v>719</v>
      </c>
      <c r="F271" t="s">
        <v>749</v>
      </c>
      <c r="G271">
        <v>1</v>
      </c>
      <c r="H271" t="s">
        <v>754</v>
      </c>
    </row>
    <row r="272" spans="1:8" x14ac:dyDescent="0.25">
      <c r="A272">
        <v>91</v>
      </c>
      <c r="B272" s="52">
        <v>44778</v>
      </c>
      <c r="C272" s="18">
        <v>0.40752314814814811</v>
      </c>
      <c r="D272">
        <v>1082789</v>
      </c>
      <c r="E272" t="s">
        <v>719</v>
      </c>
      <c r="F272" t="s">
        <v>749</v>
      </c>
      <c r="G272">
        <v>1</v>
      </c>
      <c r="H272" t="s">
        <v>754</v>
      </c>
    </row>
    <row r="273" spans="1:8" x14ac:dyDescent="0.25">
      <c r="A273">
        <v>91</v>
      </c>
      <c r="B273" s="52">
        <v>44778</v>
      </c>
      <c r="C273" s="18">
        <v>0.42105324074074074</v>
      </c>
      <c r="D273">
        <v>1082797</v>
      </c>
      <c r="E273" t="s">
        <v>719</v>
      </c>
      <c r="F273" t="s">
        <v>749</v>
      </c>
      <c r="G273">
        <v>1</v>
      </c>
      <c r="H273" t="s">
        <v>754</v>
      </c>
    </row>
    <row r="274" spans="1:8" x14ac:dyDescent="0.25">
      <c r="A274">
        <v>91</v>
      </c>
      <c r="B274" s="52">
        <v>44778</v>
      </c>
      <c r="C274" s="18">
        <v>0.43163194444444447</v>
      </c>
      <c r="D274">
        <v>1082802</v>
      </c>
      <c r="E274" t="s">
        <v>719</v>
      </c>
      <c r="F274" t="s">
        <v>749</v>
      </c>
      <c r="G274">
        <v>1</v>
      </c>
      <c r="H274" t="s">
        <v>754</v>
      </c>
    </row>
    <row r="275" spans="1:8" x14ac:dyDescent="0.25">
      <c r="A275">
        <v>91</v>
      </c>
      <c r="B275" s="52">
        <v>44778</v>
      </c>
      <c r="C275" s="18">
        <v>0.45682870370370371</v>
      </c>
      <c r="D275">
        <v>1082814</v>
      </c>
      <c r="E275" t="s">
        <v>719</v>
      </c>
      <c r="F275" t="s">
        <v>749</v>
      </c>
      <c r="G275">
        <v>1</v>
      </c>
      <c r="H275" t="s">
        <v>754</v>
      </c>
    </row>
    <row r="276" spans="1:8" x14ac:dyDescent="0.25">
      <c r="A276">
        <v>91</v>
      </c>
      <c r="B276" s="52">
        <v>44778</v>
      </c>
      <c r="C276" s="18">
        <v>0.50010416666666668</v>
      </c>
      <c r="D276">
        <v>1082827</v>
      </c>
      <c r="E276" t="s">
        <v>719</v>
      </c>
      <c r="F276" t="s">
        <v>749</v>
      </c>
      <c r="G276">
        <v>1</v>
      </c>
      <c r="H276" t="s">
        <v>754</v>
      </c>
    </row>
    <row r="277" spans="1:8" x14ac:dyDescent="0.25">
      <c r="A277">
        <v>91</v>
      </c>
      <c r="B277" s="52">
        <v>44778</v>
      </c>
      <c r="C277" s="18">
        <v>0.51670138888888884</v>
      </c>
      <c r="D277">
        <v>1082834</v>
      </c>
      <c r="E277" t="s">
        <v>719</v>
      </c>
      <c r="F277" t="s">
        <v>749</v>
      </c>
      <c r="G277">
        <v>1</v>
      </c>
      <c r="H277" t="s">
        <v>754</v>
      </c>
    </row>
    <row r="278" spans="1:8" x14ac:dyDescent="0.25">
      <c r="A278">
        <v>91</v>
      </c>
      <c r="B278" s="52">
        <v>44778</v>
      </c>
      <c r="C278" s="18">
        <v>0.53561342592592587</v>
      </c>
      <c r="D278">
        <v>1082843</v>
      </c>
      <c r="E278" t="s">
        <v>719</v>
      </c>
      <c r="F278" t="s">
        <v>749</v>
      </c>
      <c r="G278">
        <v>1</v>
      </c>
      <c r="H278" t="s">
        <v>754</v>
      </c>
    </row>
    <row r="279" spans="1:8" x14ac:dyDescent="0.25">
      <c r="A279">
        <v>91</v>
      </c>
      <c r="B279" s="52">
        <v>44778</v>
      </c>
      <c r="C279" s="18">
        <v>0.6542013888888889</v>
      </c>
      <c r="D279">
        <v>1082891</v>
      </c>
      <c r="E279" t="s">
        <v>901</v>
      </c>
      <c r="F279" t="s">
        <v>749</v>
      </c>
      <c r="G279">
        <v>1</v>
      </c>
      <c r="H279" t="s">
        <v>754</v>
      </c>
    </row>
    <row r="280" spans="1:8" x14ac:dyDescent="0.25">
      <c r="A280">
        <v>91</v>
      </c>
      <c r="B280" s="52">
        <v>44778</v>
      </c>
      <c r="C280" s="18">
        <v>0.70577546296296301</v>
      </c>
      <c r="D280">
        <v>1082911</v>
      </c>
      <c r="E280" t="s">
        <v>719</v>
      </c>
      <c r="F280" t="s">
        <v>749</v>
      </c>
      <c r="G280">
        <v>1</v>
      </c>
      <c r="H280" t="s">
        <v>754</v>
      </c>
    </row>
    <row r="281" spans="1:8" x14ac:dyDescent="0.25">
      <c r="A281">
        <v>91</v>
      </c>
      <c r="B281" s="52">
        <v>44778</v>
      </c>
      <c r="C281" s="18">
        <v>0.89005787037037043</v>
      </c>
      <c r="D281">
        <v>1083004</v>
      </c>
      <c r="E281" t="s">
        <v>720</v>
      </c>
      <c r="F281" t="s">
        <v>749</v>
      </c>
      <c r="G281">
        <v>1</v>
      </c>
      <c r="H281" t="s">
        <v>754</v>
      </c>
    </row>
    <row r="282" spans="1:8" x14ac:dyDescent="0.25">
      <c r="A282">
        <v>91</v>
      </c>
      <c r="B282" s="52">
        <v>44778</v>
      </c>
      <c r="C282" s="18">
        <v>0.90216435185185195</v>
      </c>
      <c r="D282">
        <v>1083011</v>
      </c>
      <c r="E282" t="s">
        <v>720</v>
      </c>
      <c r="F282" t="s">
        <v>749</v>
      </c>
      <c r="G282">
        <v>1</v>
      </c>
      <c r="H282" t="s">
        <v>754</v>
      </c>
    </row>
    <row r="283" spans="1:8" x14ac:dyDescent="0.25">
      <c r="A283">
        <v>91</v>
      </c>
      <c r="B283" s="52">
        <v>44779</v>
      </c>
      <c r="C283" s="18">
        <v>0.75153935185185183</v>
      </c>
      <c r="D283">
        <v>1083292</v>
      </c>
      <c r="E283" t="s">
        <v>719</v>
      </c>
      <c r="F283" t="s">
        <v>749</v>
      </c>
      <c r="G283">
        <v>1</v>
      </c>
      <c r="H283" t="s">
        <v>754</v>
      </c>
    </row>
    <row r="284" spans="1:8" x14ac:dyDescent="0.25">
      <c r="A284">
        <v>101</v>
      </c>
      <c r="B284" s="52">
        <v>44774</v>
      </c>
      <c r="C284" s="18">
        <v>3.9224537037037037E-2</v>
      </c>
      <c r="D284">
        <v>2161803</v>
      </c>
      <c r="E284" t="s">
        <v>902</v>
      </c>
      <c r="F284" t="s">
        <v>749</v>
      </c>
      <c r="G284">
        <v>1</v>
      </c>
      <c r="H284" t="s">
        <v>754</v>
      </c>
    </row>
    <row r="285" spans="1:8" x14ac:dyDescent="0.25">
      <c r="A285">
        <v>101</v>
      </c>
      <c r="B285" s="52">
        <v>44774</v>
      </c>
      <c r="C285" s="18">
        <v>0.48282407407407407</v>
      </c>
      <c r="D285">
        <v>2161987</v>
      </c>
      <c r="E285" t="s">
        <v>721</v>
      </c>
      <c r="F285" t="s">
        <v>749</v>
      </c>
      <c r="G285">
        <v>1</v>
      </c>
      <c r="H285" t="s">
        <v>754</v>
      </c>
    </row>
    <row r="286" spans="1:8" x14ac:dyDescent="0.25">
      <c r="A286">
        <v>101</v>
      </c>
      <c r="B286" s="52">
        <v>44774</v>
      </c>
      <c r="C286" s="18">
        <v>0.5569560185185185</v>
      </c>
      <c r="D286">
        <v>2162037</v>
      </c>
      <c r="E286" t="s">
        <v>721</v>
      </c>
      <c r="F286" t="s">
        <v>749</v>
      </c>
      <c r="G286">
        <v>1</v>
      </c>
      <c r="H286" t="s">
        <v>754</v>
      </c>
    </row>
    <row r="287" spans="1:8" x14ac:dyDescent="0.25">
      <c r="A287">
        <v>101</v>
      </c>
      <c r="B287" s="52">
        <v>44775</v>
      </c>
      <c r="C287" s="18">
        <v>0.45659722222222227</v>
      </c>
      <c r="D287">
        <v>2162588</v>
      </c>
      <c r="E287" t="s">
        <v>721</v>
      </c>
      <c r="F287" t="s">
        <v>749</v>
      </c>
      <c r="G287">
        <v>1</v>
      </c>
      <c r="H287" t="s">
        <v>754</v>
      </c>
    </row>
    <row r="288" spans="1:8" x14ac:dyDescent="0.25">
      <c r="A288">
        <v>101</v>
      </c>
      <c r="B288" s="52">
        <v>44775</v>
      </c>
      <c r="C288" s="18">
        <v>0.63885416666666661</v>
      </c>
      <c r="D288">
        <v>2162732</v>
      </c>
      <c r="E288" t="s">
        <v>721</v>
      </c>
      <c r="F288" t="s">
        <v>749</v>
      </c>
      <c r="G288">
        <v>1</v>
      </c>
      <c r="H288" t="s">
        <v>754</v>
      </c>
    </row>
    <row r="289" spans="1:8" x14ac:dyDescent="0.25">
      <c r="A289">
        <v>101</v>
      </c>
      <c r="B289" s="52">
        <v>44776</v>
      </c>
      <c r="C289" s="18">
        <v>0.72636574074074067</v>
      </c>
      <c r="D289">
        <v>2163448</v>
      </c>
      <c r="E289" t="s">
        <v>902</v>
      </c>
      <c r="F289" t="s">
        <v>749</v>
      </c>
      <c r="G289">
        <v>1</v>
      </c>
      <c r="H289" t="s">
        <v>754</v>
      </c>
    </row>
    <row r="290" spans="1:8" x14ac:dyDescent="0.25">
      <c r="A290">
        <v>101</v>
      </c>
      <c r="B290" s="52">
        <v>44777</v>
      </c>
      <c r="C290" s="18">
        <v>0.78421296296296295</v>
      </c>
      <c r="D290">
        <v>2164166</v>
      </c>
      <c r="E290" t="s">
        <v>721</v>
      </c>
      <c r="F290" t="s">
        <v>749</v>
      </c>
      <c r="G290">
        <v>1</v>
      </c>
      <c r="H290" t="s">
        <v>754</v>
      </c>
    </row>
    <row r="291" spans="1:8" x14ac:dyDescent="0.25">
      <c r="A291">
        <v>101</v>
      </c>
      <c r="B291" s="52">
        <v>44777</v>
      </c>
      <c r="C291" s="18">
        <v>0.88678240740740744</v>
      </c>
      <c r="D291">
        <v>2164275</v>
      </c>
      <c r="E291" t="s">
        <v>721</v>
      </c>
      <c r="F291" t="s">
        <v>749</v>
      </c>
      <c r="G291">
        <v>1</v>
      </c>
      <c r="H291" t="s">
        <v>754</v>
      </c>
    </row>
    <row r="292" spans="1:8" x14ac:dyDescent="0.25">
      <c r="A292">
        <v>101</v>
      </c>
      <c r="B292" s="52">
        <v>44777</v>
      </c>
      <c r="C292" s="18">
        <v>0.96261574074074074</v>
      </c>
      <c r="D292">
        <v>2164353</v>
      </c>
      <c r="E292" t="s">
        <v>721</v>
      </c>
      <c r="F292" t="s">
        <v>749</v>
      </c>
      <c r="G292">
        <v>1</v>
      </c>
      <c r="H292" t="s">
        <v>754</v>
      </c>
    </row>
    <row r="293" spans="1:8" x14ac:dyDescent="0.25">
      <c r="A293">
        <v>101</v>
      </c>
      <c r="B293" s="52">
        <v>44778</v>
      </c>
      <c r="C293" s="18">
        <v>0.27790509259259261</v>
      </c>
      <c r="D293">
        <v>2164454</v>
      </c>
      <c r="E293" t="s">
        <v>902</v>
      </c>
      <c r="F293" t="s">
        <v>749</v>
      </c>
      <c r="G293">
        <v>1</v>
      </c>
      <c r="H293" t="s">
        <v>754</v>
      </c>
    </row>
    <row r="294" spans="1:8" x14ac:dyDescent="0.25">
      <c r="A294">
        <v>101</v>
      </c>
      <c r="B294" s="52">
        <v>44778</v>
      </c>
      <c r="C294" s="18">
        <v>0.32223379629629628</v>
      </c>
      <c r="D294">
        <v>2164470</v>
      </c>
      <c r="E294" t="s">
        <v>902</v>
      </c>
      <c r="F294" t="s">
        <v>749</v>
      </c>
      <c r="G294">
        <v>1</v>
      </c>
      <c r="H294" t="s">
        <v>754</v>
      </c>
    </row>
    <row r="295" spans="1:8" x14ac:dyDescent="0.25">
      <c r="A295">
        <v>101</v>
      </c>
      <c r="B295" s="52">
        <v>44778</v>
      </c>
      <c r="C295" s="18">
        <v>0.33861111111111114</v>
      </c>
      <c r="D295">
        <v>2164483</v>
      </c>
      <c r="E295" t="s">
        <v>902</v>
      </c>
      <c r="F295" t="s">
        <v>749</v>
      </c>
      <c r="G295">
        <v>1</v>
      </c>
      <c r="H295" t="s">
        <v>754</v>
      </c>
    </row>
    <row r="296" spans="1:8" x14ac:dyDescent="0.25">
      <c r="A296">
        <v>101</v>
      </c>
      <c r="B296" s="52">
        <v>44778</v>
      </c>
      <c r="C296" s="18">
        <v>0.34</v>
      </c>
      <c r="D296">
        <v>2164484</v>
      </c>
      <c r="E296" t="s">
        <v>902</v>
      </c>
      <c r="F296" t="s">
        <v>749</v>
      </c>
      <c r="G296">
        <v>1</v>
      </c>
      <c r="H296" t="s">
        <v>754</v>
      </c>
    </row>
    <row r="297" spans="1:8" x14ac:dyDescent="0.25">
      <c r="A297">
        <v>101</v>
      </c>
      <c r="B297" s="52">
        <v>44778</v>
      </c>
      <c r="C297" s="18">
        <v>0.34453703703703703</v>
      </c>
      <c r="D297">
        <v>2164490</v>
      </c>
      <c r="E297" t="s">
        <v>902</v>
      </c>
      <c r="F297" t="s">
        <v>749</v>
      </c>
      <c r="G297">
        <v>1</v>
      </c>
      <c r="H297" t="s">
        <v>754</v>
      </c>
    </row>
    <row r="298" spans="1:8" x14ac:dyDescent="0.25">
      <c r="A298">
        <v>101</v>
      </c>
      <c r="B298" s="52">
        <v>44778</v>
      </c>
      <c r="C298" s="18">
        <v>0.34550925925925924</v>
      </c>
      <c r="D298">
        <v>2164491</v>
      </c>
      <c r="E298" t="s">
        <v>902</v>
      </c>
      <c r="F298" t="s">
        <v>749</v>
      </c>
      <c r="G298">
        <v>1</v>
      </c>
      <c r="H298" t="s">
        <v>754</v>
      </c>
    </row>
    <row r="299" spans="1:8" x14ac:dyDescent="0.25">
      <c r="A299">
        <v>101</v>
      </c>
      <c r="B299" s="52">
        <v>44778</v>
      </c>
      <c r="C299" s="18">
        <v>0.35164351851851849</v>
      </c>
      <c r="D299">
        <v>2164493</v>
      </c>
      <c r="E299" t="s">
        <v>902</v>
      </c>
      <c r="F299" t="s">
        <v>749</v>
      </c>
      <c r="G299">
        <v>1</v>
      </c>
      <c r="H299" t="s">
        <v>754</v>
      </c>
    </row>
    <row r="300" spans="1:8" x14ac:dyDescent="0.25">
      <c r="A300">
        <v>101</v>
      </c>
      <c r="B300" s="52">
        <v>44778</v>
      </c>
      <c r="C300" s="18">
        <v>0.37585648148148149</v>
      </c>
      <c r="D300">
        <v>2164507</v>
      </c>
      <c r="E300" t="s">
        <v>902</v>
      </c>
      <c r="F300" t="s">
        <v>749</v>
      </c>
      <c r="G300">
        <v>1</v>
      </c>
      <c r="H300" t="s">
        <v>754</v>
      </c>
    </row>
    <row r="301" spans="1:8" x14ac:dyDescent="0.25">
      <c r="A301">
        <v>101</v>
      </c>
      <c r="B301" s="52">
        <v>44778</v>
      </c>
      <c r="C301" s="18">
        <v>0.37717592592592591</v>
      </c>
      <c r="D301">
        <v>2164508</v>
      </c>
      <c r="E301" t="s">
        <v>902</v>
      </c>
      <c r="F301" t="s">
        <v>749</v>
      </c>
      <c r="G301">
        <v>1</v>
      </c>
      <c r="H301" t="s">
        <v>754</v>
      </c>
    </row>
    <row r="302" spans="1:8" x14ac:dyDescent="0.25">
      <c r="A302">
        <v>101</v>
      </c>
      <c r="B302" s="52">
        <v>44778</v>
      </c>
      <c r="C302" s="18">
        <v>0.4031481481481482</v>
      </c>
      <c r="D302">
        <v>2164522</v>
      </c>
      <c r="E302" t="s">
        <v>902</v>
      </c>
      <c r="F302" t="s">
        <v>749</v>
      </c>
      <c r="G302">
        <v>1</v>
      </c>
      <c r="H302" t="s">
        <v>754</v>
      </c>
    </row>
    <row r="303" spans="1:8" x14ac:dyDescent="0.25">
      <c r="A303">
        <v>101</v>
      </c>
      <c r="B303" s="52">
        <v>44778</v>
      </c>
      <c r="C303" s="18">
        <v>0.42234953703703698</v>
      </c>
      <c r="D303">
        <v>2164536</v>
      </c>
      <c r="E303" t="s">
        <v>902</v>
      </c>
      <c r="F303" t="s">
        <v>749</v>
      </c>
      <c r="G303">
        <v>1</v>
      </c>
      <c r="H303" t="s">
        <v>754</v>
      </c>
    </row>
    <row r="304" spans="1:8" x14ac:dyDescent="0.25">
      <c r="A304">
        <v>101</v>
      </c>
      <c r="B304" s="52">
        <v>44778</v>
      </c>
      <c r="C304" s="18">
        <v>0.44362268518518522</v>
      </c>
      <c r="D304">
        <v>2164544</v>
      </c>
      <c r="E304" t="s">
        <v>902</v>
      </c>
      <c r="F304" t="s">
        <v>749</v>
      </c>
      <c r="G304">
        <v>1</v>
      </c>
      <c r="H304" t="s">
        <v>754</v>
      </c>
    </row>
    <row r="305" spans="1:8" x14ac:dyDescent="0.25">
      <c r="A305">
        <v>101</v>
      </c>
      <c r="B305" s="52">
        <v>44778</v>
      </c>
      <c r="C305" s="18">
        <v>0.46047453703703706</v>
      </c>
      <c r="D305">
        <v>2164554</v>
      </c>
      <c r="E305" t="s">
        <v>902</v>
      </c>
      <c r="F305" t="s">
        <v>749</v>
      </c>
      <c r="G305">
        <v>1</v>
      </c>
      <c r="H305" t="s">
        <v>754</v>
      </c>
    </row>
    <row r="306" spans="1:8" x14ac:dyDescent="0.25">
      <c r="A306">
        <v>101</v>
      </c>
      <c r="B306" s="52">
        <v>44778</v>
      </c>
      <c r="C306" s="18">
        <v>0.51415509259259262</v>
      </c>
      <c r="D306">
        <v>2164586</v>
      </c>
      <c r="E306" t="s">
        <v>902</v>
      </c>
      <c r="F306" t="s">
        <v>749</v>
      </c>
      <c r="G306">
        <v>1</v>
      </c>
      <c r="H306" t="s">
        <v>754</v>
      </c>
    </row>
    <row r="307" spans="1:8" x14ac:dyDescent="0.25">
      <c r="A307">
        <v>101</v>
      </c>
      <c r="B307" s="52">
        <v>44778</v>
      </c>
      <c r="C307" s="18">
        <v>0.52331018518518524</v>
      </c>
      <c r="D307">
        <v>2164595</v>
      </c>
      <c r="E307" t="s">
        <v>902</v>
      </c>
      <c r="F307" t="s">
        <v>749</v>
      </c>
      <c r="G307">
        <v>1</v>
      </c>
      <c r="H307" t="s">
        <v>754</v>
      </c>
    </row>
    <row r="308" spans="1:8" x14ac:dyDescent="0.25">
      <c r="A308">
        <v>101</v>
      </c>
      <c r="B308" s="52">
        <v>44778</v>
      </c>
      <c r="C308" s="18">
        <v>0.63996527777777779</v>
      </c>
      <c r="D308">
        <v>2164688</v>
      </c>
      <c r="E308" t="s">
        <v>902</v>
      </c>
      <c r="F308" t="s">
        <v>749</v>
      </c>
      <c r="G308">
        <v>1</v>
      </c>
      <c r="H308" t="s">
        <v>754</v>
      </c>
    </row>
    <row r="309" spans="1:8" x14ac:dyDescent="0.25">
      <c r="A309">
        <v>101</v>
      </c>
      <c r="B309" s="52">
        <v>44780</v>
      </c>
      <c r="C309" s="18">
        <v>0.71238425925925919</v>
      </c>
      <c r="D309">
        <v>2166406</v>
      </c>
      <c r="E309" t="s">
        <v>902</v>
      </c>
      <c r="F309" t="s">
        <v>749</v>
      </c>
      <c r="G309">
        <v>1</v>
      </c>
      <c r="H309" t="s">
        <v>754</v>
      </c>
    </row>
    <row r="310" spans="1:8" x14ac:dyDescent="0.25">
      <c r="A310">
        <v>111</v>
      </c>
      <c r="B310" s="52">
        <v>44774</v>
      </c>
      <c r="C310" s="18">
        <v>0.38050925925925921</v>
      </c>
      <c r="D310">
        <v>730690</v>
      </c>
      <c r="E310" t="s">
        <v>1465</v>
      </c>
      <c r="F310" t="s">
        <v>749</v>
      </c>
      <c r="G310">
        <v>1</v>
      </c>
      <c r="H310" t="s">
        <v>754</v>
      </c>
    </row>
    <row r="311" spans="1:8" x14ac:dyDescent="0.25">
      <c r="A311">
        <v>111</v>
      </c>
      <c r="B311" s="52">
        <v>44774</v>
      </c>
      <c r="C311" s="18">
        <v>0.7926157407407407</v>
      </c>
      <c r="D311">
        <v>730791</v>
      </c>
      <c r="E311" t="s">
        <v>1280</v>
      </c>
      <c r="F311" t="s">
        <v>749</v>
      </c>
      <c r="G311">
        <v>1</v>
      </c>
      <c r="H311" t="s">
        <v>754</v>
      </c>
    </row>
    <row r="312" spans="1:8" x14ac:dyDescent="0.25">
      <c r="A312">
        <v>111</v>
      </c>
      <c r="B312" s="52">
        <v>44775</v>
      </c>
      <c r="C312" s="18">
        <v>0.56498842592592591</v>
      </c>
      <c r="D312">
        <v>730911</v>
      </c>
      <c r="E312" t="s">
        <v>723</v>
      </c>
      <c r="F312" t="s">
        <v>749</v>
      </c>
      <c r="G312">
        <v>8</v>
      </c>
      <c r="H312" t="s">
        <v>754</v>
      </c>
    </row>
    <row r="313" spans="1:8" x14ac:dyDescent="0.25">
      <c r="A313">
        <v>111</v>
      </c>
      <c r="B313" s="52">
        <v>44775</v>
      </c>
      <c r="C313" s="18">
        <v>0.64415509259259263</v>
      </c>
      <c r="D313">
        <v>730921</v>
      </c>
      <c r="E313" t="s">
        <v>723</v>
      </c>
      <c r="F313" t="s">
        <v>749</v>
      </c>
      <c r="G313">
        <v>1</v>
      </c>
    </row>
    <row r="314" spans="1:8" x14ac:dyDescent="0.25">
      <c r="A314">
        <v>111</v>
      </c>
      <c r="B314" s="52">
        <v>44776</v>
      </c>
      <c r="C314" s="18">
        <v>0.55650462962962965</v>
      </c>
      <c r="D314">
        <v>731117</v>
      </c>
      <c r="E314" t="s">
        <v>723</v>
      </c>
      <c r="F314" t="s">
        <v>749</v>
      </c>
      <c r="G314">
        <v>1</v>
      </c>
      <c r="H314" t="s">
        <v>754</v>
      </c>
    </row>
    <row r="315" spans="1:8" x14ac:dyDescent="0.25">
      <c r="A315">
        <v>111</v>
      </c>
      <c r="B315" s="52">
        <v>44776</v>
      </c>
      <c r="C315" s="18">
        <v>0.90107638888888886</v>
      </c>
      <c r="D315">
        <v>731226</v>
      </c>
      <c r="E315" t="s">
        <v>1280</v>
      </c>
      <c r="F315" t="s">
        <v>749</v>
      </c>
      <c r="G315">
        <v>1</v>
      </c>
      <c r="H315" t="s">
        <v>754</v>
      </c>
    </row>
    <row r="316" spans="1:8" x14ac:dyDescent="0.25">
      <c r="A316">
        <v>111</v>
      </c>
      <c r="B316" s="52">
        <v>44777</v>
      </c>
      <c r="C316" s="18">
        <v>0.44458333333333333</v>
      </c>
      <c r="D316">
        <v>731316</v>
      </c>
      <c r="E316" t="s">
        <v>723</v>
      </c>
      <c r="F316" t="s">
        <v>749</v>
      </c>
      <c r="G316">
        <v>1</v>
      </c>
      <c r="H316" t="s">
        <v>754</v>
      </c>
    </row>
    <row r="317" spans="1:8" x14ac:dyDescent="0.25">
      <c r="A317">
        <v>111</v>
      </c>
      <c r="B317" s="52">
        <v>44777</v>
      </c>
      <c r="C317" s="18">
        <v>0.54401620370370374</v>
      </c>
      <c r="D317">
        <v>731335</v>
      </c>
      <c r="E317" t="s">
        <v>723</v>
      </c>
      <c r="F317" t="s">
        <v>749</v>
      </c>
      <c r="G317">
        <v>1</v>
      </c>
      <c r="H317" t="s">
        <v>754</v>
      </c>
    </row>
    <row r="318" spans="1:8" x14ac:dyDescent="0.25">
      <c r="A318">
        <v>111</v>
      </c>
      <c r="B318" s="52">
        <v>44777</v>
      </c>
      <c r="C318" s="18">
        <v>0.64944444444444438</v>
      </c>
      <c r="D318">
        <v>731359</v>
      </c>
      <c r="E318" t="s">
        <v>723</v>
      </c>
      <c r="F318" t="s">
        <v>749</v>
      </c>
      <c r="G318">
        <v>1</v>
      </c>
      <c r="H318" t="s">
        <v>754</v>
      </c>
    </row>
    <row r="319" spans="1:8" x14ac:dyDescent="0.25">
      <c r="A319">
        <v>111</v>
      </c>
      <c r="B319" s="52">
        <v>44777</v>
      </c>
      <c r="C319" s="18">
        <v>0.83182870370370365</v>
      </c>
      <c r="D319">
        <v>731405</v>
      </c>
      <c r="E319" t="s">
        <v>722</v>
      </c>
      <c r="F319" t="s">
        <v>749</v>
      </c>
      <c r="G319">
        <v>1</v>
      </c>
      <c r="H319" t="s">
        <v>754</v>
      </c>
    </row>
    <row r="320" spans="1:8" x14ac:dyDescent="0.25">
      <c r="A320">
        <v>111</v>
      </c>
      <c r="B320" s="52">
        <v>44777</v>
      </c>
      <c r="C320" s="18">
        <v>0.83656249999999999</v>
      </c>
      <c r="D320">
        <v>731409</v>
      </c>
      <c r="E320" t="s">
        <v>722</v>
      </c>
      <c r="F320" t="s">
        <v>749</v>
      </c>
      <c r="G320">
        <v>1</v>
      </c>
      <c r="H320" t="s">
        <v>754</v>
      </c>
    </row>
    <row r="321" spans="1:8" x14ac:dyDescent="0.25">
      <c r="A321">
        <v>111</v>
      </c>
      <c r="B321" s="52">
        <v>44777</v>
      </c>
      <c r="C321" s="18">
        <v>0.95086805555555554</v>
      </c>
      <c r="D321">
        <v>731445</v>
      </c>
      <c r="E321" t="s">
        <v>722</v>
      </c>
      <c r="F321" t="s">
        <v>749</v>
      </c>
      <c r="G321">
        <v>1</v>
      </c>
      <c r="H321" t="s">
        <v>754</v>
      </c>
    </row>
    <row r="322" spans="1:8" x14ac:dyDescent="0.25">
      <c r="A322">
        <v>111</v>
      </c>
      <c r="B322" s="52">
        <v>44778</v>
      </c>
      <c r="C322" s="18">
        <v>0.29848379629629629</v>
      </c>
      <c r="D322">
        <v>731493</v>
      </c>
      <c r="E322" t="s">
        <v>723</v>
      </c>
      <c r="F322" t="s">
        <v>749</v>
      </c>
      <c r="G322">
        <v>1</v>
      </c>
      <c r="H322" t="s">
        <v>754</v>
      </c>
    </row>
    <row r="323" spans="1:8" x14ac:dyDescent="0.25">
      <c r="A323">
        <v>111</v>
      </c>
      <c r="B323" s="52">
        <v>44778</v>
      </c>
      <c r="C323" s="18">
        <v>0.31702546296296297</v>
      </c>
      <c r="D323">
        <v>731495</v>
      </c>
      <c r="E323" t="s">
        <v>723</v>
      </c>
      <c r="F323" t="s">
        <v>749</v>
      </c>
      <c r="G323">
        <v>1</v>
      </c>
      <c r="H323" t="s">
        <v>754</v>
      </c>
    </row>
    <row r="324" spans="1:8" x14ac:dyDescent="0.25">
      <c r="A324">
        <v>111</v>
      </c>
      <c r="B324" s="52">
        <v>44778</v>
      </c>
      <c r="C324" s="18">
        <v>0.32826388888888891</v>
      </c>
      <c r="D324">
        <v>731496</v>
      </c>
      <c r="E324" t="s">
        <v>723</v>
      </c>
      <c r="F324" t="s">
        <v>749</v>
      </c>
      <c r="G324">
        <v>1</v>
      </c>
      <c r="H324" t="s">
        <v>754</v>
      </c>
    </row>
    <row r="325" spans="1:8" x14ac:dyDescent="0.25">
      <c r="A325">
        <v>111</v>
      </c>
      <c r="B325" s="52">
        <v>44778</v>
      </c>
      <c r="C325" s="18">
        <v>0.34218750000000003</v>
      </c>
      <c r="D325">
        <v>731498</v>
      </c>
      <c r="E325" t="s">
        <v>723</v>
      </c>
      <c r="F325" t="s">
        <v>749</v>
      </c>
      <c r="G325">
        <v>1</v>
      </c>
      <c r="H325" t="s">
        <v>754</v>
      </c>
    </row>
    <row r="326" spans="1:8" x14ac:dyDescent="0.25">
      <c r="A326">
        <v>111</v>
      </c>
      <c r="B326" s="52">
        <v>44778</v>
      </c>
      <c r="C326" s="18">
        <v>0.34484953703703702</v>
      </c>
      <c r="D326">
        <v>731499</v>
      </c>
      <c r="E326" t="s">
        <v>723</v>
      </c>
      <c r="F326" t="s">
        <v>749</v>
      </c>
      <c r="G326">
        <v>1</v>
      </c>
      <c r="H326" t="s">
        <v>754</v>
      </c>
    </row>
    <row r="327" spans="1:8" x14ac:dyDescent="0.25">
      <c r="A327">
        <v>111</v>
      </c>
      <c r="B327" s="52">
        <v>44778</v>
      </c>
      <c r="C327" s="18">
        <v>0.34725694444444444</v>
      </c>
      <c r="D327">
        <v>731501</v>
      </c>
      <c r="E327" t="s">
        <v>723</v>
      </c>
      <c r="F327" t="s">
        <v>749</v>
      </c>
      <c r="G327">
        <v>1</v>
      </c>
      <c r="H327" t="s">
        <v>754</v>
      </c>
    </row>
    <row r="328" spans="1:8" x14ac:dyDescent="0.25">
      <c r="A328">
        <v>111</v>
      </c>
      <c r="B328" s="52">
        <v>44778</v>
      </c>
      <c r="C328" s="18">
        <v>0.34990740740740739</v>
      </c>
      <c r="D328">
        <v>731502</v>
      </c>
      <c r="E328" t="s">
        <v>723</v>
      </c>
      <c r="F328" t="s">
        <v>749</v>
      </c>
      <c r="G328">
        <v>1</v>
      </c>
      <c r="H328" t="s">
        <v>754</v>
      </c>
    </row>
    <row r="329" spans="1:8" x14ac:dyDescent="0.25">
      <c r="A329">
        <v>111</v>
      </c>
      <c r="B329" s="52">
        <v>44778</v>
      </c>
      <c r="C329" s="18">
        <v>0.35190972222222222</v>
      </c>
      <c r="D329">
        <v>731503</v>
      </c>
      <c r="E329" t="s">
        <v>723</v>
      </c>
      <c r="F329" t="s">
        <v>749</v>
      </c>
      <c r="G329">
        <v>1</v>
      </c>
      <c r="H329" t="s">
        <v>754</v>
      </c>
    </row>
    <row r="330" spans="1:8" x14ac:dyDescent="0.25">
      <c r="A330">
        <v>111</v>
      </c>
      <c r="B330" s="52">
        <v>44778</v>
      </c>
      <c r="C330" s="18">
        <v>0.35399305555555555</v>
      </c>
      <c r="D330">
        <v>731504</v>
      </c>
      <c r="E330" t="s">
        <v>723</v>
      </c>
      <c r="F330" t="s">
        <v>749</v>
      </c>
      <c r="G330">
        <v>1</v>
      </c>
      <c r="H330" t="s">
        <v>754</v>
      </c>
    </row>
    <row r="331" spans="1:8" x14ac:dyDescent="0.25">
      <c r="A331">
        <v>111</v>
      </c>
      <c r="B331" s="52">
        <v>44778</v>
      </c>
      <c r="C331" s="18">
        <v>0.3564930555555556</v>
      </c>
      <c r="D331">
        <v>731506</v>
      </c>
      <c r="E331" t="s">
        <v>723</v>
      </c>
      <c r="F331" t="s">
        <v>749</v>
      </c>
      <c r="G331">
        <v>1</v>
      </c>
      <c r="H331" t="s">
        <v>754</v>
      </c>
    </row>
    <row r="332" spans="1:8" x14ac:dyDescent="0.25">
      <c r="A332">
        <v>111</v>
      </c>
      <c r="B332" s="52">
        <v>44778</v>
      </c>
      <c r="C332" s="18">
        <v>0.3583217592592593</v>
      </c>
      <c r="D332">
        <v>731507</v>
      </c>
      <c r="E332" t="s">
        <v>723</v>
      </c>
      <c r="F332" t="s">
        <v>749</v>
      </c>
      <c r="G332">
        <v>1</v>
      </c>
      <c r="H332" t="s">
        <v>754</v>
      </c>
    </row>
    <row r="333" spans="1:8" x14ac:dyDescent="0.25">
      <c r="A333">
        <v>111</v>
      </c>
      <c r="B333" s="52">
        <v>44778</v>
      </c>
      <c r="C333" s="18">
        <v>0.36277777777777781</v>
      </c>
      <c r="D333">
        <v>731509</v>
      </c>
      <c r="E333" t="s">
        <v>723</v>
      </c>
      <c r="F333" t="s">
        <v>749</v>
      </c>
      <c r="G333">
        <v>1</v>
      </c>
      <c r="H333" t="s">
        <v>754</v>
      </c>
    </row>
    <row r="334" spans="1:8" x14ac:dyDescent="0.25">
      <c r="A334">
        <v>111</v>
      </c>
      <c r="B334" s="52">
        <v>44778</v>
      </c>
      <c r="C334" s="18">
        <v>0.36480324074074072</v>
      </c>
      <c r="D334">
        <v>731510</v>
      </c>
      <c r="E334" t="s">
        <v>723</v>
      </c>
      <c r="F334" t="s">
        <v>749</v>
      </c>
      <c r="G334">
        <v>1</v>
      </c>
      <c r="H334" t="s">
        <v>754</v>
      </c>
    </row>
    <row r="335" spans="1:8" x14ac:dyDescent="0.25">
      <c r="A335">
        <v>111</v>
      </c>
      <c r="B335" s="52">
        <v>44778</v>
      </c>
      <c r="C335" s="18">
        <v>0.36682870370370368</v>
      </c>
      <c r="D335">
        <v>731511</v>
      </c>
      <c r="E335" t="s">
        <v>723</v>
      </c>
      <c r="F335" t="s">
        <v>749</v>
      </c>
      <c r="G335">
        <v>1</v>
      </c>
      <c r="H335" t="s">
        <v>754</v>
      </c>
    </row>
    <row r="336" spans="1:8" x14ac:dyDescent="0.25">
      <c r="A336">
        <v>111</v>
      </c>
      <c r="B336" s="52">
        <v>44778</v>
      </c>
      <c r="C336" s="18">
        <v>0.36962962962962959</v>
      </c>
      <c r="D336">
        <v>731513</v>
      </c>
      <c r="E336" t="s">
        <v>723</v>
      </c>
      <c r="F336" t="s">
        <v>749</v>
      </c>
      <c r="G336">
        <v>1</v>
      </c>
      <c r="H336" t="s">
        <v>754</v>
      </c>
    </row>
    <row r="337" spans="1:8" x14ac:dyDescent="0.25">
      <c r="A337">
        <v>111</v>
      </c>
      <c r="B337" s="52">
        <v>44778</v>
      </c>
      <c r="C337" s="18">
        <v>0.37692129629629628</v>
      </c>
      <c r="D337">
        <v>731515</v>
      </c>
      <c r="E337" t="s">
        <v>1465</v>
      </c>
      <c r="F337" t="s">
        <v>749</v>
      </c>
      <c r="G337">
        <v>1</v>
      </c>
      <c r="H337" t="s">
        <v>754</v>
      </c>
    </row>
    <row r="338" spans="1:8" x14ac:dyDescent="0.25">
      <c r="A338">
        <v>111</v>
      </c>
      <c r="B338" s="52">
        <v>44778</v>
      </c>
      <c r="C338" s="18">
        <v>0.37894675925925925</v>
      </c>
      <c r="D338">
        <v>731516</v>
      </c>
      <c r="E338" t="s">
        <v>1465</v>
      </c>
      <c r="F338" t="s">
        <v>749</v>
      </c>
      <c r="G338">
        <v>1</v>
      </c>
      <c r="H338" t="s">
        <v>754</v>
      </c>
    </row>
    <row r="339" spans="1:8" x14ac:dyDescent="0.25">
      <c r="A339">
        <v>111</v>
      </c>
      <c r="B339" s="52">
        <v>44778</v>
      </c>
      <c r="C339" s="18">
        <v>0.38072916666666662</v>
      </c>
      <c r="D339">
        <v>731517</v>
      </c>
      <c r="E339" t="s">
        <v>1465</v>
      </c>
      <c r="F339" t="s">
        <v>749</v>
      </c>
      <c r="G339">
        <v>1</v>
      </c>
      <c r="H339" t="s">
        <v>754</v>
      </c>
    </row>
    <row r="340" spans="1:8" x14ac:dyDescent="0.25">
      <c r="A340">
        <v>111</v>
      </c>
      <c r="B340" s="52">
        <v>44778</v>
      </c>
      <c r="C340" s="18">
        <v>0.39059027777777783</v>
      </c>
      <c r="D340">
        <v>731519</v>
      </c>
      <c r="E340" t="s">
        <v>1465</v>
      </c>
      <c r="F340" t="s">
        <v>749</v>
      </c>
      <c r="G340">
        <v>1</v>
      </c>
      <c r="H340" t="s">
        <v>754</v>
      </c>
    </row>
    <row r="341" spans="1:8" x14ac:dyDescent="0.25">
      <c r="A341">
        <v>111</v>
      </c>
      <c r="B341" s="52">
        <v>44778</v>
      </c>
      <c r="C341" s="18">
        <v>0.39405092592592594</v>
      </c>
      <c r="D341">
        <v>731521</v>
      </c>
      <c r="E341" t="s">
        <v>1465</v>
      </c>
      <c r="F341" t="s">
        <v>749</v>
      </c>
      <c r="G341">
        <v>1</v>
      </c>
      <c r="H341" t="s">
        <v>754</v>
      </c>
    </row>
    <row r="342" spans="1:8" x14ac:dyDescent="0.25">
      <c r="A342">
        <v>111</v>
      </c>
      <c r="B342" s="52">
        <v>44778</v>
      </c>
      <c r="C342" s="18">
        <v>0.39685185185185184</v>
      </c>
      <c r="D342">
        <v>731523</v>
      </c>
      <c r="E342" t="s">
        <v>1465</v>
      </c>
      <c r="F342" t="s">
        <v>749</v>
      </c>
      <c r="G342">
        <v>1</v>
      </c>
      <c r="H342" t="s">
        <v>754</v>
      </c>
    </row>
    <row r="343" spans="1:8" x14ac:dyDescent="0.25">
      <c r="A343">
        <v>111</v>
      </c>
      <c r="B343" s="52">
        <v>44778</v>
      </c>
      <c r="C343" s="18">
        <v>0.39884259259259264</v>
      </c>
      <c r="D343">
        <v>731524</v>
      </c>
      <c r="E343" t="s">
        <v>1465</v>
      </c>
      <c r="F343" t="s">
        <v>749</v>
      </c>
      <c r="G343">
        <v>1</v>
      </c>
      <c r="H343" t="s">
        <v>754</v>
      </c>
    </row>
    <row r="344" spans="1:8" x14ac:dyDescent="0.25">
      <c r="A344">
        <v>111</v>
      </c>
      <c r="B344" s="52">
        <v>44778</v>
      </c>
      <c r="C344" s="18">
        <v>0.40517361111111111</v>
      </c>
      <c r="D344">
        <v>731530</v>
      </c>
      <c r="E344" t="s">
        <v>1465</v>
      </c>
      <c r="F344" t="s">
        <v>749</v>
      </c>
      <c r="G344">
        <v>1</v>
      </c>
      <c r="H344" t="s">
        <v>754</v>
      </c>
    </row>
    <row r="345" spans="1:8" x14ac:dyDescent="0.25">
      <c r="A345">
        <v>111</v>
      </c>
      <c r="B345" s="52">
        <v>44778</v>
      </c>
      <c r="C345" s="18">
        <v>0.40765046296296298</v>
      </c>
      <c r="D345">
        <v>731531</v>
      </c>
      <c r="E345" t="s">
        <v>1465</v>
      </c>
      <c r="F345" t="s">
        <v>749</v>
      </c>
      <c r="G345">
        <v>1</v>
      </c>
      <c r="H345" t="s">
        <v>754</v>
      </c>
    </row>
    <row r="346" spans="1:8" x14ac:dyDescent="0.25">
      <c r="A346">
        <v>111</v>
      </c>
      <c r="B346" s="52">
        <v>44778</v>
      </c>
      <c r="C346" s="18">
        <v>0.41018518518518521</v>
      </c>
      <c r="D346">
        <v>731533</v>
      </c>
      <c r="E346" t="s">
        <v>1465</v>
      </c>
      <c r="F346" t="s">
        <v>749</v>
      </c>
      <c r="G346">
        <v>1</v>
      </c>
      <c r="H346" t="s">
        <v>754</v>
      </c>
    </row>
    <row r="347" spans="1:8" x14ac:dyDescent="0.25">
      <c r="A347">
        <v>111</v>
      </c>
      <c r="B347" s="52">
        <v>44778</v>
      </c>
      <c r="C347" s="18">
        <v>0.41370370370370368</v>
      </c>
      <c r="D347">
        <v>731535</v>
      </c>
      <c r="E347" t="s">
        <v>1465</v>
      </c>
      <c r="F347" t="s">
        <v>749</v>
      </c>
      <c r="G347">
        <v>1</v>
      </c>
      <c r="H347" t="s">
        <v>754</v>
      </c>
    </row>
    <row r="348" spans="1:8" x14ac:dyDescent="0.25">
      <c r="A348">
        <v>111</v>
      </c>
      <c r="B348" s="52">
        <v>44778</v>
      </c>
      <c r="C348" s="18">
        <v>0.41696759259259258</v>
      </c>
      <c r="D348">
        <v>731537</v>
      </c>
      <c r="E348" t="s">
        <v>1465</v>
      </c>
      <c r="F348" t="s">
        <v>749</v>
      </c>
      <c r="G348">
        <v>1</v>
      </c>
      <c r="H348" t="s">
        <v>754</v>
      </c>
    </row>
    <row r="349" spans="1:8" x14ac:dyDescent="0.25">
      <c r="A349">
        <v>111</v>
      </c>
      <c r="B349" s="52">
        <v>44778</v>
      </c>
      <c r="C349" s="18">
        <v>0.46672453703703703</v>
      </c>
      <c r="D349">
        <v>731546</v>
      </c>
      <c r="E349" t="s">
        <v>1465</v>
      </c>
      <c r="F349" t="s">
        <v>749</v>
      </c>
      <c r="G349">
        <v>1</v>
      </c>
      <c r="H349" t="s">
        <v>754</v>
      </c>
    </row>
    <row r="350" spans="1:8" x14ac:dyDescent="0.25">
      <c r="A350">
        <v>111</v>
      </c>
      <c r="B350" s="52">
        <v>44778</v>
      </c>
      <c r="C350" s="18">
        <v>0.4689699074074074</v>
      </c>
      <c r="D350">
        <v>731547</v>
      </c>
      <c r="E350" t="s">
        <v>1465</v>
      </c>
      <c r="F350" t="s">
        <v>749</v>
      </c>
      <c r="G350">
        <v>1</v>
      </c>
      <c r="H350" t="s">
        <v>754</v>
      </c>
    </row>
    <row r="351" spans="1:8" x14ac:dyDescent="0.25">
      <c r="A351">
        <v>111</v>
      </c>
      <c r="B351" s="52">
        <v>44778</v>
      </c>
      <c r="C351" s="18">
        <v>0.48834490740740738</v>
      </c>
      <c r="D351">
        <v>731549</v>
      </c>
      <c r="E351" t="s">
        <v>1465</v>
      </c>
      <c r="F351" t="s">
        <v>749</v>
      </c>
      <c r="G351">
        <v>1</v>
      </c>
      <c r="H351" t="s">
        <v>754</v>
      </c>
    </row>
    <row r="352" spans="1:8" x14ac:dyDescent="0.25">
      <c r="A352">
        <v>111</v>
      </c>
      <c r="B352" s="52">
        <v>44778</v>
      </c>
      <c r="C352" s="18">
        <v>0.59348379629629633</v>
      </c>
      <c r="D352">
        <v>731568</v>
      </c>
      <c r="E352" t="s">
        <v>723</v>
      </c>
      <c r="F352" t="s">
        <v>749</v>
      </c>
      <c r="G352">
        <v>1</v>
      </c>
      <c r="H352" t="s">
        <v>754</v>
      </c>
    </row>
    <row r="353" spans="1:8" x14ac:dyDescent="0.25">
      <c r="A353">
        <v>111</v>
      </c>
      <c r="B353" s="52">
        <v>44778</v>
      </c>
      <c r="C353" s="18">
        <v>0.60857638888888888</v>
      </c>
      <c r="D353">
        <v>731574</v>
      </c>
      <c r="E353" t="s">
        <v>723</v>
      </c>
      <c r="F353" t="s">
        <v>749</v>
      </c>
      <c r="G353">
        <v>1</v>
      </c>
      <c r="H353" t="s">
        <v>754</v>
      </c>
    </row>
    <row r="354" spans="1:8" x14ac:dyDescent="0.25">
      <c r="A354">
        <v>111</v>
      </c>
      <c r="B354" s="52">
        <v>44778</v>
      </c>
      <c r="C354" s="18">
        <v>0.70037037037037031</v>
      </c>
      <c r="D354">
        <v>731591</v>
      </c>
      <c r="E354" t="s">
        <v>723</v>
      </c>
      <c r="F354" t="s">
        <v>749</v>
      </c>
      <c r="G354">
        <v>1</v>
      </c>
      <c r="H354" t="s">
        <v>754</v>
      </c>
    </row>
    <row r="355" spans="1:8" x14ac:dyDescent="0.25">
      <c r="A355">
        <v>111</v>
      </c>
      <c r="B355" s="52">
        <v>44778</v>
      </c>
      <c r="C355" s="18">
        <v>0.7396759259259259</v>
      </c>
      <c r="D355">
        <v>731600</v>
      </c>
      <c r="E355" t="s">
        <v>723</v>
      </c>
      <c r="F355" t="s">
        <v>749</v>
      </c>
      <c r="G355">
        <v>1</v>
      </c>
      <c r="H355" t="s">
        <v>754</v>
      </c>
    </row>
    <row r="356" spans="1:8" x14ac:dyDescent="0.25">
      <c r="A356">
        <v>111</v>
      </c>
      <c r="B356" s="52">
        <v>44778</v>
      </c>
      <c r="C356" s="18">
        <v>0.80222222222222228</v>
      </c>
      <c r="D356">
        <v>731618</v>
      </c>
      <c r="E356" t="s">
        <v>722</v>
      </c>
      <c r="F356" t="s">
        <v>749</v>
      </c>
      <c r="G356">
        <v>1</v>
      </c>
      <c r="H356" t="s">
        <v>754</v>
      </c>
    </row>
    <row r="357" spans="1:8" x14ac:dyDescent="0.25">
      <c r="A357">
        <v>111</v>
      </c>
      <c r="B357" s="52">
        <v>44778</v>
      </c>
      <c r="C357" s="18">
        <v>0.81405092592592598</v>
      </c>
      <c r="D357">
        <v>731621</v>
      </c>
      <c r="E357" t="s">
        <v>722</v>
      </c>
      <c r="F357" t="s">
        <v>749</v>
      </c>
      <c r="G357">
        <v>1</v>
      </c>
      <c r="H357" t="s">
        <v>754</v>
      </c>
    </row>
    <row r="358" spans="1:8" x14ac:dyDescent="0.25">
      <c r="A358">
        <v>111</v>
      </c>
      <c r="B358" s="52">
        <v>44778</v>
      </c>
      <c r="C358" s="18">
        <v>0.85581018518518526</v>
      </c>
      <c r="D358">
        <v>731635</v>
      </c>
      <c r="E358" t="s">
        <v>722</v>
      </c>
      <c r="F358" t="s">
        <v>749</v>
      </c>
      <c r="G358">
        <v>1</v>
      </c>
      <c r="H358" t="s">
        <v>754</v>
      </c>
    </row>
    <row r="359" spans="1:8" x14ac:dyDescent="0.25">
      <c r="A359">
        <v>111</v>
      </c>
      <c r="B359" s="52">
        <v>44778</v>
      </c>
      <c r="C359" s="18">
        <v>0.88476851851851857</v>
      </c>
      <c r="D359">
        <v>731648</v>
      </c>
      <c r="E359" t="s">
        <v>722</v>
      </c>
      <c r="F359" t="s">
        <v>749</v>
      </c>
      <c r="G359">
        <v>1</v>
      </c>
      <c r="H359" t="s">
        <v>754</v>
      </c>
    </row>
    <row r="360" spans="1:8" x14ac:dyDescent="0.25">
      <c r="A360">
        <v>111</v>
      </c>
      <c r="B360" s="52">
        <v>44778</v>
      </c>
      <c r="C360" s="18">
        <v>0.9781481481481481</v>
      </c>
      <c r="D360">
        <v>731681</v>
      </c>
      <c r="E360" t="s">
        <v>722</v>
      </c>
      <c r="F360" t="s">
        <v>749</v>
      </c>
      <c r="G360">
        <v>1</v>
      </c>
      <c r="H360" t="s">
        <v>754</v>
      </c>
    </row>
    <row r="361" spans="1:8" x14ac:dyDescent="0.25">
      <c r="A361">
        <v>111</v>
      </c>
      <c r="B361" s="52">
        <v>44779</v>
      </c>
      <c r="C361" s="18">
        <v>0.56799768518518523</v>
      </c>
      <c r="D361">
        <v>731761</v>
      </c>
      <c r="E361" t="s">
        <v>1465</v>
      </c>
      <c r="F361" t="s">
        <v>749</v>
      </c>
      <c r="G361">
        <v>1</v>
      </c>
      <c r="H361" t="s">
        <v>754</v>
      </c>
    </row>
    <row r="362" spans="1:8" x14ac:dyDescent="0.25">
      <c r="A362">
        <v>111</v>
      </c>
      <c r="B362" s="52">
        <v>44779</v>
      </c>
      <c r="C362" s="18">
        <v>0.65493055555555557</v>
      </c>
      <c r="D362">
        <v>731777</v>
      </c>
      <c r="E362" t="s">
        <v>901</v>
      </c>
      <c r="F362" t="s">
        <v>749</v>
      </c>
      <c r="G362">
        <v>1</v>
      </c>
      <c r="H362" t="s">
        <v>754</v>
      </c>
    </row>
    <row r="363" spans="1:8" x14ac:dyDescent="0.25">
      <c r="A363">
        <v>111</v>
      </c>
      <c r="B363" s="52">
        <v>44780</v>
      </c>
      <c r="C363" s="18">
        <v>0.40763888888888888</v>
      </c>
      <c r="D363">
        <v>732001</v>
      </c>
      <c r="E363" t="s">
        <v>1465</v>
      </c>
      <c r="F363" t="s">
        <v>749</v>
      </c>
      <c r="G363">
        <v>1</v>
      </c>
      <c r="H363" t="s">
        <v>754</v>
      </c>
    </row>
    <row r="364" spans="1:8" x14ac:dyDescent="0.25">
      <c r="A364">
        <v>111</v>
      </c>
      <c r="B364" s="52">
        <v>44780</v>
      </c>
      <c r="C364" s="18">
        <v>0.52186342592592594</v>
      </c>
      <c r="D364">
        <v>732031</v>
      </c>
      <c r="E364" t="s">
        <v>1465</v>
      </c>
      <c r="F364" t="s">
        <v>749</v>
      </c>
      <c r="G364">
        <v>1</v>
      </c>
      <c r="H364" t="s">
        <v>754</v>
      </c>
    </row>
    <row r="365" spans="1:8" x14ac:dyDescent="0.25">
      <c r="A365">
        <v>111</v>
      </c>
      <c r="B365" s="52">
        <v>44780</v>
      </c>
      <c r="C365" s="18">
        <v>0.81158564814814815</v>
      </c>
      <c r="D365">
        <v>732104</v>
      </c>
      <c r="E365" t="s">
        <v>1280</v>
      </c>
      <c r="F365" t="s">
        <v>749</v>
      </c>
      <c r="G365">
        <v>1</v>
      </c>
      <c r="H365" t="s">
        <v>754</v>
      </c>
    </row>
    <row r="366" spans="1:8" x14ac:dyDescent="0.25">
      <c r="A366">
        <v>121</v>
      </c>
      <c r="B366" s="52">
        <v>44774</v>
      </c>
      <c r="C366" s="18">
        <v>0.4952893518518518</v>
      </c>
      <c r="D366">
        <v>1126961</v>
      </c>
      <c r="E366" t="s">
        <v>724</v>
      </c>
      <c r="F366" t="s">
        <v>749</v>
      </c>
      <c r="G366">
        <v>1</v>
      </c>
      <c r="H366" t="s">
        <v>754</v>
      </c>
    </row>
    <row r="367" spans="1:8" x14ac:dyDescent="0.25">
      <c r="A367">
        <v>121</v>
      </c>
      <c r="B367" s="52">
        <v>44774</v>
      </c>
      <c r="C367" s="18">
        <v>0.58893518518518517</v>
      </c>
      <c r="D367">
        <v>1126999</v>
      </c>
      <c r="E367" t="s">
        <v>724</v>
      </c>
      <c r="F367" t="s">
        <v>749</v>
      </c>
      <c r="G367">
        <v>1</v>
      </c>
      <c r="H367" t="s">
        <v>754</v>
      </c>
    </row>
    <row r="368" spans="1:8" x14ac:dyDescent="0.25">
      <c r="A368">
        <v>121</v>
      </c>
      <c r="B368" s="52">
        <v>44775</v>
      </c>
      <c r="C368" s="18">
        <v>0.47613425925925923</v>
      </c>
      <c r="D368">
        <v>1127201</v>
      </c>
      <c r="E368" t="s">
        <v>724</v>
      </c>
      <c r="F368" t="s">
        <v>749</v>
      </c>
      <c r="G368">
        <v>1</v>
      </c>
      <c r="H368" t="s">
        <v>754</v>
      </c>
    </row>
    <row r="369" spans="1:8" x14ac:dyDescent="0.25">
      <c r="A369">
        <v>121</v>
      </c>
      <c r="B369" s="52">
        <v>44775</v>
      </c>
      <c r="C369" s="18">
        <v>0.75775462962962958</v>
      </c>
      <c r="D369">
        <v>1127280</v>
      </c>
      <c r="E369" t="s">
        <v>724</v>
      </c>
      <c r="F369" t="s">
        <v>749</v>
      </c>
      <c r="G369">
        <v>1</v>
      </c>
      <c r="H369" t="s">
        <v>754</v>
      </c>
    </row>
    <row r="370" spans="1:8" x14ac:dyDescent="0.25">
      <c r="A370">
        <v>121</v>
      </c>
      <c r="B370" s="52">
        <v>44775</v>
      </c>
      <c r="C370" s="18">
        <v>0.81087962962962967</v>
      </c>
      <c r="D370">
        <v>1127306</v>
      </c>
      <c r="E370" t="s">
        <v>725</v>
      </c>
      <c r="F370" t="s">
        <v>749</v>
      </c>
      <c r="G370">
        <v>1</v>
      </c>
      <c r="H370" t="s">
        <v>754</v>
      </c>
    </row>
    <row r="371" spans="1:8" x14ac:dyDescent="0.25">
      <c r="A371">
        <v>121</v>
      </c>
      <c r="B371" s="52">
        <v>44776</v>
      </c>
      <c r="C371" s="18">
        <v>0.37593750000000004</v>
      </c>
      <c r="D371">
        <v>1127442</v>
      </c>
      <c r="E371" t="s">
        <v>724</v>
      </c>
      <c r="F371" t="s">
        <v>749</v>
      </c>
      <c r="G371">
        <v>1</v>
      </c>
      <c r="H371" t="s">
        <v>754</v>
      </c>
    </row>
    <row r="372" spans="1:8" x14ac:dyDescent="0.25">
      <c r="A372">
        <v>121</v>
      </c>
      <c r="B372" s="52">
        <v>44776</v>
      </c>
      <c r="C372" s="18">
        <v>0.44135416666666666</v>
      </c>
      <c r="D372">
        <v>1127493</v>
      </c>
      <c r="E372" t="s">
        <v>724</v>
      </c>
      <c r="F372" t="s">
        <v>749</v>
      </c>
      <c r="G372">
        <v>1</v>
      </c>
      <c r="H372" t="s">
        <v>754</v>
      </c>
    </row>
    <row r="373" spans="1:8" x14ac:dyDescent="0.25">
      <c r="A373">
        <v>121</v>
      </c>
      <c r="B373" s="52">
        <v>44776</v>
      </c>
      <c r="C373" s="18">
        <v>0.49901620370370375</v>
      </c>
      <c r="D373">
        <v>1127539</v>
      </c>
      <c r="E373" t="s">
        <v>724</v>
      </c>
      <c r="F373" t="s">
        <v>749</v>
      </c>
      <c r="G373">
        <v>1</v>
      </c>
      <c r="H373" t="s">
        <v>754</v>
      </c>
    </row>
    <row r="374" spans="1:8" x14ac:dyDescent="0.25">
      <c r="A374">
        <v>121</v>
      </c>
      <c r="B374" s="52">
        <v>44776</v>
      </c>
      <c r="C374" s="18">
        <v>0.59203703703703703</v>
      </c>
      <c r="D374">
        <v>1127618</v>
      </c>
      <c r="E374" t="s">
        <v>724</v>
      </c>
      <c r="F374" t="s">
        <v>749</v>
      </c>
      <c r="G374">
        <v>1</v>
      </c>
      <c r="H374" t="s">
        <v>754</v>
      </c>
    </row>
    <row r="375" spans="1:8" x14ac:dyDescent="0.25">
      <c r="A375">
        <v>121</v>
      </c>
      <c r="B375" s="52">
        <v>44776</v>
      </c>
      <c r="C375" s="18">
        <v>0.63268518518518524</v>
      </c>
      <c r="D375">
        <v>1127649</v>
      </c>
      <c r="E375" t="s">
        <v>724</v>
      </c>
      <c r="F375" t="s">
        <v>749</v>
      </c>
      <c r="G375">
        <v>1</v>
      </c>
      <c r="H375" t="s">
        <v>754</v>
      </c>
    </row>
    <row r="376" spans="1:8" x14ac:dyDescent="0.25">
      <c r="A376">
        <v>121</v>
      </c>
      <c r="B376" s="52">
        <v>44777</v>
      </c>
      <c r="C376" s="18">
        <v>0.43626157407407407</v>
      </c>
      <c r="D376">
        <v>1127905</v>
      </c>
      <c r="E376" t="s">
        <v>724</v>
      </c>
      <c r="F376" t="s">
        <v>749</v>
      </c>
      <c r="G376">
        <v>1</v>
      </c>
      <c r="H376" t="s">
        <v>754</v>
      </c>
    </row>
    <row r="377" spans="1:8" x14ac:dyDescent="0.25">
      <c r="A377">
        <v>121</v>
      </c>
      <c r="B377" s="52">
        <v>44777</v>
      </c>
      <c r="C377" s="18">
        <v>0.45978009259259256</v>
      </c>
      <c r="D377">
        <v>1127909</v>
      </c>
      <c r="E377" t="s">
        <v>724</v>
      </c>
      <c r="F377" t="s">
        <v>749</v>
      </c>
      <c r="G377">
        <v>1</v>
      </c>
      <c r="H377" t="s">
        <v>754</v>
      </c>
    </row>
    <row r="378" spans="1:8" x14ac:dyDescent="0.25">
      <c r="A378">
        <v>121</v>
      </c>
      <c r="B378" s="52">
        <v>44777</v>
      </c>
      <c r="C378" s="18">
        <v>0.47319444444444447</v>
      </c>
      <c r="D378">
        <v>1127916</v>
      </c>
      <c r="E378" t="s">
        <v>724</v>
      </c>
      <c r="F378" t="s">
        <v>749</v>
      </c>
      <c r="G378">
        <v>1</v>
      </c>
      <c r="H378" t="s">
        <v>754</v>
      </c>
    </row>
    <row r="379" spans="1:8" x14ac:dyDescent="0.25">
      <c r="A379">
        <v>121</v>
      </c>
      <c r="B379" s="52">
        <v>44777</v>
      </c>
      <c r="C379" s="18">
        <v>0.5470949074074074</v>
      </c>
      <c r="D379">
        <v>1127947</v>
      </c>
      <c r="E379" t="s">
        <v>724</v>
      </c>
      <c r="F379" t="s">
        <v>749</v>
      </c>
      <c r="G379">
        <v>1</v>
      </c>
      <c r="H379" t="s">
        <v>754</v>
      </c>
    </row>
    <row r="380" spans="1:8" x14ac:dyDescent="0.25">
      <c r="A380">
        <v>121</v>
      </c>
      <c r="B380" s="52">
        <v>44777</v>
      </c>
      <c r="C380" s="18">
        <v>0.66918981481481488</v>
      </c>
      <c r="D380">
        <v>1128002</v>
      </c>
      <c r="E380" t="s">
        <v>724</v>
      </c>
      <c r="F380" t="s">
        <v>749</v>
      </c>
      <c r="G380">
        <v>1</v>
      </c>
      <c r="H380" t="s">
        <v>754</v>
      </c>
    </row>
    <row r="381" spans="1:8" x14ac:dyDescent="0.25">
      <c r="A381">
        <v>121</v>
      </c>
      <c r="B381" s="52">
        <v>44777</v>
      </c>
      <c r="C381" s="18">
        <v>0.73469907407407409</v>
      </c>
      <c r="D381">
        <v>1128022</v>
      </c>
      <c r="E381" t="s">
        <v>724</v>
      </c>
      <c r="F381" t="s">
        <v>749</v>
      </c>
      <c r="G381">
        <v>1</v>
      </c>
      <c r="H381" t="s">
        <v>754</v>
      </c>
    </row>
    <row r="382" spans="1:8" x14ac:dyDescent="0.25">
      <c r="A382">
        <v>121</v>
      </c>
      <c r="B382" s="52">
        <v>44777</v>
      </c>
      <c r="C382" s="18">
        <v>0.74483796296296301</v>
      </c>
      <c r="D382">
        <v>1128027</v>
      </c>
      <c r="E382" t="s">
        <v>724</v>
      </c>
      <c r="F382" t="s">
        <v>749</v>
      </c>
      <c r="G382">
        <v>1</v>
      </c>
      <c r="H382" t="s">
        <v>754</v>
      </c>
    </row>
    <row r="383" spans="1:8" x14ac:dyDescent="0.25">
      <c r="A383">
        <v>121</v>
      </c>
      <c r="B383" s="52">
        <v>44777</v>
      </c>
      <c r="C383" s="18">
        <v>0.74747685185185186</v>
      </c>
      <c r="D383">
        <v>1128028</v>
      </c>
      <c r="E383" t="s">
        <v>724</v>
      </c>
      <c r="F383" t="s">
        <v>749</v>
      </c>
      <c r="G383">
        <v>1</v>
      </c>
      <c r="H383" t="s">
        <v>754</v>
      </c>
    </row>
    <row r="384" spans="1:8" x14ac:dyDescent="0.25">
      <c r="A384">
        <v>121</v>
      </c>
      <c r="B384" s="52">
        <v>44777</v>
      </c>
      <c r="C384" s="18">
        <v>0.75033564814814813</v>
      </c>
      <c r="D384">
        <v>1128030</v>
      </c>
      <c r="E384" t="s">
        <v>724</v>
      </c>
      <c r="F384" t="s">
        <v>749</v>
      </c>
      <c r="G384">
        <v>1</v>
      </c>
      <c r="H384" t="s">
        <v>754</v>
      </c>
    </row>
    <row r="385" spans="1:8" x14ac:dyDescent="0.25">
      <c r="A385">
        <v>121</v>
      </c>
      <c r="B385" s="52">
        <v>44777</v>
      </c>
      <c r="C385" s="18">
        <v>0.76322916666666663</v>
      </c>
      <c r="D385">
        <v>1128035</v>
      </c>
      <c r="E385" t="s">
        <v>725</v>
      </c>
      <c r="F385" t="s">
        <v>749</v>
      </c>
      <c r="G385">
        <v>1</v>
      </c>
      <c r="H385" t="s">
        <v>754</v>
      </c>
    </row>
    <row r="386" spans="1:8" x14ac:dyDescent="0.25">
      <c r="A386">
        <v>121</v>
      </c>
      <c r="B386" s="52">
        <v>44777</v>
      </c>
      <c r="C386" s="18">
        <v>0.83098379629629626</v>
      </c>
      <c r="D386">
        <v>1128066</v>
      </c>
      <c r="E386" t="s">
        <v>725</v>
      </c>
      <c r="F386" t="s">
        <v>749</v>
      </c>
      <c r="G386">
        <v>1</v>
      </c>
      <c r="H386" t="s">
        <v>754</v>
      </c>
    </row>
    <row r="387" spans="1:8" x14ac:dyDescent="0.25">
      <c r="A387">
        <v>121</v>
      </c>
      <c r="B387" s="52">
        <v>44777</v>
      </c>
      <c r="C387" s="18">
        <v>0.85502314814814817</v>
      </c>
      <c r="D387">
        <v>1128078</v>
      </c>
      <c r="E387" t="s">
        <v>725</v>
      </c>
      <c r="F387" t="s">
        <v>749</v>
      </c>
      <c r="G387">
        <v>1</v>
      </c>
      <c r="H387" t="s">
        <v>754</v>
      </c>
    </row>
    <row r="388" spans="1:8" x14ac:dyDescent="0.25">
      <c r="A388">
        <v>121</v>
      </c>
      <c r="B388" s="52">
        <v>44777</v>
      </c>
      <c r="C388" s="18">
        <v>0.87291666666666667</v>
      </c>
      <c r="D388">
        <v>1128086</v>
      </c>
      <c r="E388" t="s">
        <v>725</v>
      </c>
      <c r="F388" t="s">
        <v>749</v>
      </c>
      <c r="G388">
        <v>1</v>
      </c>
      <c r="H388" t="s">
        <v>754</v>
      </c>
    </row>
    <row r="389" spans="1:8" x14ac:dyDescent="0.25">
      <c r="A389">
        <v>121</v>
      </c>
      <c r="B389" s="52">
        <v>44777</v>
      </c>
      <c r="C389" s="18">
        <v>0.87570601851851848</v>
      </c>
      <c r="D389">
        <v>1128087</v>
      </c>
      <c r="E389" t="s">
        <v>725</v>
      </c>
      <c r="F389" t="s">
        <v>749</v>
      </c>
      <c r="G389">
        <v>1</v>
      </c>
      <c r="H389" t="s">
        <v>754</v>
      </c>
    </row>
    <row r="390" spans="1:8" x14ac:dyDescent="0.25">
      <c r="A390">
        <v>121</v>
      </c>
      <c r="B390" s="52">
        <v>44777</v>
      </c>
      <c r="C390" s="18">
        <v>0.8970717592592593</v>
      </c>
      <c r="D390">
        <v>1128094</v>
      </c>
      <c r="E390" t="s">
        <v>725</v>
      </c>
      <c r="F390" t="s">
        <v>749</v>
      </c>
      <c r="G390">
        <v>1</v>
      </c>
      <c r="H390" t="s">
        <v>754</v>
      </c>
    </row>
    <row r="391" spans="1:8" x14ac:dyDescent="0.25">
      <c r="A391">
        <v>121</v>
      </c>
      <c r="B391" s="52">
        <v>44777</v>
      </c>
      <c r="C391" s="18">
        <v>0.90145833333333336</v>
      </c>
      <c r="D391">
        <v>1128095</v>
      </c>
      <c r="E391" t="s">
        <v>725</v>
      </c>
      <c r="F391" t="s">
        <v>749</v>
      </c>
      <c r="G391">
        <v>1</v>
      </c>
      <c r="H391" t="s">
        <v>754</v>
      </c>
    </row>
    <row r="392" spans="1:8" x14ac:dyDescent="0.25">
      <c r="A392">
        <v>121</v>
      </c>
      <c r="B392" s="52">
        <v>44777</v>
      </c>
      <c r="C392" s="18">
        <v>0.90726851851851853</v>
      </c>
      <c r="D392">
        <v>1128098</v>
      </c>
      <c r="E392" t="s">
        <v>725</v>
      </c>
      <c r="F392" t="s">
        <v>749</v>
      </c>
      <c r="G392">
        <v>1</v>
      </c>
      <c r="H392" t="s">
        <v>754</v>
      </c>
    </row>
    <row r="393" spans="1:8" x14ac:dyDescent="0.25">
      <c r="A393">
        <v>121</v>
      </c>
      <c r="B393" s="52">
        <v>44777</v>
      </c>
      <c r="C393" s="18">
        <v>0.91480324074074071</v>
      </c>
      <c r="D393">
        <v>1128103</v>
      </c>
      <c r="E393" t="s">
        <v>725</v>
      </c>
      <c r="F393" t="s">
        <v>749</v>
      </c>
      <c r="G393">
        <v>1</v>
      </c>
      <c r="H393" t="s">
        <v>754</v>
      </c>
    </row>
    <row r="394" spans="1:8" x14ac:dyDescent="0.25">
      <c r="A394">
        <v>121</v>
      </c>
      <c r="B394" s="52">
        <v>44777</v>
      </c>
      <c r="C394" s="18">
        <v>0.95550925925925922</v>
      </c>
      <c r="D394">
        <v>1128118</v>
      </c>
      <c r="E394" t="s">
        <v>725</v>
      </c>
      <c r="F394" t="s">
        <v>749</v>
      </c>
      <c r="G394">
        <v>1</v>
      </c>
      <c r="H394" t="s">
        <v>754</v>
      </c>
    </row>
    <row r="395" spans="1:8" x14ac:dyDescent="0.25">
      <c r="A395">
        <v>121</v>
      </c>
      <c r="B395" s="52">
        <v>44777</v>
      </c>
      <c r="C395" s="18">
        <v>0.95848379629629632</v>
      </c>
      <c r="D395">
        <v>1128119</v>
      </c>
      <c r="E395" t="s">
        <v>725</v>
      </c>
      <c r="F395" t="s">
        <v>749</v>
      </c>
      <c r="G395">
        <v>1</v>
      </c>
      <c r="H395" t="s">
        <v>754</v>
      </c>
    </row>
    <row r="396" spans="1:8" x14ac:dyDescent="0.25">
      <c r="A396">
        <v>121</v>
      </c>
      <c r="B396" s="52">
        <v>44778</v>
      </c>
      <c r="C396" s="18">
        <v>0.31025462962962963</v>
      </c>
      <c r="D396">
        <v>1128178</v>
      </c>
      <c r="E396" t="s">
        <v>724</v>
      </c>
      <c r="F396" t="s">
        <v>749</v>
      </c>
      <c r="G396">
        <v>1</v>
      </c>
      <c r="H396" t="s">
        <v>754</v>
      </c>
    </row>
    <row r="397" spans="1:8" x14ac:dyDescent="0.25">
      <c r="A397">
        <v>121</v>
      </c>
      <c r="B397" s="52">
        <v>44778</v>
      </c>
      <c r="C397" s="18">
        <v>0.31200231481481483</v>
      </c>
      <c r="D397">
        <v>1128180</v>
      </c>
      <c r="E397" t="s">
        <v>724</v>
      </c>
      <c r="F397" t="s">
        <v>749</v>
      </c>
      <c r="G397">
        <v>1</v>
      </c>
      <c r="H397" t="s">
        <v>754</v>
      </c>
    </row>
    <row r="398" spans="1:8" x14ac:dyDescent="0.25">
      <c r="A398">
        <v>121</v>
      </c>
      <c r="B398" s="52">
        <v>44778</v>
      </c>
      <c r="C398" s="18">
        <v>0.31555555555555553</v>
      </c>
      <c r="D398">
        <v>1128182</v>
      </c>
      <c r="E398" t="s">
        <v>724</v>
      </c>
      <c r="F398" t="s">
        <v>749</v>
      </c>
      <c r="G398">
        <v>1</v>
      </c>
      <c r="H398" t="s">
        <v>754</v>
      </c>
    </row>
    <row r="399" spans="1:8" x14ac:dyDescent="0.25">
      <c r="A399">
        <v>121</v>
      </c>
      <c r="B399" s="52">
        <v>44778</v>
      </c>
      <c r="C399" s="18">
        <v>0.32303240740740741</v>
      </c>
      <c r="D399">
        <v>1128183</v>
      </c>
      <c r="E399" t="s">
        <v>724</v>
      </c>
      <c r="F399" t="s">
        <v>749</v>
      </c>
      <c r="G399">
        <v>1</v>
      </c>
      <c r="H399" t="s">
        <v>754</v>
      </c>
    </row>
    <row r="400" spans="1:8" x14ac:dyDescent="0.25">
      <c r="A400">
        <v>121</v>
      </c>
      <c r="B400" s="52">
        <v>44778</v>
      </c>
      <c r="C400" s="18">
        <v>0.32479166666666665</v>
      </c>
      <c r="D400">
        <v>1128185</v>
      </c>
      <c r="E400" t="s">
        <v>724</v>
      </c>
      <c r="F400" t="s">
        <v>749</v>
      </c>
      <c r="G400">
        <v>1</v>
      </c>
      <c r="H400" t="s">
        <v>754</v>
      </c>
    </row>
    <row r="401" spans="1:8" x14ac:dyDescent="0.25">
      <c r="A401">
        <v>121</v>
      </c>
      <c r="B401" s="52">
        <v>44778</v>
      </c>
      <c r="C401" s="18">
        <v>0.32730324074074074</v>
      </c>
      <c r="D401">
        <v>1128186</v>
      </c>
      <c r="E401" t="s">
        <v>724</v>
      </c>
      <c r="F401" t="s">
        <v>749</v>
      </c>
      <c r="G401">
        <v>1</v>
      </c>
      <c r="H401" t="s">
        <v>754</v>
      </c>
    </row>
    <row r="402" spans="1:8" x14ac:dyDescent="0.25">
      <c r="A402">
        <v>121</v>
      </c>
      <c r="B402" s="52">
        <v>44778</v>
      </c>
      <c r="C402" s="18">
        <v>0.330162037037037</v>
      </c>
      <c r="D402">
        <v>1128188</v>
      </c>
      <c r="E402" t="s">
        <v>724</v>
      </c>
      <c r="F402" t="s">
        <v>749</v>
      </c>
      <c r="G402">
        <v>1</v>
      </c>
      <c r="H402" t="s">
        <v>754</v>
      </c>
    </row>
    <row r="403" spans="1:8" x14ac:dyDescent="0.25">
      <c r="A403">
        <v>121</v>
      </c>
      <c r="B403" s="52">
        <v>44778</v>
      </c>
      <c r="C403" s="18">
        <v>0.33292824074074073</v>
      </c>
      <c r="D403">
        <v>1128191</v>
      </c>
      <c r="E403" t="s">
        <v>724</v>
      </c>
      <c r="F403" t="s">
        <v>749</v>
      </c>
      <c r="G403">
        <v>1</v>
      </c>
      <c r="H403" t="s">
        <v>754</v>
      </c>
    </row>
    <row r="404" spans="1:8" x14ac:dyDescent="0.25">
      <c r="A404">
        <v>121</v>
      </c>
      <c r="B404" s="52">
        <v>44778</v>
      </c>
      <c r="C404" s="18">
        <v>0.33386574074074077</v>
      </c>
      <c r="D404">
        <v>1128192</v>
      </c>
      <c r="E404" t="s">
        <v>724</v>
      </c>
      <c r="F404" t="s">
        <v>749</v>
      </c>
      <c r="G404">
        <v>1</v>
      </c>
      <c r="H404" t="s">
        <v>754</v>
      </c>
    </row>
    <row r="405" spans="1:8" x14ac:dyDescent="0.25">
      <c r="A405">
        <v>121</v>
      </c>
      <c r="B405" s="52">
        <v>44778</v>
      </c>
      <c r="C405" s="18">
        <v>0.34180555555555553</v>
      </c>
      <c r="D405">
        <v>1128193</v>
      </c>
      <c r="E405" t="s">
        <v>724</v>
      </c>
      <c r="F405" t="s">
        <v>749</v>
      </c>
      <c r="G405">
        <v>1</v>
      </c>
      <c r="H405" t="s">
        <v>754</v>
      </c>
    </row>
    <row r="406" spans="1:8" x14ac:dyDescent="0.25">
      <c r="A406">
        <v>121</v>
      </c>
      <c r="B406" s="52">
        <v>44778</v>
      </c>
      <c r="C406" s="18">
        <v>0.34493055555555552</v>
      </c>
      <c r="D406">
        <v>1128194</v>
      </c>
      <c r="E406" t="s">
        <v>724</v>
      </c>
      <c r="F406" t="s">
        <v>749</v>
      </c>
      <c r="G406">
        <v>1</v>
      </c>
      <c r="H406" t="s">
        <v>754</v>
      </c>
    </row>
    <row r="407" spans="1:8" x14ac:dyDescent="0.25">
      <c r="A407">
        <v>121</v>
      </c>
      <c r="B407" s="52">
        <v>44778</v>
      </c>
      <c r="C407" s="18">
        <v>0.34651620370370373</v>
      </c>
      <c r="D407">
        <v>1128195</v>
      </c>
      <c r="E407" t="s">
        <v>724</v>
      </c>
      <c r="F407" t="s">
        <v>749</v>
      </c>
      <c r="G407">
        <v>1</v>
      </c>
      <c r="H407" t="s">
        <v>754</v>
      </c>
    </row>
    <row r="408" spans="1:8" x14ac:dyDescent="0.25">
      <c r="A408">
        <v>121</v>
      </c>
      <c r="B408" s="52">
        <v>44778</v>
      </c>
      <c r="C408" s="18">
        <v>0.34803240740740743</v>
      </c>
      <c r="D408">
        <v>1128196</v>
      </c>
      <c r="E408" t="s">
        <v>724</v>
      </c>
      <c r="F408" t="s">
        <v>749</v>
      </c>
      <c r="G408">
        <v>1</v>
      </c>
      <c r="H408" t="s">
        <v>754</v>
      </c>
    </row>
    <row r="409" spans="1:8" x14ac:dyDescent="0.25">
      <c r="A409">
        <v>121</v>
      </c>
      <c r="B409" s="52">
        <v>44778</v>
      </c>
      <c r="C409" s="18">
        <v>0.34917824074074072</v>
      </c>
      <c r="D409">
        <v>1128197</v>
      </c>
      <c r="E409" t="s">
        <v>724</v>
      </c>
      <c r="F409" t="s">
        <v>749</v>
      </c>
      <c r="G409">
        <v>1</v>
      </c>
      <c r="H409" t="s">
        <v>754</v>
      </c>
    </row>
    <row r="410" spans="1:8" x14ac:dyDescent="0.25">
      <c r="A410">
        <v>121</v>
      </c>
      <c r="B410" s="52">
        <v>44778</v>
      </c>
      <c r="C410" s="18">
        <v>0.35159722222222217</v>
      </c>
      <c r="D410">
        <v>1128200</v>
      </c>
      <c r="E410" t="s">
        <v>724</v>
      </c>
      <c r="F410" t="s">
        <v>749</v>
      </c>
      <c r="G410">
        <v>1</v>
      </c>
      <c r="H410" t="s">
        <v>754</v>
      </c>
    </row>
    <row r="411" spans="1:8" x14ac:dyDescent="0.25">
      <c r="A411">
        <v>121</v>
      </c>
      <c r="B411" s="52">
        <v>44778</v>
      </c>
      <c r="C411" s="18">
        <v>0.35322916666666665</v>
      </c>
      <c r="D411">
        <v>1128201</v>
      </c>
      <c r="E411" t="s">
        <v>724</v>
      </c>
      <c r="F411" t="s">
        <v>749</v>
      </c>
      <c r="G411">
        <v>1</v>
      </c>
      <c r="H411" t="s">
        <v>754</v>
      </c>
    </row>
    <row r="412" spans="1:8" x14ac:dyDescent="0.25">
      <c r="A412">
        <v>121</v>
      </c>
      <c r="B412" s="52">
        <v>44778</v>
      </c>
      <c r="C412" s="18">
        <v>0.35464120370370367</v>
      </c>
      <c r="D412">
        <v>1128202</v>
      </c>
      <c r="E412" t="s">
        <v>724</v>
      </c>
      <c r="F412" t="s">
        <v>749</v>
      </c>
      <c r="G412">
        <v>1</v>
      </c>
      <c r="H412" t="s">
        <v>754</v>
      </c>
    </row>
    <row r="413" spans="1:8" x14ac:dyDescent="0.25">
      <c r="A413">
        <v>121</v>
      </c>
      <c r="B413" s="52">
        <v>44778</v>
      </c>
      <c r="C413" s="18">
        <v>0.35964120370370373</v>
      </c>
      <c r="D413">
        <v>1128205</v>
      </c>
      <c r="E413" t="s">
        <v>724</v>
      </c>
      <c r="F413" t="s">
        <v>749</v>
      </c>
      <c r="G413">
        <v>1</v>
      </c>
      <c r="H413" t="s">
        <v>754</v>
      </c>
    </row>
    <row r="414" spans="1:8" x14ac:dyDescent="0.25">
      <c r="A414">
        <v>121</v>
      </c>
      <c r="B414" s="52">
        <v>44778</v>
      </c>
      <c r="C414" s="18">
        <v>0.36116898148148152</v>
      </c>
      <c r="D414">
        <v>1128206</v>
      </c>
      <c r="E414" t="s">
        <v>724</v>
      </c>
      <c r="F414" t="s">
        <v>749</v>
      </c>
      <c r="G414">
        <v>1</v>
      </c>
      <c r="H414" t="s">
        <v>754</v>
      </c>
    </row>
    <row r="415" spans="1:8" x14ac:dyDescent="0.25">
      <c r="A415">
        <v>121</v>
      </c>
      <c r="B415" s="52">
        <v>44778</v>
      </c>
      <c r="C415" s="18">
        <v>0.3664351851851852</v>
      </c>
      <c r="D415">
        <v>1128210</v>
      </c>
      <c r="E415" t="s">
        <v>724</v>
      </c>
      <c r="F415" t="s">
        <v>749</v>
      </c>
      <c r="G415">
        <v>1</v>
      </c>
      <c r="H415" t="s">
        <v>754</v>
      </c>
    </row>
    <row r="416" spans="1:8" x14ac:dyDescent="0.25">
      <c r="A416">
        <v>121</v>
      </c>
      <c r="B416" s="52">
        <v>44778</v>
      </c>
      <c r="C416" s="18">
        <v>0.3682407407407407</v>
      </c>
      <c r="D416">
        <v>1128211</v>
      </c>
      <c r="E416" t="s">
        <v>724</v>
      </c>
      <c r="F416" t="s">
        <v>749</v>
      </c>
      <c r="G416">
        <v>1</v>
      </c>
      <c r="H416" t="s">
        <v>754</v>
      </c>
    </row>
    <row r="417" spans="1:8" x14ac:dyDescent="0.25">
      <c r="A417">
        <v>121</v>
      </c>
      <c r="B417" s="52">
        <v>44778</v>
      </c>
      <c r="C417" s="18">
        <v>0.36991898148148145</v>
      </c>
      <c r="D417">
        <v>1128212</v>
      </c>
      <c r="E417" t="s">
        <v>724</v>
      </c>
      <c r="F417" t="s">
        <v>749</v>
      </c>
      <c r="G417">
        <v>1</v>
      </c>
      <c r="H417" t="s">
        <v>754</v>
      </c>
    </row>
    <row r="418" spans="1:8" x14ac:dyDescent="0.25">
      <c r="A418">
        <v>121</v>
      </c>
      <c r="B418" s="52">
        <v>44778</v>
      </c>
      <c r="C418" s="18">
        <v>0.37425925925925929</v>
      </c>
      <c r="D418">
        <v>1128213</v>
      </c>
      <c r="E418" t="s">
        <v>724</v>
      </c>
      <c r="F418" t="s">
        <v>749</v>
      </c>
      <c r="G418">
        <v>1</v>
      </c>
      <c r="H418" t="s">
        <v>754</v>
      </c>
    </row>
    <row r="419" spans="1:8" x14ac:dyDescent="0.25">
      <c r="A419">
        <v>121</v>
      </c>
      <c r="B419" s="52">
        <v>44778</v>
      </c>
      <c r="C419" s="18">
        <v>0.37644675925925924</v>
      </c>
      <c r="D419">
        <v>1128214</v>
      </c>
      <c r="E419" t="s">
        <v>724</v>
      </c>
      <c r="F419" t="s">
        <v>749</v>
      </c>
      <c r="G419">
        <v>1</v>
      </c>
      <c r="H419" t="s">
        <v>754</v>
      </c>
    </row>
    <row r="420" spans="1:8" x14ac:dyDescent="0.25">
      <c r="A420">
        <v>121</v>
      </c>
      <c r="B420" s="52">
        <v>44778</v>
      </c>
      <c r="C420" s="18">
        <v>0.37917824074074075</v>
      </c>
      <c r="D420">
        <v>1128216</v>
      </c>
      <c r="E420" t="s">
        <v>724</v>
      </c>
      <c r="F420" t="s">
        <v>749</v>
      </c>
      <c r="G420">
        <v>1</v>
      </c>
      <c r="H420" t="s">
        <v>754</v>
      </c>
    </row>
    <row r="421" spans="1:8" x14ac:dyDescent="0.25">
      <c r="A421">
        <v>121</v>
      </c>
      <c r="B421" s="52">
        <v>44778</v>
      </c>
      <c r="C421" s="18">
        <v>0.38165509259259256</v>
      </c>
      <c r="D421">
        <v>1128218</v>
      </c>
      <c r="E421" t="s">
        <v>724</v>
      </c>
      <c r="F421" t="s">
        <v>749</v>
      </c>
      <c r="G421">
        <v>1</v>
      </c>
      <c r="H421" t="s">
        <v>754</v>
      </c>
    </row>
    <row r="422" spans="1:8" x14ac:dyDescent="0.25">
      <c r="A422">
        <v>121</v>
      </c>
      <c r="B422" s="52">
        <v>44778</v>
      </c>
      <c r="C422" s="18">
        <v>0.38324074074074077</v>
      </c>
      <c r="D422">
        <v>1128220</v>
      </c>
      <c r="E422" t="s">
        <v>724</v>
      </c>
      <c r="F422" t="s">
        <v>749</v>
      </c>
      <c r="G422">
        <v>1</v>
      </c>
      <c r="H422" t="s">
        <v>754</v>
      </c>
    </row>
    <row r="423" spans="1:8" x14ac:dyDescent="0.25">
      <c r="A423">
        <v>121</v>
      </c>
      <c r="B423" s="52">
        <v>44778</v>
      </c>
      <c r="C423" s="18">
        <v>0.38458333333333333</v>
      </c>
      <c r="D423">
        <v>1128221</v>
      </c>
      <c r="E423" t="s">
        <v>724</v>
      </c>
      <c r="F423" t="s">
        <v>749</v>
      </c>
      <c r="G423">
        <v>1</v>
      </c>
      <c r="H423" t="s">
        <v>754</v>
      </c>
    </row>
    <row r="424" spans="1:8" x14ac:dyDescent="0.25">
      <c r="A424">
        <v>121</v>
      </c>
      <c r="B424" s="52">
        <v>44778</v>
      </c>
      <c r="C424" s="18">
        <v>0.38643518518518521</v>
      </c>
      <c r="D424">
        <v>1128222</v>
      </c>
      <c r="E424" t="s">
        <v>724</v>
      </c>
      <c r="F424" t="s">
        <v>749</v>
      </c>
      <c r="G424">
        <v>1</v>
      </c>
      <c r="H424" t="s">
        <v>754</v>
      </c>
    </row>
    <row r="425" spans="1:8" x14ac:dyDescent="0.25">
      <c r="A425">
        <v>121</v>
      </c>
      <c r="B425" s="52">
        <v>44778</v>
      </c>
      <c r="C425" s="18">
        <v>0.38797453703703705</v>
      </c>
      <c r="D425">
        <v>1128223</v>
      </c>
      <c r="E425" t="s">
        <v>724</v>
      </c>
      <c r="F425" t="s">
        <v>749</v>
      </c>
      <c r="G425">
        <v>1</v>
      </c>
      <c r="H425" t="s">
        <v>754</v>
      </c>
    </row>
    <row r="426" spans="1:8" x14ac:dyDescent="0.25">
      <c r="A426">
        <v>121</v>
      </c>
      <c r="B426" s="52">
        <v>44778</v>
      </c>
      <c r="C426" s="18">
        <v>0.41084490740740742</v>
      </c>
      <c r="D426">
        <v>1128234</v>
      </c>
      <c r="E426" t="s">
        <v>724</v>
      </c>
      <c r="F426" t="s">
        <v>749</v>
      </c>
      <c r="G426">
        <v>1</v>
      </c>
      <c r="H426" t="s">
        <v>754</v>
      </c>
    </row>
    <row r="427" spans="1:8" x14ac:dyDescent="0.25">
      <c r="A427">
        <v>121</v>
      </c>
      <c r="B427" s="52">
        <v>44778</v>
      </c>
      <c r="C427" s="18">
        <v>0.41537037037037039</v>
      </c>
      <c r="D427">
        <v>1128235</v>
      </c>
      <c r="E427" t="s">
        <v>724</v>
      </c>
      <c r="F427" t="s">
        <v>749</v>
      </c>
      <c r="G427">
        <v>1</v>
      </c>
      <c r="H427" t="s">
        <v>754</v>
      </c>
    </row>
    <row r="428" spans="1:8" x14ac:dyDescent="0.25">
      <c r="A428">
        <v>121</v>
      </c>
      <c r="B428" s="52">
        <v>44778</v>
      </c>
      <c r="C428" s="18">
        <v>0.43971064814814814</v>
      </c>
      <c r="D428">
        <v>1128243</v>
      </c>
      <c r="E428" t="s">
        <v>724</v>
      </c>
      <c r="F428" t="s">
        <v>749</v>
      </c>
      <c r="G428">
        <v>1</v>
      </c>
      <c r="H428" t="s">
        <v>754</v>
      </c>
    </row>
    <row r="429" spans="1:8" x14ac:dyDescent="0.25">
      <c r="A429">
        <v>121</v>
      </c>
      <c r="B429" s="52">
        <v>44778</v>
      </c>
      <c r="C429" s="18">
        <v>0.45432870370370365</v>
      </c>
      <c r="D429">
        <v>1128247</v>
      </c>
      <c r="E429" t="s">
        <v>724</v>
      </c>
      <c r="F429" t="s">
        <v>749</v>
      </c>
      <c r="G429">
        <v>1</v>
      </c>
      <c r="H429" t="s">
        <v>754</v>
      </c>
    </row>
    <row r="430" spans="1:8" x14ac:dyDescent="0.25">
      <c r="A430">
        <v>121</v>
      </c>
      <c r="B430" s="52">
        <v>44778</v>
      </c>
      <c r="C430" s="18">
        <v>0.47490740740740739</v>
      </c>
      <c r="D430">
        <v>1128263</v>
      </c>
      <c r="E430" t="s">
        <v>724</v>
      </c>
      <c r="F430" t="s">
        <v>749</v>
      </c>
      <c r="G430">
        <v>1</v>
      </c>
      <c r="H430" t="s">
        <v>754</v>
      </c>
    </row>
    <row r="431" spans="1:8" x14ac:dyDescent="0.25">
      <c r="A431">
        <v>121</v>
      </c>
      <c r="B431" s="52">
        <v>44778</v>
      </c>
      <c r="C431" s="18">
        <v>0.48403935185185182</v>
      </c>
      <c r="D431">
        <v>1128267</v>
      </c>
      <c r="E431" t="s">
        <v>724</v>
      </c>
      <c r="F431" t="s">
        <v>749</v>
      </c>
      <c r="G431">
        <v>1</v>
      </c>
      <c r="H431" t="s">
        <v>754</v>
      </c>
    </row>
    <row r="432" spans="1:8" x14ac:dyDescent="0.25">
      <c r="A432">
        <v>121</v>
      </c>
      <c r="B432" s="52">
        <v>44778</v>
      </c>
      <c r="C432" s="18">
        <v>0.48712962962962963</v>
      </c>
      <c r="D432">
        <v>1128268</v>
      </c>
      <c r="E432" t="s">
        <v>724</v>
      </c>
      <c r="F432" t="s">
        <v>749</v>
      </c>
      <c r="G432">
        <v>1</v>
      </c>
      <c r="H432" t="s">
        <v>754</v>
      </c>
    </row>
    <row r="433" spans="1:8" x14ac:dyDescent="0.25">
      <c r="A433">
        <v>121</v>
      </c>
      <c r="B433" s="52">
        <v>44778</v>
      </c>
      <c r="C433" s="18">
        <v>0.50541666666666674</v>
      </c>
      <c r="D433">
        <v>1128275</v>
      </c>
      <c r="E433" t="s">
        <v>724</v>
      </c>
      <c r="F433" t="s">
        <v>749</v>
      </c>
      <c r="G433">
        <v>1</v>
      </c>
      <c r="H433" t="s">
        <v>754</v>
      </c>
    </row>
    <row r="434" spans="1:8" x14ac:dyDescent="0.25">
      <c r="A434">
        <v>121</v>
      </c>
      <c r="B434" s="52">
        <v>44778</v>
      </c>
      <c r="C434" s="18">
        <v>0.51248842592592592</v>
      </c>
      <c r="D434">
        <v>1128280</v>
      </c>
      <c r="E434" t="s">
        <v>724</v>
      </c>
      <c r="F434" t="s">
        <v>749</v>
      </c>
      <c r="G434">
        <v>1</v>
      </c>
      <c r="H434" t="s">
        <v>754</v>
      </c>
    </row>
    <row r="435" spans="1:8" x14ac:dyDescent="0.25">
      <c r="A435">
        <v>121</v>
      </c>
      <c r="B435" s="52">
        <v>44778</v>
      </c>
      <c r="C435" s="18">
        <v>0.54591435185185189</v>
      </c>
      <c r="D435">
        <v>1128293</v>
      </c>
      <c r="E435" t="s">
        <v>724</v>
      </c>
      <c r="F435" t="s">
        <v>749</v>
      </c>
      <c r="G435">
        <v>1</v>
      </c>
      <c r="H435" t="s">
        <v>754</v>
      </c>
    </row>
    <row r="436" spans="1:8" x14ac:dyDescent="0.25">
      <c r="A436">
        <v>121</v>
      </c>
      <c r="B436" s="52">
        <v>44778</v>
      </c>
      <c r="C436" s="18">
        <v>0.5491435185185185</v>
      </c>
      <c r="D436">
        <v>1128296</v>
      </c>
      <c r="E436" t="s">
        <v>724</v>
      </c>
      <c r="F436" t="s">
        <v>749</v>
      </c>
      <c r="G436">
        <v>1</v>
      </c>
      <c r="H436" t="s">
        <v>754</v>
      </c>
    </row>
    <row r="437" spans="1:8" x14ac:dyDescent="0.25">
      <c r="A437">
        <v>121</v>
      </c>
      <c r="B437" s="52">
        <v>44778</v>
      </c>
      <c r="C437" s="18">
        <v>0.57193287037037044</v>
      </c>
      <c r="D437">
        <v>1128307</v>
      </c>
      <c r="E437" t="s">
        <v>724</v>
      </c>
      <c r="F437" t="s">
        <v>749</v>
      </c>
      <c r="G437">
        <v>1</v>
      </c>
      <c r="H437" t="s">
        <v>754</v>
      </c>
    </row>
    <row r="438" spans="1:8" x14ac:dyDescent="0.25">
      <c r="A438">
        <v>121</v>
      </c>
      <c r="B438" s="52">
        <v>44778</v>
      </c>
      <c r="C438" s="18">
        <v>0.57349537037037035</v>
      </c>
      <c r="D438">
        <v>1128308</v>
      </c>
      <c r="E438" t="s">
        <v>724</v>
      </c>
      <c r="F438" t="s">
        <v>749</v>
      </c>
      <c r="G438">
        <v>1</v>
      </c>
      <c r="H438" t="s">
        <v>754</v>
      </c>
    </row>
    <row r="439" spans="1:8" x14ac:dyDescent="0.25">
      <c r="A439">
        <v>121</v>
      </c>
      <c r="B439" s="52">
        <v>44778</v>
      </c>
      <c r="C439" s="18">
        <v>0.58915509259259258</v>
      </c>
      <c r="D439">
        <v>1128310</v>
      </c>
      <c r="E439" t="s">
        <v>724</v>
      </c>
      <c r="F439" t="s">
        <v>749</v>
      </c>
      <c r="G439">
        <v>1</v>
      </c>
      <c r="H439" t="s">
        <v>754</v>
      </c>
    </row>
    <row r="440" spans="1:8" x14ac:dyDescent="0.25">
      <c r="A440">
        <v>121</v>
      </c>
      <c r="B440" s="52">
        <v>44778</v>
      </c>
      <c r="C440" s="18">
        <v>0.60780092592592594</v>
      </c>
      <c r="D440">
        <v>1128318</v>
      </c>
      <c r="E440" t="s">
        <v>724</v>
      </c>
      <c r="F440" t="s">
        <v>749</v>
      </c>
      <c r="G440">
        <v>1</v>
      </c>
      <c r="H440" t="s">
        <v>754</v>
      </c>
    </row>
    <row r="441" spans="1:8" x14ac:dyDescent="0.25">
      <c r="A441">
        <v>121</v>
      </c>
      <c r="B441" s="52">
        <v>44778</v>
      </c>
      <c r="C441" s="18">
        <v>0.65121527777777777</v>
      </c>
      <c r="D441">
        <v>1128334</v>
      </c>
      <c r="E441" t="s">
        <v>724</v>
      </c>
      <c r="F441" t="s">
        <v>749</v>
      </c>
      <c r="G441">
        <v>1</v>
      </c>
      <c r="H441" t="s">
        <v>754</v>
      </c>
    </row>
    <row r="442" spans="1:8" x14ac:dyDescent="0.25">
      <c r="A442">
        <v>121</v>
      </c>
      <c r="B442" s="52">
        <v>44778</v>
      </c>
      <c r="C442" s="18">
        <v>0.71506944444444442</v>
      </c>
      <c r="D442">
        <v>1128351</v>
      </c>
      <c r="E442" t="s">
        <v>724</v>
      </c>
      <c r="F442" t="s">
        <v>749</v>
      </c>
      <c r="G442">
        <v>1</v>
      </c>
      <c r="H442" t="s">
        <v>754</v>
      </c>
    </row>
    <row r="443" spans="1:8" x14ac:dyDescent="0.25">
      <c r="A443">
        <v>121</v>
      </c>
      <c r="B443" s="52">
        <v>44778</v>
      </c>
      <c r="C443" s="18">
        <v>0.72700231481481481</v>
      </c>
      <c r="D443">
        <v>1128354</v>
      </c>
      <c r="E443" t="s">
        <v>724</v>
      </c>
      <c r="F443" t="s">
        <v>749</v>
      </c>
      <c r="G443">
        <v>1</v>
      </c>
      <c r="H443" t="s">
        <v>754</v>
      </c>
    </row>
    <row r="444" spans="1:8" x14ac:dyDescent="0.25">
      <c r="A444">
        <v>121</v>
      </c>
      <c r="B444" s="52">
        <v>44778</v>
      </c>
      <c r="C444" s="18">
        <v>0.7946643518518518</v>
      </c>
      <c r="D444">
        <v>1128382</v>
      </c>
      <c r="E444" t="s">
        <v>725</v>
      </c>
      <c r="F444" t="s">
        <v>749</v>
      </c>
      <c r="G444">
        <v>1</v>
      </c>
      <c r="H444" t="s">
        <v>754</v>
      </c>
    </row>
    <row r="445" spans="1:8" x14ac:dyDescent="0.25">
      <c r="A445">
        <v>121</v>
      </c>
      <c r="B445" s="52">
        <v>44778</v>
      </c>
      <c r="C445" s="18">
        <v>0.81179398148148152</v>
      </c>
      <c r="D445">
        <v>1128392</v>
      </c>
      <c r="E445" t="s">
        <v>725</v>
      </c>
      <c r="F445" t="s">
        <v>749</v>
      </c>
      <c r="G445">
        <v>1</v>
      </c>
      <c r="H445" t="s">
        <v>754</v>
      </c>
    </row>
    <row r="446" spans="1:8" x14ac:dyDescent="0.25">
      <c r="A446">
        <v>121</v>
      </c>
      <c r="B446" s="52">
        <v>44778</v>
      </c>
      <c r="C446" s="18">
        <v>0.83462962962962972</v>
      </c>
      <c r="D446">
        <v>1128405</v>
      </c>
      <c r="E446" t="s">
        <v>725</v>
      </c>
      <c r="F446" t="s">
        <v>749</v>
      </c>
      <c r="G446">
        <v>1</v>
      </c>
      <c r="H446" t="s">
        <v>754</v>
      </c>
    </row>
    <row r="447" spans="1:8" x14ac:dyDescent="0.25">
      <c r="A447">
        <v>121</v>
      </c>
      <c r="B447" s="52">
        <v>44778</v>
      </c>
      <c r="C447" s="18">
        <v>0.83758101851851852</v>
      </c>
      <c r="D447">
        <v>1128407</v>
      </c>
      <c r="E447" t="s">
        <v>725</v>
      </c>
      <c r="F447" t="s">
        <v>749</v>
      </c>
      <c r="G447">
        <v>1</v>
      </c>
      <c r="H447" t="s">
        <v>754</v>
      </c>
    </row>
    <row r="448" spans="1:8" x14ac:dyDescent="0.25">
      <c r="A448">
        <v>121</v>
      </c>
      <c r="B448" s="52">
        <v>44778</v>
      </c>
      <c r="C448" s="18">
        <v>0.92743055555555554</v>
      </c>
      <c r="D448">
        <v>1128451</v>
      </c>
      <c r="E448" t="s">
        <v>725</v>
      </c>
      <c r="F448" t="s">
        <v>749</v>
      </c>
      <c r="G448">
        <v>1</v>
      </c>
      <c r="H448" t="s">
        <v>754</v>
      </c>
    </row>
    <row r="449" spans="1:8" x14ac:dyDescent="0.25">
      <c r="A449">
        <v>121</v>
      </c>
      <c r="B449" s="52">
        <v>44778</v>
      </c>
      <c r="C449" s="18">
        <v>0.96050925925925934</v>
      </c>
      <c r="D449">
        <v>1128468</v>
      </c>
      <c r="E449" t="s">
        <v>725</v>
      </c>
      <c r="F449" t="s">
        <v>749</v>
      </c>
      <c r="G449">
        <v>1</v>
      </c>
      <c r="H449" t="s">
        <v>754</v>
      </c>
    </row>
    <row r="450" spans="1:8" x14ac:dyDescent="0.25">
      <c r="A450">
        <v>121</v>
      </c>
      <c r="B450" s="52">
        <v>44778</v>
      </c>
      <c r="C450" s="18">
        <v>0.98406249999999995</v>
      </c>
      <c r="D450">
        <v>1128479</v>
      </c>
      <c r="E450" t="s">
        <v>725</v>
      </c>
      <c r="F450" t="s">
        <v>749</v>
      </c>
      <c r="G450">
        <v>1</v>
      </c>
      <c r="H450" t="s">
        <v>754</v>
      </c>
    </row>
    <row r="451" spans="1:8" x14ac:dyDescent="0.25">
      <c r="A451">
        <v>121</v>
      </c>
      <c r="B451" s="52">
        <v>44780</v>
      </c>
      <c r="C451" s="18">
        <v>0.62692129629629634</v>
      </c>
      <c r="D451">
        <v>1128955</v>
      </c>
      <c r="E451" t="s">
        <v>724</v>
      </c>
      <c r="F451" t="s">
        <v>749</v>
      </c>
      <c r="G451">
        <v>1</v>
      </c>
      <c r="H451" t="s">
        <v>754</v>
      </c>
    </row>
    <row r="452" spans="1:8" x14ac:dyDescent="0.25">
      <c r="A452">
        <v>121</v>
      </c>
      <c r="B452" s="52">
        <v>44780</v>
      </c>
      <c r="C452" s="18">
        <v>0.80685185185185182</v>
      </c>
      <c r="D452">
        <v>1129023</v>
      </c>
      <c r="E452" t="s">
        <v>725</v>
      </c>
      <c r="F452" t="s">
        <v>749</v>
      </c>
      <c r="G452">
        <v>1</v>
      </c>
      <c r="H452" t="s">
        <v>754</v>
      </c>
    </row>
    <row r="453" spans="1:8" x14ac:dyDescent="0.25">
      <c r="A453">
        <v>121</v>
      </c>
      <c r="B453" s="52">
        <v>44780</v>
      </c>
      <c r="C453" s="18">
        <v>0.84327546296296296</v>
      </c>
      <c r="D453">
        <v>1129048</v>
      </c>
      <c r="E453" t="s">
        <v>725</v>
      </c>
      <c r="F453" t="s">
        <v>749</v>
      </c>
      <c r="G453">
        <v>1</v>
      </c>
      <c r="H453" t="s">
        <v>754</v>
      </c>
    </row>
    <row r="454" spans="1:8" x14ac:dyDescent="0.25">
      <c r="A454">
        <v>131</v>
      </c>
      <c r="B454" s="52">
        <v>44774</v>
      </c>
      <c r="C454" s="18">
        <v>0.39468750000000002</v>
      </c>
      <c r="D454">
        <v>1691288</v>
      </c>
      <c r="E454" t="s">
        <v>726</v>
      </c>
      <c r="F454" t="s">
        <v>749</v>
      </c>
      <c r="G454">
        <v>1</v>
      </c>
      <c r="H454" t="s">
        <v>754</v>
      </c>
    </row>
    <row r="455" spans="1:8" x14ac:dyDescent="0.25">
      <c r="A455">
        <v>131</v>
      </c>
      <c r="B455" s="52">
        <v>44774</v>
      </c>
      <c r="C455" s="18">
        <v>0.39697916666666666</v>
      </c>
      <c r="D455">
        <v>1691290</v>
      </c>
      <c r="E455" t="s">
        <v>726</v>
      </c>
      <c r="F455" t="s">
        <v>749</v>
      </c>
      <c r="G455">
        <v>1</v>
      </c>
      <c r="H455" t="s">
        <v>754</v>
      </c>
    </row>
    <row r="456" spans="1:8" x14ac:dyDescent="0.25">
      <c r="A456">
        <v>131</v>
      </c>
      <c r="B456" s="52">
        <v>44774</v>
      </c>
      <c r="C456" s="18">
        <v>0.41502314814814811</v>
      </c>
      <c r="D456">
        <v>1691299</v>
      </c>
      <c r="E456" t="s">
        <v>726</v>
      </c>
      <c r="F456" t="s">
        <v>749</v>
      </c>
      <c r="G456">
        <v>1</v>
      </c>
      <c r="H456" t="s">
        <v>754</v>
      </c>
    </row>
    <row r="457" spans="1:8" x14ac:dyDescent="0.25">
      <c r="A457">
        <v>131</v>
      </c>
      <c r="B457" s="52">
        <v>44774</v>
      </c>
      <c r="C457" s="18">
        <v>0.41622685185185188</v>
      </c>
      <c r="D457">
        <v>1691300</v>
      </c>
      <c r="E457" t="s">
        <v>726</v>
      </c>
      <c r="F457" t="s">
        <v>749</v>
      </c>
      <c r="G457">
        <v>1</v>
      </c>
      <c r="H457" t="s">
        <v>754</v>
      </c>
    </row>
    <row r="458" spans="1:8" x14ac:dyDescent="0.25">
      <c r="A458">
        <v>131</v>
      </c>
      <c r="B458" s="52">
        <v>44774</v>
      </c>
      <c r="C458" s="18">
        <v>0.42319444444444443</v>
      </c>
      <c r="D458">
        <v>1691307</v>
      </c>
      <c r="E458" t="s">
        <v>726</v>
      </c>
      <c r="F458" t="s">
        <v>749</v>
      </c>
      <c r="G458">
        <v>1</v>
      </c>
      <c r="H458" t="s">
        <v>754</v>
      </c>
    </row>
    <row r="459" spans="1:8" x14ac:dyDescent="0.25">
      <c r="A459">
        <v>131</v>
      </c>
      <c r="B459" s="52">
        <v>44774</v>
      </c>
      <c r="C459" s="18">
        <v>0.55298611111111107</v>
      </c>
      <c r="D459">
        <v>1691403</v>
      </c>
      <c r="E459" t="s">
        <v>715</v>
      </c>
      <c r="F459" t="s">
        <v>749</v>
      </c>
      <c r="G459">
        <v>1</v>
      </c>
      <c r="H459" t="s">
        <v>754</v>
      </c>
    </row>
    <row r="460" spans="1:8" x14ac:dyDescent="0.25">
      <c r="A460">
        <v>131</v>
      </c>
      <c r="B460" s="52">
        <v>44774</v>
      </c>
      <c r="C460" s="18">
        <v>0.66855324074074074</v>
      </c>
      <c r="D460">
        <v>1691432</v>
      </c>
      <c r="E460" t="s">
        <v>726</v>
      </c>
      <c r="F460" t="s">
        <v>749</v>
      </c>
      <c r="G460">
        <v>1</v>
      </c>
      <c r="H460" t="s">
        <v>754</v>
      </c>
    </row>
    <row r="461" spans="1:8" x14ac:dyDescent="0.25">
      <c r="A461">
        <v>131</v>
      </c>
      <c r="B461" s="52">
        <v>44774</v>
      </c>
      <c r="C461" s="18">
        <v>0.76616898148148149</v>
      </c>
      <c r="D461">
        <v>1691506</v>
      </c>
      <c r="E461" t="s">
        <v>726</v>
      </c>
      <c r="F461" t="s">
        <v>749</v>
      </c>
      <c r="G461">
        <v>1</v>
      </c>
      <c r="H461" t="s">
        <v>754</v>
      </c>
    </row>
    <row r="462" spans="1:8" x14ac:dyDescent="0.25">
      <c r="A462">
        <v>131</v>
      </c>
      <c r="B462" s="52">
        <v>44775</v>
      </c>
      <c r="C462" s="18">
        <v>0.44643518518518516</v>
      </c>
      <c r="D462">
        <v>1691719</v>
      </c>
      <c r="E462" t="s">
        <v>726</v>
      </c>
      <c r="F462" t="s">
        <v>749</v>
      </c>
      <c r="G462">
        <v>1</v>
      </c>
      <c r="H462" t="s">
        <v>754</v>
      </c>
    </row>
    <row r="463" spans="1:8" x14ac:dyDescent="0.25">
      <c r="A463">
        <v>131</v>
      </c>
      <c r="B463" s="52">
        <v>44775</v>
      </c>
      <c r="C463" s="18">
        <v>0.75480324074074068</v>
      </c>
      <c r="D463">
        <v>1691906</v>
      </c>
      <c r="E463" t="s">
        <v>727</v>
      </c>
      <c r="F463" t="s">
        <v>749</v>
      </c>
      <c r="G463">
        <v>1</v>
      </c>
      <c r="H463" t="s">
        <v>754</v>
      </c>
    </row>
    <row r="464" spans="1:8" x14ac:dyDescent="0.25">
      <c r="A464">
        <v>131</v>
      </c>
      <c r="B464" s="52">
        <v>44775</v>
      </c>
      <c r="C464" s="18">
        <v>0.82525462962962959</v>
      </c>
      <c r="D464">
        <v>1691957</v>
      </c>
      <c r="E464" t="s">
        <v>727</v>
      </c>
      <c r="F464" t="s">
        <v>749</v>
      </c>
      <c r="G464">
        <v>1</v>
      </c>
      <c r="H464" t="s">
        <v>754</v>
      </c>
    </row>
    <row r="465" spans="1:8" x14ac:dyDescent="0.25">
      <c r="A465">
        <v>131</v>
      </c>
      <c r="B465" s="52">
        <v>44775</v>
      </c>
      <c r="C465" s="18">
        <v>0.82618055555555558</v>
      </c>
      <c r="D465">
        <v>1691958</v>
      </c>
      <c r="E465" t="s">
        <v>727</v>
      </c>
      <c r="F465" t="s">
        <v>749</v>
      </c>
      <c r="G465">
        <v>1</v>
      </c>
      <c r="H465" t="s">
        <v>754</v>
      </c>
    </row>
    <row r="466" spans="1:8" x14ac:dyDescent="0.25">
      <c r="A466">
        <v>131</v>
      </c>
      <c r="B466" s="52">
        <v>44776</v>
      </c>
      <c r="C466" s="18">
        <v>0.48509259259259258</v>
      </c>
      <c r="D466">
        <v>1692145</v>
      </c>
      <c r="E466" t="s">
        <v>726</v>
      </c>
      <c r="F466" t="s">
        <v>749</v>
      </c>
      <c r="G466">
        <v>1</v>
      </c>
      <c r="H466" t="s">
        <v>754</v>
      </c>
    </row>
    <row r="467" spans="1:8" x14ac:dyDescent="0.25">
      <c r="A467">
        <v>131</v>
      </c>
      <c r="B467" s="52">
        <v>44776</v>
      </c>
      <c r="C467" s="18">
        <v>0.50056712962962957</v>
      </c>
      <c r="D467">
        <v>1692157</v>
      </c>
      <c r="E467" t="s">
        <v>726</v>
      </c>
      <c r="F467" t="s">
        <v>749</v>
      </c>
      <c r="G467">
        <v>1</v>
      </c>
      <c r="H467" t="s">
        <v>754</v>
      </c>
    </row>
    <row r="468" spans="1:8" x14ac:dyDescent="0.25">
      <c r="A468">
        <v>131</v>
      </c>
      <c r="B468" s="52">
        <v>44776</v>
      </c>
      <c r="C468" s="18">
        <v>0.57694444444444437</v>
      </c>
      <c r="D468">
        <v>1692204</v>
      </c>
      <c r="E468" t="s">
        <v>726</v>
      </c>
      <c r="F468" t="s">
        <v>749</v>
      </c>
      <c r="G468">
        <v>1</v>
      </c>
      <c r="H468" t="s">
        <v>754</v>
      </c>
    </row>
    <row r="469" spans="1:8" x14ac:dyDescent="0.25">
      <c r="A469">
        <v>131</v>
      </c>
      <c r="B469" s="52">
        <v>44776</v>
      </c>
      <c r="C469" s="18">
        <v>0.61697916666666663</v>
      </c>
      <c r="D469">
        <v>1692238</v>
      </c>
      <c r="E469" t="s">
        <v>726</v>
      </c>
      <c r="F469" t="s">
        <v>749</v>
      </c>
      <c r="G469">
        <v>1</v>
      </c>
      <c r="H469" t="s">
        <v>754</v>
      </c>
    </row>
    <row r="470" spans="1:8" x14ac:dyDescent="0.25">
      <c r="A470">
        <v>131</v>
      </c>
      <c r="B470" s="52">
        <v>44777</v>
      </c>
      <c r="C470" s="18">
        <v>0.30156250000000001</v>
      </c>
      <c r="D470">
        <v>1692486</v>
      </c>
      <c r="E470" t="s">
        <v>727</v>
      </c>
      <c r="F470" t="s">
        <v>749</v>
      </c>
      <c r="G470">
        <v>1</v>
      </c>
      <c r="H470" t="s">
        <v>754</v>
      </c>
    </row>
    <row r="471" spans="1:8" x14ac:dyDescent="0.25">
      <c r="A471">
        <v>131</v>
      </c>
      <c r="B471" s="52">
        <v>44777</v>
      </c>
      <c r="C471" s="18">
        <v>0.38699074074074075</v>
      </c>
      <c r="D471">
        <v>1692510</v>
      </c>
      <c r="E471" t="s">
        <v>726</v>
      </c>
      <c r="F471" t="s">
        <v>749</v>
      </c>
      <c r="G471">
        <v>1</v>
      </c>
      <c r="H471" t="s">
        <v>754</v>
      </c>
    </row>
    <row r="472" spans="1:8" x14ac:dyDescent="0.25">
      <c r="A472">
        <v>131</v>
      </c>
      <c r="B472" s="52">
        <v>44777</v>
      </c>
      <c r="C472" s="18">
        <v>0.3974421296296296</v>
      </c>
      <c r="D472">
        <v>1692520</v>
      </c>
      <c r="E472" t="s">
        <v>726</v>
      </c>
      <c r="F472" t="s">
        <v>749</v>
      </c>
      <c r="G472">
        <v>1</v>
      </c>
      <c r="H472" t="s">
        <v>754</v>
      </c>
    </row>
    <row r="473" spans="1:8" x14ac:dyDescent="0.25">
      <c r="A473">
        <v>131</v>
      </c>
      <c r="B473" s="52">
        <v>44777</v>
      </c>
      <c r="C473" s="18">
        <v>0.41381944444444446</v>
      </c>
      <c r="D473">
        <v>1692533</v>
      </c>
      <c r="E473" t="s">
        <v>726</v>
      </c>
      <c r="F473" t="s">
        <v>749</v>
      </c>
      <c r="G473">
        <v>1</v>
      </c>
      <c r="H473" t="s">
        <v>754</v>
      </c>
    </row>
    <row r="474" spans="1:8" x14ac:dyDescent="0.25">
      <c r="A474">
        <v>131</v>
      </c>
      <c r="B474" s="52">
        <v>44777</v>
      </c>
      <c r="C474" s="18">
        <v>0.54334490740740737</v>
      </c>
      <c r="D474">
        <v>1692618</v>
      </c>
      <c r="E474" t="s">
        <v>726</v>
      </c>
      <c r="F474" t="s">
        <v>749</v>
      </c>
      <c r="G474">
        <v>1</v>
      </c>
      <c r="H474" t="s">
        <v>754</v>
      </c>
    </row>
    <row r="475" spans="1:8" x14ac:dyDescent="0.25">
      <c r="A475">
        <v>131</v>
      </c>
      <c r="B475" s="52">
        <v>44777</v>
      </c>
      <c r="C475" s="18">
        <v>0.54608796296296302</v>
      </c>
      <c r="D475">
        <v>1692623</v>
      </c>
      <c r="E475" t="s">
        <v>726</v>
      </c>
      <c r="F475" t="s">
        <v>749</v>
      </c>
      <c r="G475">
        <v>1</v>
      </c>
      <c r="H475" t="s">
        <v>754</v>
      </c>
    </row>
    <row r="476" spans="1:8" x14ac:dyDescent="0.25">
      <c r="A476">
        <v>131</v>
      </c>
      <c r="B476" s="52">
        <v>44777</v>
      </c>
      <c r="C476" s="18">
        <v>0.63262731481481482</v>
      </c>
      <c r="D476">
        <v>1692684</v>
      </c>
      <c r="E476" t="s">
        <v>726</v>
      </c>
      <c r="F476" t="s">
        <v>749</v>
      </c>
      <c r="G476">
        <v>1</v>
      </c>
      <c r="H476" t="s">
        <v>754</v>
      </c>
    </row>
    <row r="477" spans="1:8" x14ac:dyDescent="0.25">
      <c r="A477">
        <v>131</v>
      </c>
      <c r="B477" s="52">
        <v>44777</v>
      </c>
      <c r="C477" s="18">
        <v>0.63571759259259253</v>
      </c>
      <c r="D477">
        <v>1692688</v>
      </c>
      <c r="E477" t="s">
        <v>726</v>
      </c>
      <c r="F477" t="s">
        <v>749</v>
      </c>
      <c r="G477">
        <v>1</v>
      </c>
      <c r="H477" t="s">
        <v>754</v>
      </c>
    </row>
    <row r="478" spans="1:8" x14ac:dyDescent="0.25">
      <c r="A478">
        <v>131</v>
      </c>
      <c r="B478" s="52">
        <v>44777</v>
      </c>
      <c r="C478" s="18">
        <v>0.66094907407407411</v>
      </c>
      <c r="D478">
        <v>1692701</v>
      </c>
      <c r="E478" t="s">
        <v>726</v>
      </c>
      <c r="F478" t="s">
        <v>749</v>
      </c>
      <c r="G478">
        <v>1</v>
      </c>
      <c r="H478" t="s">
        <v>754</v>
      </c>
    </row>
    <row r="479" spans="1:8" x14ac:dyDescent="0.25">
      <c r="A479">
        <v>131</v>
      </c>
      <c r="B479" s="52">
        <v>44778</v>
      </c>
      <c r="C479" s="18">
        <v>0.3147685185185185</v>
      </c>
      <c r="D479">
        <v>1692945</v>
      </c>
      <c r="E479" t="s">
        <v>727</v>
      </c>
      <c r="F479" t="s">
        <v>749</v>
      </c>
      <c r="G479">
        <v>1</v>
      </c>
      <c r="H479" t="s">
        <v>754</v>
      </c>
    </row>
    <row r="480" spans="1:8" x14ac:dyDescent="0.25">
      <c r="A480">
        <v>131</v>
      </c>
      <c r="B480" s="52">
        <v>44778</v>
      </c>
      <c r="C480" s="18">
        <v>0.35519675925925925</v>
      </c>
      <c r="D480">
        <v>1692957</v>
      </c>
      <c r="E480" t="s">
        <v>726</v>
      </c>
      <c r="F480" t="s">
        <v>749</v>
      </c>
      <c r="G480">
        <v>1</v>
      </c>
      <c r="H480" t="s">
        <v>754</v>
      </c>
    </row>
    <row r="481" spans="1:8" x14ac:dyDescent="0.25">
      <c r="A481">
        <v>131</v>
      </c>
      <c r="B481" s="52">
        <v>44778</v>
      </c>
      <c r="C481" s="18">
        <v>0.37179398148148146</v>
      </c>
      <c r="D481">
        <v>1692965</v>
      </c>
      <c r="E481" t="s">
        <v>726</v>
      </c>
      <c r="F481" t="s">
        <v>749</v>
      </c>
      <c r="G481">
        <v>1</v>
      </c>
      <c r="H481" t="s">
        <v>754</v>
      </c>
    </row>
    <row r="482" spans="1:8" x14ac:dyDescent="0.25">
      <c r="A482">
        <v>131</v>
      </c>
      <c r="B482" s="52">
        <v>44778</v>
      </c>
      <c r="C482" s="18">
        <v>0.40165509259259258</v>
      </c>
      <c r="D482">
        <v>1692979</v>
      </c>
      <c r="E482" t="s">
        <v>715</v>
      </c>
      <c r="F482" t="s">
        <v>749</v>
      </c>
      <c r="G482">
        <v>1</v>
      </c>
      <c r="H482" t="s">
        <v>754</v>
      </c>
    </row>
    <row r="483" spans="1:8" x14ac:dyDescent="0.25">
      <c r="A483">
        <v>131</v>
      </c>
      <c r="B483" s="52">
        <v>44778</v>
      </c>
      <c r="C483" s="18">
        <v>0.41291666666666665</v>
      </c>
      <c r="D483">
        <v>1692987</v>
      </c>
      <c r="E483" t="s">
        <v>715</v>
      </c>
      <c r="F483" t="s">
        <v>749</v>
      </c>
      <c r="G483">
        <v>1</v>
      </c>
      <c r="H483" t="s">
        <v>754</v>
      </c>
    </row>
    <row r="484" spans="1:8" x14ac:dyDescent="0.25">
      <c r="A484">
        <v>131</v>
      </c>
      <c r="B484" s="52">
        <v>44778</v>
      </c>
      <c r="C484" s="18">
        <v>0.48554398148148148</v>
      </c>
      <c r="D484">
        <v>1693024</v>
      </c>
      <c r="E484" t="s">
        <v>715</v>
      </c>
      <c r="F484" t="s">
        <v>749</v>
      </c>
      <c r="G484">
        <v>1</v>
      </c>
      <c r="H484" t="s">
        <v>754</v>
      </c>
    </row>
    <row r="485" spans="1:8" x14ac:dyDescent="0.25">
      <c r="A485">
        <v>131</v>
      </c>
      <c r="B485" s="52">
        <v>44778</v>
      </c>
      <c r="C485" s="18">
        <v>0.49255787037037035</v>
      </c>
      <c r="D485">
        <v>1693028</v>
      </c>
      <c r="E485" t="s">
        <v>715</v>
      </c>
      <c r="F485" t="s">
        <v>749</v>
      </c>
      <c r="G485">
        <v>1</v>
      </c>
      <c r="H485" t="s">
        <v>754</v>
      </c>
    </row>
    <row r="486" spans="1:8" x14ac:dyDescent="0.25">
      <c r="A486">
        <v>131</v>
      </c>
      <c r="B486" s="52">
        <v>44778</v>
      </c>
      <c r="C486" s="18">
        <v>0.53053240740740748</v>
      </c>
      <c r="D486">
        <v>1693049</v>
      </c>
      <c r="E486" t="s">
        <v>903</v>
      </c>
      <c r="F486" t="s">
        <v>749</v>
      </c>
      <c r="G486">
        <v>1</v>
      </c>
      <c r="H486" t="s">
        <v>754</v>
      </c>
    </row>
    <row r="487" spans="1:8" x14ac:dyDescent="0.25">
      <c r="A487">
        <v>131</v>
      </c>
      <c r="B487" s="52">
        <v>44778</v>
      </c>
      <c r="C487" s="18">
        <v>0.53935185185185186</v>
      </c>
      <c r="D487">
        <v>1693053</v>
      </c>
      <c r="E487" t="s">
        <v>903</v>
      </c>
      <c r="F487" t="s">
        <v>749</v>
      </c>
      <c r="G487">
        <v>1</v>
      </c>
      <c r="H487" t="s">
        <v>754</v>
      </c>
    </row>
    <row r="488" spans="1:8" x14ac:dyDescent="0.25">
      <c r="A488">
        <v>131</v>
      </c>
      <c r="B488" s="52">
        <v>44779</v>
      </c>
      <c r="C488" s="18">
        <v>0.34869212962962964</v>
      </c>
      <c r="D488">
        <v>1693391</v>
      </c>
      <c r="E488" t="s">
        <v>726</v>
      </c>
      <c r="F488" t="s">
        <v>749</v>
      </c>
      <c r="G488">
        <v>1</v>
      </c>
      <c r="H488" t="s">
        <v>754</v>
      </c>
    </row>
    <row r="489" spans="1:8" x14ac:dyDescent="0.25">
      <c r="A489">
        <v>131</v>
      </c>
      <c r="B489" s="52">
        <v>44779</v>
      </c>
      <c r="C489" s="18">
        <v>0.47115740740740741</v>
      </c>
      <c r="D489">
        <v>1693448</v>
      </c>
      <c r="E489" t="s">
        <v>726</v>
      </c>
      <c r="F489" t="s">
        <v>749</v>
      </c>
      <c r="G489">
        <v>1</v>
      </c>
      <c r="H489" t="s">
        <v>754</v>
      </c>
    </row>
    <row r="490" spans="1:8" x14ac:dyDescent="0.25">
      <c r="A490">
        <v>131</v>
      </c>
      <c r="B490" s="52">
        <v>44779</v>
      </c>
      <c r="C490" s="18">
        <v>0.59752314814814811</v>
      </c>
      <c r="D490">
        <v>1693531</v>
      </c>
      <c r="E490" t="s">
        <v>903</v>
      </c>
      <c r="F490" t="s">
        <v>749</v>
      </c>
      <c r="G490">
        <v>1</v>
      </c>
      <c r="H490" t="s">
        <v>754</v>
      </c>
    </row>
    <row r="491" spans="1:8" x14ac:dyDescent="0.25">
      <c r="A491">
        <v>141</v>
      </c>
      <c r="B491" s="52">
        <v>44774</v>
      </c>
      <c r="C491" s="18">
        <v>0.35776620370370371</v>
      </c>
      <c r="D491">
        <v>1090120</v>
      </c>
      <c r="E491" t="s">
        <v>728</v>
      </c>
      <c r="F491" t="s">
        <v>749</v>
      </c>
      <c r="G491">
        <v>1</v>
      </c>
      <c r="H491" t="s">
        <v>754</v>
      </c>
    </row>
    <row r="492" spans="1:8" x14ac:dyDescent="0.25">
      <c r="A492">
        <v>141</v>
      </c>
      <c r="B492" s="52">
        <v>44774</v>
      </c>
      <c r="C492" s="18">
        <v>0.46880787037037036</v>
      </c>
      <c r="D492">
        <v>1090179</v>
      </c>
      <c r="E492" t="s">
        <v>728</v>
      </c>
      <c r="F492" t="s">
        <v>749</v>
      </c>
      <c r="G492">
        <v>1</v>
      </c>
      <c r="H492" t="s">
        <v>754</v>
      </c>
    </row>
    <row r="493" spans="1:8" x14ac:dyDescent="0.25">
      <c r="A493">
        <v>141</v>
      </c>
      <c r="B493" s="52">
        <v>44774</v>
      </c>
      <c r="C493" s="18">
        <v>0.50891203703703702</v>
      </c>
      <c r="D493">
        <v>1090211</v>
      </c>
      <c r="E493" t="s">
        <v>728</v>
      </c>
      <c r="F493" t="s">
        <v>749</v>
      </c>
      <c r="G493">
        <v>1</v>
      </c>
      <c r="H493" t="s">
        <v>754</v>
      </c>
    </row>
    <row r="494" spans="1:8" x14ac:dyDescent="0.25">
      <c r="A494">
        <v>141</v>
      </c>
      <c r="B494" s="52">
        <v>44774</v>
      </c>
      <c r="C494" s="18">
        <v>0.5103240740740741</v>
      </c>
      <c r="D494">
        <v>1090212</v>
      </c>
      <c r="E494" t="s">
        <v>728</v>
      </c>
      <c r="F494" t="s">
        <v>749</v>
      </c>
      <c r="G494">
        <v>1</v>
      </c>
      <c r="H494" t="s">
        <v>754</v>
      </c>
    </row>
    <row r="495" spans="1:8" x14ac:dyDescent="0.25">
      <c r="A495">
        <v>141</v>
      </c>
      <c r="B495" s="52">
        <v>44774</v>
      </c>
      <c r="C495" s="18">
        <v>0.6152199074074074</v>
      </c>
      <c r="D495">
        <v>1090293</v>
      </c>
      <c r="E495" t="s">
        <v>728</v>
      </c>
      <c r="F495" t="s">
        <v>749</v>
      </c>
      <c r="G495">
        <v>1</v>
      </c>
      <c r="H495" t="s">
        <v>754</v>
      </c>
    </row>
    <row r="496" spans="1:8" x14ac:dyDescent="0.25">
      <c r="A496">
        <v>141</v>
      </c>
      <c r="B496" s="52">
        <v>44774</v>
      </c>
      <c r="C496" s="18">
        <v>0.78520833333333329</v>
      </c>
      <c r="D496">
        <v>1090436</v>
      </c>
      <c r="E496" t="s">
        <v>728</v>
      </c>
      <c r="F496" t="s">
        <v>749</v>
      </c>
      <c r="G496">
        <v>1</v>
      </c>
      <c r="H496" t="s">
        <v>754</v>
      </c>
    </row>
    <row r="497" spans="1:8" x14ac:dyDescent="0.25">
      <c r="A497">
        <v>141</v>
      </c>
      <c r="B497" s="52">
        <v>44774</v>
      </c>
      <c r="C497" s="18">
        <v>0.84277777777777774</v>
      </c>
      <c r="D497">
        <v>1090487</v>
      </c>
      <c r="E497" t="s">
        <v>728</v>
      </c>
      <c r="F497" t="s">
        <v>749</v>
      </c>
      <c r="G497">
        <v>1</v>
      </c>
      <c r="H497" t="s">
        <v>754</v>
      </c>
    </row>
    <row r="498" spans="1:8" x14ac:dyDescent="0.25">
      <c r="A498">
        <v>141</v>
      </c>
      <c r="B498" s="52">
        <v>44775</v>
      </c>
      <c r="C498" s="18">
        <v>0.41368055555555555</v>
      </c>
      <c r="D498">
        <v>1090608</v>
      </c>
      <c r="E498" t="s">
        <v>728</v>
      </c>
      <c r="F498" t="s">
        <v>749</v>
      </c>
      <c r="G498">
        <v>1</v>
      </c>
      <c r="H498" t="s">
        <v>754</v>
      </c>
    </row>
    <row r="499" spans="1:8" x14ac:dyDescent="0.25">
      <c r="A499">
        <v>141</v>
      </c>
      <c r="B499" s="52">
        <v>44775</v>
      </c>
      <c r="C499" s="18">
        <v>0.44533564814814813</v>
      </c>
      <c r="D499">
        <v>1090626</v>
      </c>
      <c r="E499" t="s">
        <v>728</v>
      </c>
      <c r="F499" t="s">
        <v>749</v>
      </c>
      <c r="G499">
        <v>1</v>
      </c>
      <c r="H499" t="s">
        <v>754</v>
      </c>
    </row>
    <row r="500" spans="1:8" x14ac:dyDescent="0.25">
      <c r="A500">
        <v>141</v>
      </c>
      <c r="B500" s="52">
        <v>44775</v>
      </c>
      <c r="C500" s="18">
        <v>0.55371527777777774</v>
      </c>
      <c r="D500">
        <v>1090684</v>
      </c>
      <c r="E500" t="s">
        <v>728</v>
      </c>
      <c r="F500" t="s">
        <v>749</v>
      </c>
      <c r="G500">
        <v>1</v>
      </c>
      <c r="H500" t="s">
        <v>754</v>
      </c>
    </row>
    <row r="501" spans="1:8" x14ac:dyDescent="0.25">
      <c r="A501">
        <v>141</v>
      </c>
      <c r="B501" s="52">
        <v>44775</v>
      </c>
      <c r="C501" s="18">
        <v>0.71195601851851853</v>
      </c>
      <c r="D501">
        <v>1090802</v>
      </c>
      <c r="E501" t="s">
        <v>729</v>
      </c>
      <c r="F501" t="s">
        <v>749</v>
      </c>
      <c r="G501">
        <v>1</v>
      </c>
      <c r="H501" t="s">
        <v>754</v>
      </c>
    </row>
    <row r="502" spans="1:8" x14ac:dyDescent="0.25">
      <c r="A502">
        <v>141</v>
      </c>
      <c r="B502" s="52">
        <v>44776</v>
      </c>
      <c r="C502" s="18">
        <v>0.25430555555555556</v>
      </c>
      <c r="D502">
        <v>1090928</v>
      </c>
      <c r="E502" t="s">
        <v>728</v>
      </c>
      <c r="F502" t="s">
        <v>749</v>
      </c>
      <c r="G502">
        <v>1</v>
      </c>
      <c r="H502" t="s">
        <v>754</v>
      </c>
    </row>
    <row r="503" spans="1:8" x14ac:dyDescent="0.25">
      <c r="A503">
        <v>141</v>
      </c>
      <c r="B503" s="52">
        <v>44776</v>
      </c>
      <c r="C503" s="18">
        <v>0.38564814814814818</v>
      </c>
      <c r="D503">
        <v>1090967</v>
      </c>
      <c r="E503" t="s">
        <v>715</v>
      </c>
      <c r="F503" t="s">
        <v>749</v>
      </c>
      <c r="G503">
        <v>1</v>
      </c>
      <c r="H503" t="s">
        <v>754</v>
      </c>
    </row>
    <row r="504" spans="1:8" x14ac:dyDescent="0.25">
      <c r="A504">
        <v>141</v>
      </c>
      <c r="B504" s="52">
        <v>44776</v>
      </c>
      <c r="C504" s="18">
        <v>0.40069444444444446</v>
      </c>
      <c r="D504">
        <v>1090973</v>
      </c>
      <c r="E504" t="s">
        <v>715</v>
      </c>
      <c r="F504" t="s">
        <v>749</v>
      </c>
      <c r="G504">
        <v>1</v>
      </c>
      <c r="H504" t="s">
        <v>754</v>
      </c>
    </row>
    <row r="505" spans="1:8" x14ac:dyDescent="0.25">
      <c r="A505">
        <v>141</v>
      </c>
      <c r="B505" s="52">
        <v>44776</v>
      </c>
      <c r="C505" s="18">
        <v>0.42890046296296297</v>
      </c>
      <c r="D505">
        <v>1090983</v>
      </c>
      <c r="E505" t="s">
        <v>728</v>
      </c>
      <c r="F505" t="s">
        <v>749</v>
      </c>
      <c r="G505">
        <v>1</v>
      </c>
      <c r="H505" t="s">
        <v>754</v>
      </c>
    </row>
    <row r="506" spans="1:8" x14ac:dyDescent="0.25">
      <c r="A506">
        <v>141</v>
      </c>
      <c r="B506" s="52">
        <v>44776</v>
      </c>
      <c r="C506" s="18">
        <v>0.56600694444444444</v>
      </c>
      <c r="D506">
        <v>1091069</v>
      </c>
      <c r="E506" t="s">
        <v>728</v>
      </c>
      <c r="F506" t="s">
        <v>749</v>
      </c>
      <c r="G506">
        <v>1</v>
      </c>
      <c r="H506" t="s">
        <v>754</v>
      </c>
    </row>
    <row r="507" spans="1:8" x14ac:dyDescent="0.25">
      <c r="A507">
        <v>141</v>
      </c>
      <c r="B507" s="52">
        <v>44776</v>
      </c>
      <c r="C507" s="18">
        <v>0.59055555555555561</v>
      </c>
      <c r="D507">
        <v>1091087</v>
      </c>
      <c r="E507" t="s">
        <v>728</v>
      </c>
      <c r="F507" t="s">
        <v>749</v>
      </c>
      <c r="G507">
        <v>1</v>
      </c>
      <c r="H507" t="s">
        <v>754</v>
      </c>
    </row>
    <row r="508" spans="1:8" x14ac:dyDescent="0.25">
      <c r="A508">
        <v>141</v>
      </c>
      <c r="B508" s="52">
        <v>44776</v>
      </c>
      <c r="C508" s="18">
        <v>0.59914351851851855</v>
      </c>
      <c r="D508">
        <v>1091095</v>
      </c>
      <c r="E508" t="s">
        <v>729</v>
      </c>
      <c r="F508" t="s">
        <v>749</v>
      </c>
      <c r="G508">
        <v>1</v>
      </c>
      <c r="H508" t="s">
        <v>754</v>
      </c>
    </row>
    <row r="509" spans="1:8" x14ac:dyDescent="0.25">
      <c r="A509">
        <v>141</v>
      </c>
      <c r="B509" s="52">
        <v>44776</v>
      </c>
      <c r="C509" s="18">
        <v>0.60119212962962965</v>
      </c>
      <c r="D509">
        <v>1091098</v>
      </c>
      <c r="E509" t="s">
        <v>729</v>
      </c>
      <c r="F509" t="s">
        <v>749</v>
      </c>
      <c r="G509">
        <v>1</v>
      </c>
      <c r="H509" t="s">
        <v>754</v>
      </c>
    </row>
    <row r="510" spans="1:8" x14ac:dyDescent="0.25">
      <c r="A510">
        <v>141</v>
      </c>
      <c r="B510" s="52">
        <v>44776</v>
      </c>
      <c r="C510" s="18">
        <v>0.65601851851851845</v>
      </c>
      <c r="D510">
        <v>1091149</v>
      </c>
      <c r="E510" t="s">
        <v>729</v>
      </c>
      <c r="F510" t="s">
        <v>749</v>
      </c>
      <c r="G510">
        <v>1</v>
      </c>
      <c r="H510" t="s">
        <v>754</v>
      </c>
    </row>
    <row r="511" spans="1:8" x14ac:dyDescent="0.25">
      <c r="A511">
        <v>141</v>
      </c>
      <c r="B511" s="52">
        <v>44777</v>
      </c>
      <c r="C511" s="18">
        <v>0.35348379629629628</v>
      </c>
      <c r="D511">
        <v>1091320</v>
      </c>
      <c r="E511" t="s">
        <v>728</v>
      </c>
      <c r="F511" t="s">
        <v>749</v>
      </c>
      <c r="G511">
        <v>1</v>
      </c>
      <c r="H511" t="s">
        <v>754</v>
      </c>
    </row>
    <row r="512" spans="1:8" x14ac:dyDescent="0.25">
      <c r="A512">
        <v>141</v>
      </c>
      <c r="B512" s="52">
        <v>44777</v>
      </c>
      <c r="C512" s="18">
        <v>0.48719907407407409</v>
      </c>
      <c r="D512">
        <v>1091379</v>
      </c>
      <c r="E512" t="s">
        <v>728</v>
      </c>
      <c r="F512" t="s">
        <v>749</v>
      </c>
      <c r="G512">
        <v>1</v>
      </c>
      <c r="H512" t="s">
        <v>754</v>
      </c>
    </row>
    <row r="513" spans="1:8" x14ac:dyDescent="0.25">
      <c r="A513">
        <v>141</v>
      </c>
      <c r="B513" s="52">
        <v>44777</v>
      </c>
      <c r="C513" s="18">
        <v>0.56690972222222225</v>
      </c>
      <c r="D513">
        <v>1091437</v>
      </c>
      <c r="E513" t="s">
        <v>728</v>
      </c>
      <c r="F513" t="s">
        <v>749</v>
      </c>
      <c r="G513">
        <v>1</v>
      </c>
      <c r="H513" t="s">
        <v>754</v>
      </c>
    </row>
    <row r="514" spans="1:8" x14ac:dyDescent="0.25">
      <c r="A514">
        <v>141</v>
      </c>
      <c r="B514" s="52">
        <v>44777</v>
      </c>
      <c r="C514" s="18">
        <v>0.71722222222222232</v>
      </c>
      <c r="D514">
        <v>1091554</v>
      </c>
      <c r="E514" t="s">
        <v>729</v>
      </c>
      <c r="F514" t="s">
        <v>749</v>
      </c>
      <c r="G514">
        <v>1</v>
      </c>
      <c r="H514" t="s">
        <v>754</v>
      </c>
    </row>
    <row r="515" spans="1:8" x14ac:dyDescent="0.25">
      <c r="A515">
        <v>141</v>
      </c>
      <c r="B515" s="52">
        <v>44777</v>
      </c>
      <c r="C515" s="18">
        <v>0.86791666666666656</v>
      </c>
      <c r="D515">
        <v>1091648</v>
      </c>
      <c r="E515" t="s">
        <v>729</v>
      </c>
      <c r="F515" t="s">
        <v>749</v>
      </c>
      <c r="G515">
        <v>1</v>
      </c>
      <c r="H515" t="s">
        <v>754</v>
      </c>
    </row>
    <row r="516" spans="1:8" x14ac:dyDescent="0.25">
      <c r="A516">
        <v>141</v>
      </c>
      <c r="B516" s="52">
        <v>44778</v>
      </c>
      <c r="C516" s="18">
        <v>0.33178240740740739</v>
      </c>
      <c r="D516">
        <v>1091704</v>
      </c>
      <c r="E516" t="s">
        <v>729</v>
      </c>
      <c r="F516" t="s">
        <v>749</v>
      </c>
      <c r="G516">
        <v>1</v>
      </c>
      <c r="H516" t="s">
        <v>754</v>
      </c>
    </row>
    <row r="517" spans="1:8" x14ac:dyDescent="0.25">
      <c r="A517">
        <v>141</v>
      </c>
      <c r="B517" s="52">
        <v>44778</v>
      </c>
      <c r="C517" s="18">
        <v>0.35439814814814818</v>
      </c>
      <c r="D517">
        <v>1091712</v>
      </c>
      <c r="E517" t="s">
        <v>729</v>
      </c>
      <c r="F517" t="s">
        <v>749</v>
      </c>
      <c r="G517">
        <v>1</v>
      </c>
      <c r="H517" t="s">
        <v>754</v>
      </c>
    </row>
    <row r="518" spans="1:8" x14ac:dyDescent="0.25">
      <c r="A518">
        <v>141</v>
      </c>
      <c r="B518" s="52">
        <v>44778</v>
      </c>
      <c r="C518" s="18">
        <v>0.35769675925925926</v>
      </c>
      <c r="D518">
        <v>1091713</v>
      </c>
      <c r="E518" t="s">
        <v>729</v>
      </c>
      <c r="F518" t="s">
        <v>749</v>
      </c>
      <c r="G518">
        <v>1</v>
      </c>
      <c r="H518" t="s">
        <v>754</v>
      </c>
    </row>
    <row r="519" spans="1:8" x14ac:dyDescent="0.25">
      <c r="A519">
        <v>141</v>
      </c>
      <c r="B519" s="52">
        <v>44778</v>
      </c>
      <c r="C519" s="18">
        <v>0.36060185185185184</v>
      </c>
      <c r="D519">
        <v>1091714</v>
      </c>
      <c r="E519" t="s">
        <v>729</v>
      </c>
      <c r="F519" t="s">
        <v>749</v>
      </c>
      <c r="G519">
        <v>1</v>
      </c>
      <c r="H519" t="s">
        <v>754</v>
      </c>
    </row>
    <row r="520" spans="1:8" x14ac:dyDescent="0.25">
      <c r="A520">
        <v>141</v>
      </c>
      <c r="B520" s="52">
        <v>44778</v>
      </c>
      <c r="C520" s="18">
        <v>0.39942129629629625</v>
      </c>
      <c r="D520">
        <v>1091736</v>
      </c>
      <c r="E520" t="s">
        <v>729</v>
      </c>
      <c r="F520" t="s">
        <v>749</v>
      </c>
      <c r="G520">
        <v>1</v>
      </c>
      <c r="H520" t="s">
        <v>754</v>
      </c>
    </row>
    <row r="521" spans="1:8" x14ac:dyDescent="0.25">
      <c r="A521">
        <v>141</v>
      </c>
      <c r="B521" s="52">
        <v>44778</v>
      </c>
      <c r="C521" s="18">
        <v>0.4060300925925926</v>
      </c>
      <c r="D521">
        <v>1091740</v>
      </c>
      <c r="E521" t="s">
        <v>729</v>
      </c>
      <c r="F521" t="s">
        <v>749</v>
      </c>
      <c r="G521">
        <v>1</v>
      </c>
      <c r="H521" t="s">
        <v>754</v>
      </c>
    </row>
    <row r="522" spans="1:8" x14ac:dyDescent="0.25">
      <c r="A522">
        <v>141</v>
      </c>
      <c r="B522" s="52">
        <v>44778</v>
      </c>
      <c r="C522" s="18">
        <v>0.41587962962962965</v>
      </c>
      <c r="D522">
        <v>1091748</v>
      </c>
      <c r="E522" t="s">
        <v>729</v>
      </c>
      <c r="F522" t="s">
        <v>749</v>
      </c>
      <c r="G522">
        <v>1</v>
      </c>
      <c r="H522" t="s">
        <v>754</v>
      </c>
    </row>
    <row r="523" spans="1:8" x14ac:dyDescent="0.25">
      <c r="A523">
        <v>141</v>
      </c>
      <c r="B523" s="52">
        <v>44778</v>
      </c>
      <c r="C523" s="18">
        <v>0.42018518518518522</v>
      </c>
      <c r="D523">
        <v>1091751</v>
      </c>
      <c r="E523" t="s">
        <v>729</v>
      </c>
      <c r="F523" t="s">
        <v>749</v>
      </c>
      <c r="G523">
        <v>1</v>
      </c>
      <c r="H523" t="s">
        <v>754</v>
      </c>
    </row>
    <row r="524" spans="1:8" x14ac:dyDescent="0.25">
      <c r="A524">
        <v>141</v>
      </c>
      <c r="B524" s="52">
        <v>44778</v>
      </c>
      <c r="C524" s="18">
        <v>0.4505439814814815</v>
      </c>
      <c r="D524">
        <v>1091771</v>
      </c>
      <c r="E524" t="s">
        <v>729</v>
      </c>
      <c r="F524" t="s">
        <v>749</v>
      </c>
      <c r="G524">
        <v>1</v>
      </c>
      <c r="H524" t="s">
        <v>754</v>
      </c>
    </row>
    <row r="525" spans="1:8" x14ac:dyDescent="0.25">
      <c r="A525">
        <v>141</v>
      </c>
      <c r="B525" s="52">
        <v>44778</v>
      </c>
      <c r="C525" s="18">
        <v>0.45461805555555551</v>
      </c>
      <c r="D525">
        <v>1091773</v>
      </c>
      <c r="E525" t="s">
        <v>729</v>
      </c>
      <c r="F525" t="s">
        <v>749</v>
      </c>
      <c r="G525">
        <v>1</v>
      </c>
      <c r="H525" t="s">
        <v>754</v>
      </c>
    </row>
    <row r="526" spans="1:8" x14ac:dyDescent="0.25">
      <c r="A526">
        <v>141</v>
      </c>
      <c r="B526" s="52">
        <v>44778</v>
      </c>
      <c r="C526" s="18">
        <v>0.46437499999999998</v>
      </c>
      <c r="D526">
        <v>1091775</v>
      </c>
      <c r="E526" t="s">
        <v>729</v>
      </c>
      <c r="F526" t="s">
        <v>749</v>
      </c>
      <c r="G526">
        <v>1</v>
      </c>
      <c r="H526" t="s">
        <v>754</v>
      </c>
    </row>
    <row r="527" spans="1:8" x14ac:dyDescent="0.25">
      <c r="A527">
        <v>141</v>
      </c>
      <c r="B527" s="52">
        <v>44778</v>
      </c>
      <c r="C527" s="18">
        <v>0.4890856481481482</v>
      </c>
      <c r="D527">
        <v>1091787</v>
      </c>
      <c r="E527" t="s">
        <v>729</v>
      </c>
      <c r="F527" t="s">
        <v>749</v>
      </c>
      <c r="G527">
        <v>1</v>
      </c>
      <c r="H527" t="s">
        <v>754</v>
      </c>
    </row>
    <row r="528" spans="1:8" x14ac:dyDescent="0.25">
      <c r="A528">
        <v>141</v>
      </c>
      <c r="B528" s="52">
        <v>44778</v>
      </c>
      <c r="C528" s="18">
        <v>0.54410879629629627</v>
      </c>
      <c r="D528">
        <v>1091815</v>
      </c>
      <c r="E528" t="s">
        <v>729</v>
      </c>
      <c r="F528" t="s">
        <v>749</v>
      </c>
      <c r="G528">
        <v>1</v>
      </c>
      <c r="H528" t="s">
        <v>754</v>
      </c>
    </row>
    <row r="529" spans="1:8" x14ac:dyDescent="0.25">
      <c r="A529">
        <v>141</v>
      </c>
      <c r="B529" s="52">
        <v>44778</v>
      </c>
      <c r="C529" s="18">
        <v>0.58407407407407408</v>
      </c>
      <c r="D529">
        <v>1091845</v>
      </c>
      <c r="E529" t="s">
        <v>729</v>
      </c>
      <c r="F529" t="s">
        <v>749</v>
      </c>
      <c r="G529">
        <v>1</v>
      </c>
      <c r="H529" t="s">
        <v>754</v>
      </c>
    </row>
    <row r="530" spans="1:8" x14ac:dyDescent="0.25">
      <c r="A530">
        <v>141</v>
      </c>
      <c r="B530" s="52">
        <v>44778</v>
      </c>
      <c r="C530" s="18">
        <v>0.77567129629629628</v>
      </c>
      <c r="D530">
        <v>1091983</v>
      </c>
      <c r="E530" t="s">
        <v>728</v>
      </c>
      <c r="F530" t="s">
        <v>749</v>
      </c>
      <c r="G530">
        <v>1</v>
      </c>
      <c r="H530" t="s">
        <v>754</v>
      </c>
    </row>
    <row r="531" spans="1:8" x14ac:dyDescent="0.25">
      <c r="A531">
        <v>141</v>
      </c>
      <c r="B531" s="52">
        <v>44778</v>
      </c>
      <c r="C531" s="18">
        <v>0.77776620370370375</v>
      </c>
      <c r="D531">
        <v>1091985</v>
      </c>
      <c r="E531" t="s">
        <v>728</v>
      </c>
      <c r="F531" t="s">
        <v>749</v>
      </c>
      <c r="G531">
        <v>1</v>
      </c>
      <c r="H531" t="s">
        <v>754</v>
      </c>
    </row>
    <row r="532" spans="1:8" x14ac:dyDescent="0.25">
      <c r="A532">
        <v>141</v>
      </c>
      <c r="B532" s="52">
        <v>44778</v>
      </c>
      <c r="C532" s="18">
        <v>0.78387731481481471</v>
      </c>
      <c r="D532">
        <v>1091991</v>
      </c>
      <c r="E532" t="s">
        <v>728</v>
      </c>
      <c r="F532" t="s">
        <v>749</v>
      </c>
      <c r="G532">
        <v>1</v>
      </c>
      <c r="H532" t="s">
        <v>754</v>
      </c>
    </row>
    <row r="533" spans="1:8" x14ac:dyDescent="0.25">
      <c r="A533">
        <v>141</v>
      </c>
      <c r="B533" s="52">
        <v>44779</v>
      </c>
      <c r="C533" s="18">
        <v>0.52428240740740739</v>
      </c>
      <c r="D533">
        <v>1092178</v>
      </c>
      <c r="E533" t="s">
        <v>728</v>
      </c>
      <c r="F533" t="s">
        <v>749</v>
      </c>
      <c r="G533">
        <v>1</v>
      </c>
      <c r="H533" t="s">
        <v>754</v>
      </c>
    </row>
    <row r="534" spans="1:8" x14ac:dyDescent="0.25">
      <c r="A534">
        <v>161</v>
      </c>
      <c r="B534" s="52">
        <v>44774</v>
      </c>
      <c r="C534" s="18">
        <v>0.62113425925925925</v>
      </c>
      <c r="D534">
        <v>622486</v>
      </c>
      <c r="E534" t="s">
        <v>730</v>
      </c>
      <c r="F534" t="s">
        <v>749</v>
      </c>
      <c r="G534">
        <v>1</v>
      </c>
      <c r="H534" t="s">
        <v>754</v>
      </c>
    </row>
    <row r="535" spans="1:8" x14ac:dyDescent="0.25">
      <c r="A535">
        <v>161</v>
      </c>
      <c r="B535" s="52">
        <v>44774</v>
      </c>
      <c r="C535" s="18">
        <v>0.67186342592592585</v>
      </c>
      <c r="D535">
        <v>622507</v>
      </c>
      <c r="E535" t="s">
        <v>730</v>
      </c>
      <c r="F535" t="s">
        <v>749</v>
      </c>
      <c r="G535">
        <v>1</v>
      </c>
      <c r="H535" t="s">
        <v>754</v>
      </c>
    </row>
    <row r="536" spans="1:8" x14ac:dyDescent="0.25">
      <c r="A536">
        <v>161</v>
      </c>
      <c r="B536" s="52">
        <v>44774</v>
      </c>
      <c r="C536" s="18">
        <v>0.88218750000000001</v>
      </c>
      <c r="D536">
        <v>622598</v>
      </c>
      <c r="E536" t="s">
        <v>904</v>
      </c>
      <c r="F536" t="s">
        <v>749</v>
      </c>
      <c r="G536">
        <v>1</v>
      </c>
      <c r="H536" t="s">
        <v>754</v>
      </c>
    </row>
    <row r="537" spans="1:8" x14ac:dyDescent="0.25">
      <c r="A537">
        <v>161</v>
      </c>
      <c r="B537" s="52">
        <v>44775</v>
      </c>
      <c r="C537" s="18">
        <v>0.45319444444444446</v>
      </c>
      <c r="D537">
        <v>622738</v>
      </c>
      <c r="E537" t="s">
        <v>730</v>
      </c>
      <c r="F537" t="s">
        <v>749</v>
      </c>
      <c r="G537">
        <v>1</v>
      </c>
      <c r="H537" t="s">
        <v>754</v>
      </c>
    </row>
    <row r="538" spans="1:8" x14ac:dyDescent="0.25">
      <c r="A538">
        <v>161</v>
      </c>
      <c r="B538" s="52">
        <v>44775</v>
      </c>
      <c r="C538" s="18">
        <v>0.4546412037037037</v>
      </c>
      <c r="D538">
        <v>622739</v>
      </c>
      <c r="E538" t="s">
        <v>730</v>
      </c>
      <c r="F538" t="s">
        <v>749</v>
      </c>
      <c r="G538">
        <v>1</v>
      </c>
      <c r="H538" t="s">
        <v>754</v>
      </c>
    </row>
    <row r="539" spans="1:8" x14ac:dyDescent="0.25">
      <c r="A539">
        <v>161</v>
      </c>
      <c r="B539" s="52">
        <v>44776</v>
      </c>
      <c r="C539" s="18">
        <v>0.62364583333333334</v>
      </c>
      <c r="D539">
        <v>623077</v>
      </c>
      <c r="E539" t="s">
        <v>904</v>
      </c>
      <c r="F539" t="s">
        <v>749</v>
      </c>
      <c r="G539">
        <v>1</v>
      </c>
      <c r="H539" t="s">
        <v>754</v>
      </c>
    </row>
    <row r="540" spans="1:8" x14ac:dyDescent="0.25">
      <c r="A540">
        <v>161</v>
      </c>
      <c r="B540" s="52">
        <v>44776</v>
      </c>
      <c r="C540" s="18">
        <v>0.81042824074074071</v>
      </c>
      <c r="D540">
        <v>623153</v>
      </c>
      <c r="E540" t="s">
        <v>722</v>
      </c>
      <c r="F540" t="s">
        <v>749</v>
      </c>
      <c r="G540">
        <v>1</v>
      </c>
      <c r="H540" t="s">
        <v>754</v>
      </c>
    </row>
    <row r="541" spans="1:8" x14ac:dyDescent="0.25">
      <c r="A541">
        <v>161</v>
      </c>
      <c r="B541" s="52">
        <v>44776</v>
      </c>
      <c r="C541" s="18">
        <v>0.88347222222222221</v>
      </c>
      <c r="D541">
        <v>623186</v>
      </c>
      <c r="E541" t="s">
        <v>722</v>
      </c>
      <c r="F541" t="s">
        <v>749</v>
      </c>
      <c r="G541">
        <v>1</v>
      </c>
      <c r="H541" t="s">
        <v>754</v>
      </c>
    </row>
    <row r="542" spans="1:8" x14ac:dyDescent="0.25">
      <c r="A542">
        <v>161</v>
      </c>
      <c r="B542" s="52">
        <v>44777</v>
      </c>
      <c r="C542" s="18">
        <v>0.79357638888888893</v>
      </c>
      <c r="D542">
        <v>623462</v>
      </c>
      <c r="E542" t="s">
        <v>904</v>
      </c>
      <c r="F542" t="s">
        <v>749</v>
      </c>
      <c r="G542">
        <v>1</v>
      </c>
      <c r="H542" t="s">
        <v>754</v>
      </c>
    </row>
    <row r="543" spans="1:8" x14ac:dyDescent="0.25">
      <c r="A543">
        <v>161</v>
      </c>
      <c r="B543" s="52">
        <v>44778</v>
      </c>
      <c r="C543" s="18">
        <v>0.2913425925925926</v>
      </c>
      <c r="D543">
        <v>623627</v>
      </c>
      <c r="E543" t="s">
        <v>730</v>
      </c>
      <c r="F543" t="s">
        <v>749</v>
      </c>
      <c r="G543">
        <v>1</v>
      </c>
      <c r="H543" t="s">
        <v>754</v>
      </c>
    </row>
    <row r="544" spans="1:8" x14ac:dyDescent="0.25">
      <c r="A544">
        <v>161</v>
      </c>
      <c r="B544" s="52">
        <v>44778</v>
      </c>
      <c r="C544" s="18">
        <v>0.32395833333333335</v>
      </c>
      <c r="D544">
        <v>623634</v>
      </c>
      <c r="E544" t="s">
        <v>730</v>
      </c>
      <c r="F544" t="s">
        <v>749</v>
      </c>
      <c r="G544">
        <v>1</v>
      </c>
      <c r="H544" t="s">
        <v>754</v>
      </c>
    </row>
    <row r="545" spans="1:8" x14ac:dyDescent="0.25">
      <c r="A545">
        <v>161</v>
      </c>
      <c r="B545" s="52">
        <v>44778</v>
      </c>
      <c r="C545" s="18">
        <v>0.3408680555555556</v>
      </c>
      <c r="D545">
        <v>623638</v>
      </c>
      <c r="E545" t="s">
        <v>730</v>
      </c>
      <c r="F545" t="s">
        <v>749</v>
      </c>
      <c r="G545">
        <v>1</v>
      </c>
      <c r="H545" t="s">
        <v>754</v>
      </c>
    </row>
    <row r="546" spans="1:8" x14ac:dyDescent="0.25">
      <c r="A546">
        <v>161</v>
      </c>
      <c r="B546" s="52">
        <v>44778</v>
      </c>
      <c r="C546" s="18">
        <v>0.34795138888888894</v>
      </c>
      <c r="D546">
        <v>623639</v>
      </c>
      <c r="E546" t="s">
        <v>730</v>
      </c>
      <c r="F546" t="s">
        <v>749</v>
      </c>
      <c r="G546">
        <v>1</v>
      </c>
      <c r="H546" t="s">
        <v>754</v>
      </c>
    </row>
    <row r="547" spans="1:8" x14ac:dyDescent="0.25">
      <c r="A547">
        <v>161</v>
      </c>
      <c r="B547" s="52">
        <v>44778</v>
      </c>
      <c r="C547" s="18">
        <v>0.36777777777777776</v>
      </c>
      <c r="D547">
        <v>623645</v>
      </c>
      <c r="E547" t="s">
        <v>730</v>
      </c>
      <c r="F547" t="s">
        <v>749</v>
      </c>
      <c r="G547">
        <v>1</v>
      </c>
      <c r="H547" t="s">
        <v>754</v>
      </c>
    </row>
    <row r="548" spans="1:8" x14ac:dyDescent="0.25">
      <c r="A548">
        <v>161</v>
      </c>
      <c r="B548" s="52">
        <v>44778</v>
      </c>
      <c r="C548" s="18">
        <v>0.38700231481481479</v>
      </c>
      <c r="D548">
        <v>623651</v>
      </c>
      <c r="E548" t="s">
        <v>730</v>
      </c>
      <c r="F548" t="s">
        <v>749</v>
      </c>
      <c r="G548">
        <v>1</v>
      </c>
      <c r="H548" t="s">
        <v>754</v>
      </c>
    </row>
    <row r="549" spans="1:8" x14ac:dyDescent="0.25">
      <c r="A549">
        <v>161</v>
      </c>
      <c r="B549" s="52">
        <v>44778</v>
      </c>
      <c r="C549" s="18">
        <v>0.39100694444444445</v>
      </c>
      <c r="D549">
        <v>623652</v>
      </c>
      <c r="E549" t="s">
        <v>730</v>
      </c>
      <c r="F549" t="s">
        <v>749</v>
      </c>
      <c r="G549">
        <v>1</v>
      </c>
      <c r="H549" t="s">
        <v>754</v>
      </c>
    </row>
    <row r="550" spans="1:8" x14ac:dyDescent="0.25">
      <c r="A550">
        <v>161</v>
      </c>
      <c r="B550" s="52">
        <v>44778</v>
      </c>
      <c r="C550" s="18">
        <v>0.40149305555555559</v>
      </c>
      <c r="D550">
        <v>623653</v>
      </c>
      <c r="E550" t="s">
        <v>730</v>
      </c>
      <c r="F550" t="s">
        <v>749</v>
      </c>
      <c r="G550">
        <v>1</v>
      </c>
      <c r="H550" t="s">
        <v>754</v>
      </c>
    </row>
    <row r="551" spans="1:8" x14ac:dyDescent="0.25">
      <c r="A551">
        <v>161</v>
      </c>
      <c r="B551" s="52">
        <v>44778</v>
      </c>
      <c r="C551" s="18">
        <v>0.40711805555555558</v>
      </c>
      <c r="D551">
        <v>623657</v>
      </c>
      <c r="E551" t="s">
        <v>730</v>
      </c>
      <c r="F551" t="s">
        <v>749</v>
      </c>
      <c r="G551">
        <v>1</v>
      </c>
      <c r="H551" t="s">
        <v>754</v>
      </c>
    </row>
    <row r="552" spans="1:8" x14ac:dyDescent="0.25">
      <c r="A552">
        <v>161</v>
      </c>
      <c r="B552" s="52">
        <v>44778</v>
      </c>
      <c r="C552" s="18">
        <v>0.4090509259259259</v>
      </c>
      <c r="D552">
        <v>623658</v>
      </c>
      <c r="E552" t="s">
        <v>730</v>
      </c>
      <c r="F552" t="s">
        <v>749</v>
      </c>
      <c r="G552">
        <v>1</v>
      </c>
      <c r="H552" t="s">
        <v>754</v>
      </c>
    </row>
    <row r="553" spans="1:8" x14ac:dyDescent="0.25">
      <c r="A553">
        <v>161</v>
      </c>
      <c r="B553" s="52">
        <v>44778</v>
      </c>
      <c r="C553" s="18">
        <v>0.41062500000000002</v>
      </c>
      <c r="D553">
        <v>623659</v>
      </c>
      <c r="E553" t="s">
        <v>730</v>
      </c>
      <c r="F553" t="s">
        <v>749</v>
      </c>
      <c r="G553">
        <v>1</v>
      </c>
      <c r="H553" t="s">
        <v>754</v>
      </c>
    </row>
    <row r="554" spans="1:8" x14ac:dyDescent="0.25">
      <c r="A554">
        <v>161</v>
      </c>
      <c r="B554" s="52">
        <v>44778</v>
      </c>
      <c r="C554" s="18">
        <v>0.41268518518518515</v>
      </c>
      <c r="D554">
        <v>623660</v>
      </c>
      <c r="E554" t="s">
        <v>730</v>
      </c>
      <c r="F554" t="s">
        <v>749</v>
      </c>
      <c r="G554">
        <v>1</v>
      </c>
      <c r="H554" t="s">
        <v>754</v>
      </c>
    </row>
    <row r="555" spans="1:8" x14ac:dyDescent="0.25">
      <c r="A555">
        <v>161</v>
      </c>
      <c r="B555" s="52">
        <v>44778</v>
      </c>
      <c r="C555" s="18">
        <v>0.41549768518518521</v>
      </c>
      <c r="D555">
        <v>623662</v>
      </c>
      <c r="E555" t="s">
        <v>730</v>
      </c>
      <c r="F555" t="s">
        <v>749</v>
      </c>
      <c r="G555">
        <v>1</v>
      </c>
      <c r="H555" t="s">
        <v>754</v>
      </c>
    </row>
    <row r="556" spans="1:8" x14ac:dyDescent="0.25">
      <c r="A556">
        <v>161</v>
      </c>
      <c r="B556" s="52">
        <v>44778</v>
      </c>
      <c r="C556" s="18">
        <v>0.41719907407407408</v>
      </c>
      <c r="D556">
        <v>623663</v>
      </c>
      <c r="E556" t="s">
        <v>730</v>
      </c>
      <c r="F556" t="s">
        <v>749</v>
      </c>
      <c r="G556">
        <v>1</v>
      </c>
      <c r="H556" t="s">
        <v>754</v>
      </c>
    </row>
    <row r="557" spans="1:8" x14ac:dyDescent="0.25">
      <c r="A557">
        <v>161</v>
      </c>
      <c r="B557" s="52">
        <v>44778</v>
      </c>
      <c r="C557" s="18">
        <v>0.42247685185185185</v>
      </c>
      <c r="D557">
        <v>623665</v>
      </c>
      <c r="E557" t="s">
        <v>730</v>
      </c>
      <c r="F557" t="s">
        <v>749</v>
      </c>
      <c r="G557">
        <v>1</v>
      </c>
      <c r="H557" t="s">
        <v>754</v>
      </c>
    </row>
    <row r="558" spans="1:8" x14ac:dyDescent="0.25">
      <c r="A558">
        <v>161</v>
      </c>
      <c r="B558" s="52">
        <v>44778</v>
      </c>
      <c r="C558" s="18">
        <v>0.43335648148148148</v>
      </c>
      <c r="D558">
        <v>623670</v>
      </c>
      <c r="E558" t="s">
        <v>730</v>
      </c>
      <c r="F558" t="s">
        <v>749</v>
      </c>
      <c r="G558">
        <v>1</v>
      </c>
      <c r="H558" t="s">
        <v>754</v>
      </c>
    </row>
    <row r="559" spans="1:8" x14ac:dyDescent="0.25">
      <c r="A559">
        <v>161</v>
      </c>
      <c r="B559" s="52">
        <v>44778</v>
      </c>
      <c r="C559" s="18">
        <v>0.4447916666666667</v>
      </c>
      <c r="D559">
        <v>623672</v>
      </c>
      <c r="E559" t="s">
        <v>730</v>
      </c>
      <c r="F559" t="s">
        <v>749</v>
      </c>
      <c r="G559">
        <v>1</v>
      </c>
      <c r="H559" t="s">
        <v>754</v>
      </c>
    </row>
    <row r="560" spans="1:8" x14ac:dyDescent="0.25">
      <c r="A560">
        <v>161</v>
      </c>
      <c r="B560" s="52">
        <v>44778</v>
      </c>
      <c r="C560" s="18">
        <v>0.46182870370370371</v>
      </c>
      <c r="D560">
        <v>623675</v>
      </c>
      <c r="E560" t="s">
        <v>730</v>
      </c>
      <c r="F560" t="s">
        <v>749</v>
      </c>
      <c r="G560">
        <v>1</v>
      </c>
      <c r="H560" t="s">
        <v>754</v>
      </c>
    </row>
    <row r="561" spans="1:8" x14ac:dyDescent="0.25">
      <c r="A561">
        <v>161</v>
      </c>
      <c r="B561" s="52">
        <v>44778</v>
      </c>
      <c r="C561" s="18">
        <v>0.47694444444444445</v>
      </c>
      <c r="D561">
        <v>623678</v>
      </c>
      <c r="E561" t="s">
        <v>730</v>
      </c>
      <c r="F561" t="s">
        <v>749</v>
      </c>
      <c r="G561">
        <v>1</v>
      </c>
      <c r="H561" t="s">
        <v>754</v>
      </c>
    </row>
    <row r="562" spans="1:8" x14ac:dyDescent="0.25">
      <c r="A562">
        <v>161</v>
      </c>
      <c r="B562" s="52">
        <v>44778</v>
      </c>
      <c r="C562" s="18">
        <v>0.50457175925925923</v>
      </c>
      <c r="D562">
        <v>623685</v>
      </c>
      <c r="E562" t="s">
        <v>730</v>
      </c>
      <c r="F562" t="s">
        <v>749</v>
      </c>
      <c r="G562">
        <v>1</v>
      </c>
      <c r="H562" t="s">
        <v>754</v>
      </c>
    </row>
    <row r="563" spans="1:8" x14ac:dyDescent="0.25">
      <c r="A563">
        <v>161</v>
      </c>
      <c r="B563" s="52">
        <v>44778</v>
      </c>
      <c r="C563" s="18">
        <v>0.51122685185185179</v>
      </c>
      <c r="D563">
        <v>623688</v>
      </c>
      <c r="E563" t="s">
        <v>730</v>
      </c>
      <c r="F563" t="s">
        <v>749</v>
      </c>
      <c r="G563">
        <v>1</v>
      </c>
      <c r="H563" t="s">
        <v>754</v>
      </c>
    </row>
    <row r="564" spans="1:8" x14ac:dyDescent="0.25">
      <c r="A564">
        <v>161</v>
      </c>
      <c r="B564" s="52">
        <v>44778</v>
      </c>
      <c r="C564" s="18">
        <v>0.5128935185185185</v>
      </c>
      <c r="D564">
        <v>623689</v>
      </c>
      <c r="E564" t="s">
        <v>730</v>
      </c>
      <c r="F564" t="s">
        <v>749</v>
      </c>
      <c r="G564">
        <v>1</v>
      </c>
      <c r="H564" t="s">
        <v>754</v>
      </c>
    </row>
    <row r="565" spans="1:8" x14ac:dyDescent="0.25">
      <c r="A565">
        <v>161</v>
      </c>
      <c r="B565" s="52">
        <v>44778</v>
      </c>
      <c r="C565" s="18">
        <v>0.51501157407407405</v>
      </c>
      <c r="D565">
        <v>623690</v>
      </c>
      <c r="E565" t="s">
        <v>730</v>
      </c>
      <c r="F565" t="s">
        <v>749</v>
      </c>
      <c r="G565">
        <v>1</v>
      </c>
      <c r="H565" t="s">
        <v>754</v>
      </c>
    </row>
    <row r="566" spans="1:8" x14ac:dyDescent="0.25">
      <c r="A566">
        <v>161</v>
      </c>
      <c r="B566" s="52">
        <v>44778</v>
      </c>
      <c r="C566" s="18">
        <v>0.54688657407407404</v>
      </c>
      <c r="D566">
        <v>623700</v>
      </c>
      <c r="E566" t="s">
        <v>730</v>
      </c>
      <c r="F566" t="s">
        <v>749</v>
      </c>
      <c r="G566">
        <v>1</v>
      </c>
      <c r="H566" t="s">
        <v>754</v>
      </c>
    </row>
    <row r="567" spans="1:8" x14ac:dyDescent="0.25">
      <c r="A567">
        <v>161</v>
      </c>
      <c r="B567" s="52">
        <v>44778</v>
      </c>
      <c r="C567" s="18">
        <v>0.81524305555555554</v>
      </c>
      <c r="D567">
        <v>623815</v>
      </c>
      <c r="E567" t="s">
        <v>904</v>
      </c>
      <c r="F567" t="s">
        <v>749</v>
      </c>
      <c r="G567">
        <v>1</v>
      </c>
      <c r="H567" t="s">
        <v>754</v>
      </c>
    </row>
    <row r="568" spans="1:8" x14ac:dyDescent="0.25">
      <c r="A568">
        <v>191</v>
      </c>
      <c r="B568" s="52">
        <v>44777</v>
      </c>
      <c r="C568" s="18">
        <v>0.66753472222222221</v>
      </c>
      <c r="D568">
        <v>703882</v>
      </c>
      <c r="E568" t="s">
        <v>905</v>
      </c>
      <c r="F568" t="s">
        <v>749</v>
      </c>
      <c r="G568">
        <v>1</v>
      </c>
      <c r="H568" t="s">
        <v>754</v>
      </c>
    </row>
    <row r="569" spans="1:8" x14ac:dyDescent="0.25">
      <c r="A569">
        <v>191</v>
      </c>
      <c r="B569" s="52">
        <v>44778</v>
      </c>
      <c r="C569" s="18">
        <v>0.41510416666666666</v>
      </c>
      <c r="D569">
        <v>704068</v>
      </c>
      <c r="E569" t="s">
        <v>1633</v>
      </c>
      <c r="F569" t="s">
        <v>749</v>
      </c>
      <c r="G569">
        <v>1</v>
      </c>
      <c r="H569" t="s">
        <v>754</v>
      </c>
    </row>
    <row r="570" spans="1:8" x14ac:dyDescent="0.25">
      <c r="A570">
        <v>191</v>
      </c>
      <c r="B570" s="52">
        <v>44778</v>
      </c>
      <c r="C570" s="18">
        <v>0.41710648148148149</v>
      </c>
      <c r="D570">
        <v>704072</v>
      </c>
      <c r="E570" t="s">
        <v>1633</v>
      </c>
      <c r="F570" t="s">
        <v>749</v>
      </c>
      <c r="G570">
        <v>1</v>
      </c>
      <c r="H570" t="s">
        <v>754</v>
      </c>
    </row>
    <row r="571" spans="1:8" x14ac:dyDescent="0.25">
      <c r="A571">
        <v>191</v>
      </c>
      <c r="B571" s="52">
        <v>44778</v>
      </c>
      <c r="C571" s="18">
        <v>0.4904513888888889</v>
      </c>
      <c r="D571">
        <v>704105</v>
      </c>
      <c r="E571" t="s">
        <v>1633</v>
      </c>
      <c r="F571" t="s">
        <v>749</v>
      </c>
      <c r="G571">
        <v>1</v>
      </c>
      <c r="H571" t="s">
        <v>754</v>
      </c>
    </row>
    <row r="572" spans="1:8" x14ac:dyDescent="0.25">
      <c r="A572">
        <v>191</v>
      </c>
      <c r="B572" s="52">
        <v>44778</v>
      </c>
      <c r="C572" s="18">
        <v>0.52856481481481488</v>
      </c>
      <c r="D572">
        <v>704124</v>
      </c>
      <c r="E572" t="s">
        <v>1634</v>
      </c>
      <c r="F572" t="s">
        <v>749</v>
      </c>
      <c r="G572">
        <v>1</v>
      </c>
      <c r="H572" t="s">
        <v>754</v>
      </c>
    </row>
    <row r="573" spans="1:8" x14ac:dyDescent="0.25">
      <c r="A573">
        <v>191</v>
      </c>
      <c r="B573" s="52">
        <v>44778</v>
      </c>
      <c r="C573" s="18">
        <v>0.58315972222222223</v>
      </c>
      <c r="D573">
        <v>704154</v>
      </c>
      <c r="E573" t="s">
        <v>1634</v>
      </c>
      <c r="F573" t="s">
        <v>749</v>
      </c>
      <c r="G573">
        <v>1</v>
      </c>
      <c r="H573" t="s">
        <v>754</v>
      </c>
    </row>
    <row r="574" spans="1:8" x14ac:dyDescent="0.25">
      <c r="A574">
        <v>191</v>
      </c>
      <c r="B574" s="52">
        <v>44780</v>
      </c>
      <c r="C574" s="18">
        <v>0.54836805555555557</v>
      </c>
      <c r="D574">
        <v>704840</v>
      </c>
      <c r="E574" t="s">
        <v>905</v>
      </c>
      <c r="F574" t="s">
        <v>749</v>
      </c>
      <c r="G574">
        <v>1</v>
      </c>
      <c r="H574" t="s">
        <v>754</v>
      </c>
    </row>
    <row r="575" spans="1:8" x14ac:dyDescent="0.25">
      <c r="A575">
        <v>201</v>
      </c>
      <c r="B575" s="52">
        <v>44778</v>
      </c>
      <c r="C575" s="18">
        <v>0.6915972222222222</v>
      </c>
      <c r="D575">
        <v>365826</v>
      </c>
      <c r="E575" t="s">
        <v>1635</v>
      </c>
      <c r="F575" t="s">
        <v>749</v>
      </c>
      <c r="G575">
        <v>1</v>
      </c>
      <c r="H575" t="s">
        <v>754</v>
      </c>
    </row>
    <row r="576" spans="1:8" x14ac:dyDescent="0.25">
      <c r="A576">
        <v>231</v>
      </c>
      <c r="B576" s="52">
        <v>44774</v>
      </c>
      <c r="C576" s="18">
        <v>0.55084490740740744</v>
      </c>
      <c r="D576">
        <v>496109</v>
      </c>
      <c r="E576" t="s">
        <v>732</v>
      </c>
      <c r="F576" t="s">
        <v>749</v>
      </c>
      <c r="G576">
        <v>1</v>
      </c>
      <c r="H576" t="s">
        <v>754</v>
      </c>
    </row>
    <row r="577" spans="1:8" x14ac:dyDescent="0.25">
      <c r="A577">
        <v>231</v>
      </c>
      <c r="B577" s="52">
        <v>44774</v>
      </c>
      <c r="C577" s="18">
        <v>0.78901620370370373</v>
      </c>
      <c r="D577">
        <v>496234</v>
      </c>
      <c r="E577" t="s">
        <v>732</v>
      </c>
      <c r="F577" t="s">
        <v>749</v>
      </c>
      <c r="G577">
        <v>1</v>
      </c>
      <c r="H577" t="s">
        <v>754</v>
      </c>
    </row>
    <row r="578" spans="1:8" x14ac:dyDescent="0.25">
      <c r="A578">
        <v>231</v>
      </c>
      <c r="B578" s="52">
        <v>44776</v>
      </c>
      <c r="C578" s="18">
        <v>0.31071759259259263</v>
      </c>
      <c r="D578">
        <v>496542</v>
      </c>
      <c r="E578" t="s">
        <v>733</v>
      </c>
      <c r="F578" t="s">
        <v>749</v>
      </c>
      <c r="G578">
        <v>1</v>
      </c>
      <c r="H578" t="s">
        <v>754</v>
      </c>
    </row>
    <row r="579" spans="1:8" x14ac:dyDescent="0.25">
      <c r="A579">
        <v>231</v>
      </c>
      <c r="B579" s="52">
        <v>44776</v>
      </c>
      <c r="C579" s="18">
        <v>0.42969907407407404</v>
      </c>
      <c r="D579">
        <v>496560</v>
      </c>
      <c r="E579" t="s">
        <v>733</v>
      </c>
      <c r="F579" t="s">
        <v>749</v>
      </c>
      <c r="G579">
        <v>1</v>
      </c>
      <c r="H579" t="s">
        <v>754</v>
      </c>
    </row>
    <row r="580" spans="1:8" x14ac:dyDescent="0.25">
      <c r="A580">
        <v>231</v>
      </c>
      <c r="B580" s="52">
        <v>44777</v>
      </c>
      <c r="C580" s="18">
        <v>0.79341435185185183</v>
      </c>
      <c r="D580">
        <v>496937</v>
      </c>
      <c r="E580" t="s">
        <v>733</v>
      </c>
      <c r="F580" t="s">
        <v>749</v>
      </c>
      <c r="G580">
        <v>1</v>
      </c>
      <c r="H580" t="s">
        <v>754</v>
      </c>
    </row>
    <row r="581" spans="1:8" x14ac:dyDescent="0.25">
      <c r="A581">
        <v>231</v>
      </c>
      <c r="B581" s="52">
        <v>44777</v>
      </c>
      <c r="C581" s="18">
        <v>0.86280092592592583</v>
      </c>
      <c r="D581">
        <v>496973</v>
      </c>
      <c r="E581" t="s">
        <v>733</v>
      </c>
      <c r="F581" t="s">
        <v>749</v>
      </c>
      <c r="G581">
        <v>1</v>
      </c>
      <c r="H581" t="s">
        <v>754</v>
      </c>
    </row>
    <row r="582" spans="1:8" x14ac:dyDescent="0.25">
      <c r="A582">
        <v>231</v>
      </c>
      <c r="B582" s="52">
        <v>44778</v>
      </c>
      <c r="C582" s="18">
        <v>0.29872685185185183</v>
      </c>
      <c r="D582">
        <v>496999</v>
      </c>
      <c r="E582" t="s">
        <v>732</v>
      </c>
      <c r="F582" t="s">
        <v>749</v>
      </c>
      <c r="G582">
        <v>1</v>
      </c>
      <c r="H582" t="s">
        <v>754</v>
      </c>
    </row>
    <row r="583" spans="1:8" x14ac:dyDescent="0.25">
      <c r="A583">
        <v>231</v>
      </c>
      <c r="B583" s="52">
        <v>44778</v>
      </c>
      <c r="C583" s="18">
        <v>0.3886574074074074</v>
      </c>
      <c r="D583">
        <v>497018</v>
      </c>
      <c r="E583" t="s">
        <v>732</v>
      </c>
      <c r="F583" t="s">
        <v>749</v>
      </c>
      <c r="G583">
        <v>1</v>
      </c>
      <c r="H583" t="s">
        <v>754</v>
      </c>
    </row>
    <row r="584" spans="1:8" x14ac:dyDescent="0.25">
      <c r="A584">
        <v>231</v>
      </c>
      <c r="B584" s="52">
        <v>44778</v>
      </c>
      <c r="C584" s="18">
        <v>0.43509259259259259</v>
      </c>
      <c r="D584">
        <v>497036</v>
      </c>
      <c r="E584" t="s">
        <v>732</v>
      </c>
      <c r="F584" t="s">
        <v>749</v>
      </c>
      <c r="G584">
        <v>1</v>
      </c>
      <c r="H584" t="s">
        <v>754</v>
      </c>
    </row>
    <row r="585" spans="1:8" x14ac:dyDescent="0.25">
      <c r="A585">
        <v>231</v>
      </c>
      <c r="B585" s="52">
        <v>44778</v>
      </c>
      <c r="C585" s="18">
        <v>0.44297453703703704</v>
      </c>
      <c r="D585">
        <v>497040</v>
      </c>
      <c r="E585" t="s">
        <v>732</v>
      </c>
      <c r="F585" t="s">
        <v>749</v>
      </c>
      <c r="G585">
        <v>1</v>
      </c>
      <c r="H585" t="s">
        <v>754</v>
      </c>
    </row>
    <row r="586" spans="1:8" x14ac:dyDescent="0.25">
      <c r="A586">
        <v>231</v>
      </c>
      <c r="B586" s="52">
        <v>44778</v>
      </c>
      <c r="C586" s="18">
        <v>0.44535879629629632</v>
      </c>
      <c r="D586">
        <v>497041</v>
      </c>
      <c r="E586" t="s">
        <v>732</v>
      </c>
      <c r="F586" t="s">
        <v>749</v>
      </c>
      <c r="G586">
        <v>1</v>
      </c>
      <c r="H586" t="s">
        <v>754</v>
      </c>
    </row>
    <row r="587" spans="1:8" x14ac:dyDescent="0.25">
      <c r="A587">
        <v>231</v>
      </c>
      <c r="B587" s="52">
        <v>44778</v>
      </c>
      <c r="C587" s="18">
        <v>0.52253472222222219</v>
      </c>
      <c r="D587">
        <v>497071</v>
      </c>
      <c r="E587" t="s">
        <v>732</v>
      </c>
      <c r="F587" t="s">
        <v>749</v>
      </c>
      <c r="G587">
        <v>1</v>
      </c>
      <c r="H587" t="s">
        <v>754</v>
      </c>
    </row>
    <row r="588" spans="1:8" x14ac:dyDescent="0.25">
      <c r="A588">
        <v>231</v>
      </c>
      <c r="B588" s="52">
        <v>44778</v>
      </c>
      <c r="C588" s="18">
        <v>0.73671296296296296</v>
      </c>
      <c r="D588">
        <v>497198</v>
      </c>
      <c r="E588" t="s">
        <v>733</v>
      </c>
      <c r="F588" t="s">
        <v>749</v>
      </c>
      <c r="G588">
        <v>1</v>
      </c>
      <c r="H588" t="s">
        <v>754</v>
      </c>
    </row>
    <row r="589" spans="1:8" x14ac:dyDescent="0.25">
      <c r="A589">
        <v>231</v>
      </c>
      <c r="B589" s="52">
        <v>44778</v>
      </c>
      <c r="C589" s="18">
        <v>0.76871527777777782</v>
      </c>
      <c r="D589">
        <v>497213</v>
      </c>
      <c r="E589" t="s">
        <v>733</v>
      </c>
      <c r="F589" t="s">
        <v>749</v>
      </c>
      <c r="G589">
        <v>1</v>
      </c>
      <c r="H589" t="s">
        <v>754</v>
      </c>
    </row>
    <row r="590" spans="1:8" x14ac:dyDescent="0.25">
      <c r="A590">
        <v>231</v>
      </c>
      <c r="B590" s="52">
        <v>44778</v>
      </c>
      <c r="C590" s="18">
        <v>0.77483796296296292</v>
      </c>
      <c r="D590">
        <v>497215</v>
      </c>
      <c r="E590" t="s">
        <v>733</v>
      </c>
      <c r="F590" t="s">
        <v>749</v>
      </c>
      <c r="G590">
        <v>1</v>
      </c>
      <c r="H590" t="s">
        <v>754</v>
      </c>
    </row>
    <row r="591" spans="1:8" x14ac:dyDescent="0.25">
      <c r="A591">
        <v>231</v>
      </c>
      <c r="B591" s="52">
        <v>44778</v>
      </c>
      <c r="C591" s="18">
        <v>0.80177083333333332</v>
      </c>
      <c r="D591">
        <v>497223</v>
      </c>
      <c r="E591" t="s">
        <v>733</v>
      </c>
      <c r="F591" t="s">
        <v>749</v>
      </c>
      <c r="G591">
        <v>1</v>
      </c>
      <c r="H591" t="s">
        <v>754</v>
      </c>
    </row>
    <row r="592" spans="1:8" x14ac:dyDescent="0.25">
      <c r="A592">
        <v>261</v>
      </c>
      <c r="B592" s="52">
        <v>44775</v>
      </c>
      <c r="C592" s="18">
        <v>0.41403935185185187</v>
      </c>
      <c r="D592">
        <v>592405</v>
      </c>
      <c r="E592" t="s">
        <v>734</v>
      </c>
      <c r="F592" t="s">
        <v>749</v>
      </c>
      <c r="G592">
        <v>1</v>
      </c>
      <c r="H592" t="s">
        <v>754</v>
      </c>
    </row>
    <row r="593" spans="1:8" x14ac:dyDescent="0.25">
      <c r="A593">
        <v>261</v>
      </c>
      <c r="B593" s="52">
        <v>44775</v>
      </c>
      <c r="C593" s="18">
        <v>0.50105324074074076</v>
      </c>
      <c r="D593">
        <v>592426</v>
      </c>
      <c r="E593" t="s">
        <v>734</v>
      </c>
      <c r="F593" t="s">
        <v>749</v>
      </c>
      <c r="G593">
        <v>1</v>
      </c>
      <c r="H593" t="s">
        <v>754</v>
      </c>
    </row>
    <row r="594" spans="1:8" x14ac:dyDescent="0.25">
      <c r="A594">
        <v>261</v>
      </c>
      <c r="B594" s="52">
        <v>44777</v>
      </c>
      <c r="C594" s="18">
        <v>0.71755787037037033</v>
      </c>
      <c r="D594">
        <v>592909</v>
      </c>
      <c r="E594" t="s">
        <v>734</v>
      </c>
      <c r="F594" t="s">
        <v>749</v>
      </c>
      <c r="G594">
        <v>1</v>
      </c>
      <c r="H594" t="s">
        <v>754</v>
      </c>
    </row>
    <row r="595" spans="1:8" x14ac:dyDescent="0.25">
      <c r="A595">
        <v>261</v>
      </c>
      <c r="B595" s="52">
        <v>44777</v>
      </c>
      <c r="C595" s="18">
        <v>0.88936342592592599</v>
      </c>
      <c r="D595">
        <v>592950</v>
      </c>
      <c r="E595" t="s">
        <v>734</v>
      </c>
      <c r="F595" t="s">
        <v>749</v>
      </c>
      <c r="G595">
        <v>1</v>
      </c>
      <c r="H595" t="s">
        <v>754</v>
      </c>
    </row>
    <row r="596" spans="1:8" x14ac:dyDescent="0.25">
      <c r="A596">
        <v>261</v>
      </c>
      <c r="B596" s="52">
        <v>44777</v>
      </c>
      <c r="C596" s="18">
        <v>0.89337962962962969</v>
      </c>
      <c r="D596">
        <v>592952</v>
      </c>
      <c r="E596" t="s">
        <v>734</v>
      </c>
      <c r="F596" t="s">
        <v>749</v>
      </c>
      <c r="G596">
        <v>1</v>
      </c>
      <c r="H596" t="s">
        <v>754</v>
      </c>
    </row>
    <row r="597" spans="1:8" x14ac:dyDescent="0.25">
      <c r="A597">
        <v>261</v>
      </c>
      <c r="B597" s="52">
        <v>44778</v>
      </c>
      <c r="C597" s="18">
        <v>0.36113425925925924</v>
      </c>
      <c r="D597">
        <v>593023</v>
      </c>
      <c r="E597" t="s">
        <v>734</v>
      </c>
      <c r="F597" t="s">
        <v>749</v>
      </c>
      <c r="G597">
        <v>1</v>
      </c>
      <c r="H597" t="s">
        <v>754</v>
      </c>
    </row>
    <row r="598" spans="1:8" x14ac:dyDescent="0.25">
      <c r="A598">
        <v>261</v>
      </c>
      <c r="B598" s="52">
        <v>44778</v>
      </c>
      <c r="C598" s="18">
        <v>0.39613425925925921</v>
      </c>
      <c r="D598">
        <v>593032</v>
      </c>
      <c r="E598" t="s">
        <v>734</v>
      </c>
      <c r="F598" t="s">
        <v>749</v>
      </c>
      <c r="G598">
        <v>1</v>
      </c>
      <c r="H598" t="s">
        <v>754</v>
      </c>
    </row>
    <row r="599" spans="1:8" x14ac:dyDescent="0.25">
      <c r="A599">
        <v>261</v>
      </c>
      <c r="B599" s="52">
        <v>44778</v>
      </c>
      <c r="C599" s="18">
        <v>0.45413194444444444</v>
      </c>
      <c r="D599">
        <v>593048</v>
      </c>
      <c r="E599" t="s">
        <v>734</v>
      </c>
      <c r="F599" t="s">
        <v>749</v>
      </c>
      <c r="G599">
        <v>1</v>
      </c>
      <c r="H599" t="s">
        <v>754</v>
      </c>
    </row>
    <row r="600" spans="1:8" x14ac:dyDescent="0.25">
      <c r="A600">
        <v>261</v>
      </c>
      <c r="B600" s="52">
        <v>44778</v>
      </c>
      <c r="C600" s="18">
        <v>0.46569444444444441</v>
      </c>
      <c r="D600">
        <v>593054</v>
      </c>
      <c r="E600" t="s">
        <v>734</v>
      </c>
      <c r="F600" t="s">
        <v>749</v>
      </c>
      <c r="G600">
        <v>1</v>
      </c>
      <c r="H600" t="s">
        <v>754</v>
      </c>
    </row>
    <row r="601" spans="1:8" x14ac:dyDescent="0.25">
      <c r="A601">
        <v>261</v>
      </c>
      <c r="B601" s="52">
        <v>44778</v>
      </c>
      <c r="C601" s="18">
        <v>0.51549768518518524</v>
      </c>
      <c r="D601">
        <v>593071</v>
      </c>
      <c r="E601" t="s">
        <v>734</v>
      </c>
      <c r="F601" t="s">
        <v>749</v>
      </c>
      <c r="G601">
        <v>1</v>
      </c>
      <c r="H601" t="s">
        <v>754</v>
      </c>
    </row>
    <row r="602" spans="1:8" x14ac:dyDescent="0.25">
      <c r="A602">
        <v>261</v>
      </c>
      <c r="B602" s="52">
        <v>44778</v>
      </c>
      <c r="C602" s="18">
        <v>0.88297453703703699</v>
      </c>
      <c r="D602">
        <v>593172</v>
      </c>
      <c r="E602" t="s">
        <v>735</v>
      </c>
      <c r="F602" t="s">
        <v>749</v>
      </c>
      <c r="G602">
        <v>1</v>
      </c>
      <c r="H602" t="s">
        <v>754</v>
      </c>
    </row>
    <row r="603" spans="1:8" x14ac:dyDescent="0.25">
      <c r="A603">
        <v>261</v>
      </c>
      <c r="B603" s="52">
        <v>44780</v>
      </c>
      <c r="C603" s="18">
        <v>0.8327430555555555</v>
      </c>
      <c r="D603">
        <v>593633</v>
      </c>
      <c r="E603" t="s">
        <v>734</v>
      </c>
      <c r="F603" t="s">
        <v>749</v>
      </c>
      <c r="G603">
        <v>1</v>
      </c>
      <c r="H603" t="s">
        <v>754</v>
      </c>
    </row>
    <row r="604" spans="1:8" x14ac:dyDescent="0.25">
      <c r="A604">
        <v>271</v>
      </c>
      <c r="B604" s="52">
        <v>44774</v>
      </c>
      <c r="C604" s="18">
        <v>0.52182870370370371</v>
      </c>
      <c r="D604">
        <v>238800</v>
      </c>
      <c r="E604" t="s">
        <v>1279</v>
      </c>
      <c r="F604" t="s">
        <v>749</v>
      </c>
      <c r="G604">
        <v>1</v>
      </c>
      <c r="H604" t="s">
        <v>754</v>
      </c>
    </row>
    <row r="605" spans="1:8" x14ac:dyDescent="0.25">
      <c r="A605">
        <v>271</v>
      </c>
      <c r="B605" s="52">
        <v>44774</v>
      </c>
      <c r="C605" s="18">
        <v>0.52678240740740734</v>
      </c>
      <c r="D605">
        <v>238806</v>
      </c>
      <c r="E605" t="s">
        <v>1279</v>
      </c>
      <c r="F605" t="s">
        <v>749</v>
      </c>
      <c r="G605">
        <v>1</v>
      </c>
      <c r="H605" t="s">
        <v>754</v>
      </c>
    </row>
    <row r="606" spans="1:8" x14ac:dyDescent="0.25">
      <c r="A606">
        <v>271</v>
      </c>
      <c r="B606" s="52">
        <v>44774</v>
      </c>
      <c r="C606" s="18">
        <v>0.6463888888888889</v>
      </c>
      <c r="D606">
        <v>238926</v>
      </c>
      <c r="E606" t="s">
        <v>722</v>
      </c>
      <c r="F606" t="s">
        <v>749</v>
      </c>
      <c r="G606">
        <v>1</v>
      </c>
      <c r="H606" t="s">
        <v>754</v>
      </c>
    </row>
    <row r="607" spans="1:8" x14ac:dyDescent="0.25">
      <c r="A607">
        <v>271</v>
      </c>
      <c r="B607" s="52">
        <v>44774</v>
      </c>
      <c r="C607" s="18">
        <v>0.79791666666666661</v>
      </c>
      <c r="D607">
        <v>239026</v>
      </c>
      <c r="E607" t="s">
        <v>1279</v>
      </c>
      <c r="F607" t="s">
        <v>749</v>
      </c>
      <c r="G607">
        <v>1</v>
      </c>
      <c r="H607" t="s">
        <v>754</v>
      </c>
    </row>
    <row r="608" spans="1:8" x14ac:dyDescent="0.25">
      <c r="A608">
        <v>271</v>
      </c>
      <c r="B608" s="52">
        <v>44774</v>
      </c>
      <c r="C608" s="18">
        <v>0.8497569444444445</v>
      </c>
      <c r="D608">
        <v>239064</v>
      </c>
      <c r="E608" t="s">
        <v>722</v>
      </c>
      <c r="F608" t="s">
        <v>749</v>
      </c>
      <c r="G608">
        <v>1</v>
      </c>
      <c r="H608" t="s">
        <v>754</v>
      </c>
    </row>
    <row r="609" spans="1:8" x14ac:dyDescent="0.25">
      <c r="A609">
        <v>271</v>
      </c>
      <c r="B609" s="52">
        <v>44775</v>
      </c>
      <c r="C609" s="18">
        <v>0.61840277777777775</v>
      </c>
      <c r="D609">
        <v>239275</v>
      </c>
      <c r="E609" t="s">
        <v>736</v>
      </c>
      <c r="F609" t="s">
        <v>749</v>
      </c>
      <c r="G609">
        <v>1</v>
      </c>
      <c r="H609" t="s">
        <v>754</v>
      </c>
    </row>
    <row r="610" spans="1:8" x14ac:dyDescent="0.25">
      <c r="A610">
        <v>271</v>
      </c>
      <c r="B610" s="52">
        <v>44775</v>
      </c>
      <c r="C610" s="18">
        <v>0.64311342592592591</v>
      </c>
      <c r="D610">
        <v>239297</v>
      </c>
      <c r="E610" t="s">
        <v>722</v>
      </c>
      <c r="F610" t="s">
        <v>749</v>
      </c>
      <c r="G610">
        <v>1</v>
      </c>
      <c r="H610" t="s">
        <v>754</v>
      </c>
    </row>
    <row r="611" spans="1:8" x14ac:dyDescent="0.25">
      <c r="A611">
        <v>271</v>
      </c>
      <c r="B611" s="52">
        <v>44775</v>
      </c>
      <c r="C611" s="18">
        <v>0.79185185185185192</v>
      </c>
      <c r="D611">
        <v>239396</v>
      </c>
      <c r="E611" t="s">
        <v>722</v>
      </c>
      <c r="F611" t="s">
        <v>749</v>
      </c>
      <c r="G611">
        <v>1</v>
      </c>
      <c r="H611" t="s">
        <v>754</v>
      </c>
    </row>
    <row r="612" spans="1:8" x14ac:dyDescent="0.25">
      <c r="A612">
        <v>271</v>
      </c>
      <c r="B612" s="52">
        <v>44776</v>
      </c>
      <c r="C612" s="18">
        <v>0.3283564814814815</v>
      </c>
      <c r="D612">
        <v>239497</v>
      </c>
      <c r="E612" t="s">
        <v>722</v>
      </c>
      <c r="F612" t="s">
        <v>749</v>
      </c>
      <c r="G612">
        <v>1</v>
      </c>
      <c r="H612" t="s">
        <v>754</v>
      </c>
    </row>
    <row r="613" spans="1:8" x14ac:dyDescent="0.25">
      <c r="A613">
        <v>271</v>
      </c>
      <c r="B613" s="52">
        <v>44776</v>
      </c>
      <c r="C613" s="18">
        <v>0.33703703703703702</v>
      </c>
      <c r="D613">
        <v>239502</v>
      </c>
      <c r="E613" t="s">
        <v>722</v>
      </c>
      <c r="F613" t="s">
        <v>749</v>
      </c>
      <c r="G613">
        <v>1</v>
      </c>
      <c r="H613" t="s">
        <v>754</v>
      </c>
    </row>
    <row r="614" spans="1:8" x14ac:dyDescent="0.25">
      <c r="A614">
        <v>271</v>
      </c>
      <c r="B614" s="52">
        <v>44776</v>
      </c>
      <c r="C614" s="18">
        <v>0.44344907407407402</v>
      </c>
      <c r="D614">
        <v>239552</v>
      </c>
      <c r="E614" t="s">
        <v>722</v>
      </c>
      <c r="F614" t="s">
        <v>749</v>
      </c>
      <c r="G614">
        <v>1</v>
      </c>
      <c r="H614" t="s">
        <v>754</v>
      </c>
    </row>
    <row r="615" spans="1:8" x14ac:dyDescent="0.25">
      <c r="A615">
        <v>271</v>
      </c>
      <c r="B615" s="52">
        <v>44776</v>
      </c>
      <c r="C615" s="18">
        <v>0.48643518518518519</v>
      </c>
      <c r="D615">
        <v>239570</v>
      </c>
      <c r="E615" t="s">
        <v>722</v>
      </c>
      <c r="F615" t="s">
        <v>749</v>
      </c>
      <c r="G615">
        <v>1</v>
      </c>
      <c r="H615" t="s">
        <v>754</v>
      </c>
    </row>
    <row r="616" spans="1:8" x14ac:dyDescent="0.25">
      <c r="A616">
        <v>271</v>
      </c>
      <c r="B616" s="52">
        <v>44776</v>
      </c>
      <c r="C616" s="18">
        <v>0.49438657407407405</v>
      </c>
      <c r="D616">
        <v>239574</v>
      </c>
      <c r="E616" t="s">
        <v>722</v>
      </c>
      <c r="F616" t="s">
        <v>749</v>
      </c>
      <c r="G616">
        <v>1</v>
      </c>
      <c r="H616" t="s">
        <v>754</v>
      </c>
    </row>
    <row r="617" spans="1:8" x14ac:dyDescent="0.25">
      <c r="A617">
        <v>271</v>
      </c>
      <c r="B617" s="52">
        <v>44776</v>
      </c>
      <c r="C617" s="18">
        <v>0.61032407407407407</v>
      </c>
      <c r="D617">
        <v>239681</v>
      </c>
      <c r="E617" t="s">
        <v>722</v>
      </c>
      <c r="F617" t="s">
        <v>749</v>
      </c>
      <c r="G617">
        <v>1</v>
      </c>
      <c r="H617" t="s">
        <v>754</v>
      </c>
    </row>
    <row r="618" spans="1:8" x14ac:dyDescent="0.25">
      <c r="A618">
        <v>271</v>
      </c>
      <c r="B618" s="52">
        <v>44776</v>
      </c>
      <c r="C618" s="18">
        <v>0.62758101851851855</v>
      </c>
      <c r="D618">
        <v>239693</v>
      </c>
      <c r="E618" t="s">
        <v>722</v>
      </c>
      <c r="F618" t="s">
        <v>749</v>
      </c>
      <c r="G618">
        <v>1</v>
      </c>
      <c r="H618" t="s">
        <v>754</v>
      </c>
    </row>
    <row r="619" spans="1:8" x14ac:dyDescent="0.25">
      <c r="A619">
        <v>271</v>
      </c>
      <c r="B619" s="52">
        <v>44776</v>
      </c>
      <c r="C619" s="18">
        <v>0.64068287037037031</v>
      </c>
      <c r="D619">
        <v>239699</v>
      </c>
      <c r="E619" t="s">
        <v>722</v>
      </c>
      <c r="F619" t="s">
        <v>749</v>
      </c>
      <c r="G619">
        <v>1</v>
      </c>
      <c r="H619" t="s">
        <v>754</v>
      </c>
    </row>
    <row r="620" spans="1:8" x14ac:dyDescent="0.25">
      <c r="A620">
        <v>271</v>
      </c>
      <c r="B620" s="52">
        <v>44776</v>
      </c>
      <c r="C620" s="18">
        <v>0.77055555555555555</v>
      </c>
      <c r="D620">
        <v>239785</v>
      </c>
      <c r="E620" t="s">
        <v>722</v>
      </c>
      <c r="F620" t="s">
        <v>749</v>
      </c>
      <c r="G620">
        <v>1</v>
      </c>
      <c r="H620" t="s">
        <v>754</v>
      </c>
    </row>
    <row r="621" spans="1:8" x14ac:dyDescent="0.25">
      <c r="A621">
        <v>271</v>
      </c>
      <c r="B621" s="52">
        <v>44777</v>
      </c>
      <c r="C621" s="18">
        <v>0.41545138888888888</v>
      </c>
      <c r="D621">
        <v>239921</v>
      </c>
      <c r="E621" t="s">
        <v>736</v>
      </c>
      <c r="F621" t="s">
        <v>749</v>
      </c>
      <c r="G621">
        <v>1</v>
      </c>
      <c r="H621" t="s">
        <v>754</v>
      </c>
    </row>
    <row r="622" spans="1:8" x14ac:dyDescent="0.25">
      <c r="A622">
        <v>271</v>
      </c>
      <c r="B622" s="52">
        <v>44777</v>
      </c>
      <c r="C622" s="18">
        <v>0.55846064814814811</v>
      </c>
      <c r="D622">
        <v>240007</v>
      </c>
      <c r="E622" t="s">
        <v>736</v>
      </c>
      <c r="F622" t="s">
        <v>749</v>
      </c>
      <c r="G622">
        <v>1</v>
      </c>
      <c r="H622" t="s">
        <v>754</v>
      </c>
    </row>
    <row r="623" spans="1:8" x14ac:dyDescent="0.25">
      <c r="A623">
        <v>271</v>
      </c>
      <c r="B623" s="52">
        <v>44777</v>
      </c>
      <c r="C623" s="18">
        <v>0.75175925925925924</v>
      </c>
      <c r="D623">
        <v>240120</v>
      </c>
      <c r="E623" t="s">
        <v>722</v>
      </c>
      <c r="F623" t="s">
        <v>749</v>
      </c>
      <c r="G623">
        <v>1</v>
      </c>
      <c r="H623" t="s">
        <v>754</v>
      </c>
    </row>
    <row r="624" spans="1:8" x14ac:dyDescent="0.25">
      <c r="A624">
        <v>271</v>
      </c>
      <c r="B624" s="52">
        <v>44777</v>
      </c>
      <c r="C624" s="18">
        <v>0.81518518518518512</v>
      </c>
      <c r="D624">
        <v>240155</v>
      </c>
      <c r="E624" t="s">
        <v>722</v>
      </c>
      <c r="F624" t="s">
        <v>749</v>
      </c>
      <c r="G624">
        <v>1</v>
      </c>
      <c r="H624" t="s">
        <v>754</v>
      </c>
    </row>
    <row r="625" spans="1:8" x14ac:dyDescent="0.25">
      <c r="A625">
        <v>271</v>
      </c>
      <c r="B625" s="52">
        <v>44777</v>
      </c>
      <c r="C625" s="18">
        <v>0.87304398148148143</v>
      </c>
      <c r="D625">
        <v>240211</v>
      </c>
      <c r="E625" t="s">
        <v>722</v>
      </c>
      <c r="F625" t="s">
        <v>749</v>
      </c>
      <c r="G625">
        <v>1</v>
      </c>
      <c r="H625" t="s">
        <v>754</v>
      </c>
    </row>
    <row r="626" spans="1:8" x14ac:dyDescent="0.25">
      <c r="A626">
        <v>271</v>
      </c>
      <c r="B626" s="52">
        <v>44778</v>
      </c>
      <c r="C626" s="18">
        <v>0.35174768518518523</v>
      </c>
      <c r="D626">
        <v>240250</v>
      </c>
      <c r="E626" t="s">
        <v>736</v>
      </c>
      <c r="F626" t="s">
        <v>749</v>
      </c>
      <c r="G626">
        <v>1</v>
      </c>
      <c r="H626" t="s">
        <v>754</v>
      </c>
    </row>
    <row r="627" spans="1:8" x14ac:dyDescent="0.25">
      <c r="A627">
        <v>271</v>
      </c>
      <c r="B627" s="52">
        <v>44778</v>
      </c>
      <c r="C627" s="18">
        <v>0.35754629629629631</v>
      </c>
      <c r="D627">
        <v>240254</v>
      </c>
      <c r="E627" t="s">
        <v>736</v>
      </c>
      <c r="F627" t="s">
        <v>749</v>
      </c>
      <c r="G627">
        <v>1</v>
      </c>
      <c r="H627" t="s">
        <v>754</v>
      </c>
    </row>
    <row r="628" spans="1:8" x14ac:dyDescent="0.25">
      <c r="A628">
        <v>271</v>
      </c>
      <c r="B628" s="52">
        <v>44778</v>
      </c>
      <c r="C628" s="18">
        <v>0.36377314814814815</v>
      </c>
      <c r="D628">
        <v>240257</v>
      </c>
      <c r="E628" t="s">
        <v>736</v>
      </c>
      <c r="F628" t="s">
        <v>749</v>
      </c>
      <c r="G628">
        <v>1</v>
      </c>
      <c r="H628" t="s">
        <v>754</v>
      </c>
    </row>
    <row r="629" spans="1:8" x14ac:dyDescent="0.25">
      <c r="A629">
        <v>271</v>
      </c>
      <c r="B629" s="52">
        <v>44778</v>
      </c>
      <c r="C629" s="18">
        <v>0.3897106481481481</v>
      </c>
      <c r="D629">
        <v>240272</v>
      </c>
      <c r="E629" t="s">
        <v>736</v>
      </c>
      <c r="F629" t="s">
        <v>749</v>
      </c>
      <c r="G629">
        <v>1</v>
      </c>
      <c r="H629" t="s">
        <v>754</v>
      </c>
    </row>
    <row r="630" spans="1:8" x14ac:dyDescent="0.25">
      <c r="A630">
        <v>271</v>
      </c>
      <c r="B630" s="52">
        <v>44778</v>
      </c>
      <c r="C630" s="18">
        <v>0.39650462962962968</v>
      </c>
      <c r="D630">
        <v>240275</v>
      </c>
      <c r="E630" t="s">
        <v>736</v>
      </c>
      <c r="F630" t="s">
        <v>749</v>
      </c>
      <c r="G630">
        <v>1</v>
      </c>
      <c r="H630" t="s">
        <v>754</v>
      </c>
    </row>
    <row r="631" spans="1:8" x14ac:dyDescent="0.25">
      <c r="A631">
        <v>271</v>
      </c>
      <c r="B631" s="52">
        <v>44778</v>
      </c>
      <c r="C631" s="18">
        <v>0.40833333333333338</v>
      </c>
      <c r="D631">
        <v>240284</v>
      </c>
      <c r="E631" t="s">
        <v>736</v>
      </c>
      <c r="F631" t="s">
        <v>749</v>
      </c>
      <c r="G631">
        <v>1</v>
      </c>
      <c r="H631" t="s">
        <v>754</v>
      </c>
    </row>
    <row r="632" spans="1:8" x14ac:dyDescent="0.25">
      <c r="A632">
        <v>271</v>
      </c>
      <c r="B632" s="52">
        <v>44778</v>
      </c>
      <c r="C632" s="18">
        <v>0.52379629629629632</v>
      </c>
      <c r="D632">
        <v>240346</v>
      </c>
      <c r="E632" t="s">
        <v>736</v>
      </c>
      <c r="F632" t="s">
        <v>749</v>
      </c>
      <c r="G632">
        <v>1</v>
      </c>
      <c r="H632" t="s">
        <v>754</v>
      </c>
    </row>
    <row r="633" spans="1:8" x14ac:dyDescent="0.25">
      <c r="A633">
        <v>271</v>
      </c>
      <c r="B633" s="52">
        <v>44778</v>
      </c>
      <c r="C633" s="18">
        <v>0.56354166666666672</v>
      </c>
      <c r="D633">
        <v>240390</v>
      </c>
      <c r="E633" t="s">
        <v>736</v>
      </c>
      <c r="F633" t="s">
        <v>749</v>
      </c>
      <c r="G633">
        <v>1</v>
      </c>
      <c r="H633" t="s">
        <v>754</v>
      </c>
    </row>
    <row r="634" spans="1:8" x14ac:dyDescent="0.25">
      <c r="A634">
        <v>271</v>
      </c>
      <c r="B634" s="52">
        <v>44778</v>
      </c>
      <c r="C634" s="18">
        <v>0.59652777777777777</v>
      </c>
      <c r="D634">
        <v>240429</v>
      </c>
      <c r="E634" t="s">
        <v>736</v>
      </c>
      <c r="F634" t="s">
        <v>749</v>
      </c>
      <c r="G634">
        <v>1</v>
      </c>
      <c r="H634" t="s">
        <v>754</v>
      </c>
    </row>
    <row r="635" spans="1:8" x14ac:dyDescent="0.25">
      <c r="A635">
        <v>271</v>
      </c>
      <c r="B635" s="52">
        <v>44778</v>
      </c>
      <c r="C635" s="18">
        <v>0.66527777777777775</v>
      </c>
      <c r="D635">
        <v>240486</v>
      </c>
      <c r="E635" t="s">
        <v>715</v>
      </c>
      <c r="F635" t="s">
        <v>749</v>
      </c>
      <c r="G635">
        <v>1</v>
      </c>
      <c r="H635" t="s">
        <v>754</v>
      </c>
    </row>
    <row r="636" spans="1:8" x14ac:dyDescent="0.25">
      <c r="A636">
        <v>271</v>
      </c>
      <c r="B636" s="52">
        <v>44778</v>
      </c>
      <c r="C636" s="18">
        <v>0.67914351851851851</v>
      </c>
      <c r="D636">
        <v>240499</v>
      </c>
      <c r="E636" t="s">
        <v>715</v>
      </c>
      <c r="F636" t="s">
        <v>749</v>
      </c>
      <c r="G636">
        <v>1</v>
      </c>
      <c r="H636" t="s">
        <v>754</v>
      </c>
    </row>
    <row r="637" spans="1:8" x14ac:dyDescent="0.25">
      <c r="A637">
        <v>271</v>
      </c>
      <c r="B637" s="52">
        <v>44778</v>
      </c>
      <c r="C637" s="18">
        <v>0.78915509259259264</v>
      </c>
      <c r="D637">
        <v>240569</v>
      </c>
      <c r="E637" t="s">
        <v>722</v>
      </c>
      <c r="F637" t="s">
        <v>749</v>
      </c>
      <c r="G637">
        <v>1</v>
      </c>
      <c r="H637" t="s">
        <v>754</v>
      </c>
    </row>
    <row r="638" spans="1:8" x14ac:dyDescent="0.25">
      <c r="A638">
        <v>321</v>
      </c>
      <c r="B638" s="52">
        <v>44774</v>
      </c>
      <c r="C638" s="18">
        <v>0.34052083333333333</v>
      </c>
      <c r="D638">
        <v>511988</v>
      </c>
      <c r="E638" t="s">
        <v>738</v>
      </c>
      <c r="F638" t="s">
        <v>749</v>
      </c>
      <c r="G638">
        <v>1</v>
      </c>
      <c r="H638" t="s">
        <v>754</v>
      </c>
    </row>
    <row r="639" spans="1:8" x14ac:dyDescent="0.25">
      <c r="A639">
        <v>321</v>
      </c>
      <c r="B639" s="52">
        <v>44774</v>
      </c>
      <c r="C639" s="18">
        <v>0.75291666666666668</v>
      </c>
      <c r="D639">
        <v>512179</v>
      </c>
      <c r="E639" t="s">
        <v>738</v>
      </c>
      <c r="F639" t="s">
        <v>749</v>
      </c>
      <c r="G639">
        <v>1</v>
      </c>
      <c r="H639" t="s">
        <v>754</v>
      </c>
    </row>
    <row r="640" spans="1:8" x14ac:dyDescent="0.25">
      <c r="A640">
        <v>321</v>
      </c>
      <c r="B640" s="52">
        <v>44776</v>
      </c>
      <c r="C640" s="18">
        <v>0.54818287037037039</v>
      </c>
      <c r="D640">
        <v>512806</v>
      </c>
      <c r="E640" t="s">
        <v>738</v>
      </c>
      <c r="F640" t="s">
        <v>749</v>
      </c>
      <c r="G640">
        <v>1</v>
      </c>
      <c r="H640" t="s">
        <v>754</v>
      </c>
    </row>
    <row r="641" spans="1:8" x14ac:dyDescent="0.25">
      <c r="A641">
        <v>321</v>
      </c>
      <c r="B641" s="52">
        <v>44776</v>
      </c>
      <c r="C641" s="18">
        <v>0.61619212962962966</v>
      </c>
      <c r="D641">
        <v>512828</v>
      </c>
      <c r="E641" t="s">
        <v>738</v>
      </c>
      <c r="F641" t="s">
        <v>749</v>
      </c>
      <c r="G641">
        <v>1</v>
      </c>
      <c r="H641" t="s">
        <v>754</v>
      </c>
    </row>
    <row r="642" spans="1:8" x14ac:dyDescent="0.25">
      <c r="A642">
        <v>321</v>
      </c>
      <c r="B642" s="52">
        <v>44776</v>
      </c>
      <c r="C642" s="18">
        <v>0.79886574074074079</v>
      </c>
      <c r="D642">
        <v>512920</v>
      </c>
      <c r="E642" t="s">
        <v>739</v>
      </c>
      <c r="F642" t="s">
        <v>749</v>
      </c>
      <c r="G642">
        <v>1</v>
      </c>
      <c r="H642" t="s">
        <v>754</v>
      </c>
    </row>
    <row r="643" spans="1:8" x14ac:dyDescent="0.25">
      <c r="A643">
        <v>321</v>
      </c>
      <c r="B643" s="52">
        <v>44776</v>
      </c>
      <c r="C643" s="18">
        <v>0.80004629629629631</v>
      </c>
      <c r="D643">
        <v>512921</v>
      </c>
      <c r="E643" t="s">
        <v>739</v>
      </c>
      <c r="F643" t="s">
        <v>749</v>
      </c>
      <c r="G643">
        <v>1</v>
      </c>
      <c r="H643" t="s">
        <v>754</v>
      </c>
    </row>
    <row r="644" spans="1:8" x14ac:dyDescent="0.25">
      <c r="A644">
        <v>321</v>
      </c>
      <c r="B644" s="52">
        <v>44778</v>
      </c>
      <c r="C644" s="18">
        <v>0.3221296296296296</v>
      </c>
      <c r="D644">
        <v>513465</v>
      </c>
      <c r="E644" t="s">
        <v>738</v>
      </c>
      <c r="F644" t="s">
        <v>749</v>
      </c>
      <c r="G644">
        <v>1</v>
      </c>
      <c r="H644" t="s">
        <v>754</v>
      </c>
    </row>
    <row r="645" spans="1:8" x14ac:dyDescent="0.25">
      <c r="A645">
        <v>321</v>
      </c>
      <c r="B645" s="52">
        <v>44778</v>
      </c>
      <c r="C645" s="18">
        <v>0.37878472222222226</v>
      </c>
      <c r="D645">
        <v>513490</v>
      </c>
      <c r="E645" t="s">
        <v>738</v>
      </c>
      <c r="F645" t="s">
        <v>749</v>
      </c>
      <c r="G645">
        <v>1</v>
      </c>
      <c r="H645" t="s">
        <v>754</v>
      </c>
    </row>
    <row r="646" spans="1:8" x14ac:dyDescent="0.25">
      <c r="A646">
        <v>321</v>
      </c>
      <c r="B646" s="52">
        <v>44778</v>
      </c>
      <c r="C646" s="18">
        <v>0.38313657407407403</v>
      </c>
      <c r="D646">
        <v>513493</v>
      </c>
      <c r="E646" t="s">
        <v>738</v>
      </c>
      <c r="F646" t="s">
        <v>749</v>
      </c>
      <c r="G646">
        <v>1</v>
      </c>
      <c r="H646" t="s">
        <v>754</v>
      </c>
    </row>
    <row r="647" spans="1:8" x14ac:dyDescent="0.25">
      <c r="A647">
        <v>321</v>
      </c>
      <c r="B647" s="52">
        <v>44778</v>
      </c>
      <c r="C647" s="18">
        <v>0.47335648148148146</v>
      </c>
      <c r="D647">
        <v>513539</v>
      </c>
      <c r="E647" t="s">
        <v>738</v>
      </c>
      <c r="F647" t="s">
        <v>749</v>
      </c>
      <c r="G647">
        <v>1</v>
      </c>
      <c r="H647" t="s">
        <v>754</v>
      </c>
    </row>
    <row r="648" spans="1:8" x14ac:dyDescent="0.25">
      <c r="A648">
        <v>321</v>
      </c>
      <c r="B648" s="52">
        <v>44778</v>
      </c>
      <c r="C648" s="18">
        <v>0.4858912037037037</v>
      </c>
      <c r="D648">
        <v>513544</v>
      </c>
      <c r="E648" t="s">
        <v>738</v>
      </c>
      <c r="F648" t="s">
        <v>749</v>
      </c>
      <c r="G648">
        <v>1</v>
      </c>
      <c r="H648" t="s">
        <v>754</v>
      </c>
    </row>
    <row r="649" spans="1:8" x14ac:dyDescent="0.25">
      <c r="A649">
        <v>321</v>
      </c>
      <c r="B649" s="52">
        <v>44778</v>
      </c>
      <c r="C649" s="18">
        <v>0.728449074074074</v>
      </c>
      <c r="D649">
        <v>513640</v>
      </c>
      <c r="E649" t="s">
        <v>738</v>
      </c>
      <c r="F649" t="s">
        <v>749</v>
      </c>
      <c r="G649">
        <v>1</v>
      </c>
      <c r="H649" t="s">
        <v>754</v>
      </c>
    </row>
    <row r="650" spans="1:8" x14ac:dyDescent="0.25">
      <c r="A650">
        <v>351</v>
      </c>
      <c r="B650" s="52">
        <v>44775</v>
      </c>
      <c r="C650" s="18">
        <v>0.75020833333333325</v>
      </c>
      <c r="D650">
        <v>471220</v>
      </c>
      <c r="E650" t="s">
        <v>740</v>
      </c>
      <c r="F650" t="s">
        <v>749</v>
      </c>
      <c r="G650">
        <v>1</v>
      </c>
    </row>
    <row r="651" spans="1:8" x14ac:dyDescent="0.25">
      <c r="A651">
        <v>351</v>
      </c>
      <c r="B651" s="52">
        <v>44778</v>
      </c>
      <c r="C651" s="18">
        <v>0.33537037037037037</v>
      </c>
      <c r="D651">
        <v>472085</v>
      </c>
      <c r="E651" t="s">
        <v>1636</v>
      </c>
      <c r="F651" t="s">
        <v>749</v>
      </c>
      <c r="G651">
        <v>1</v>
      </c>
      <c r="H651" t="s">
        <v>754</v>
      </c>
    </row>
    <row r="652" spans="1:8" x14ac:dyDescent="0.25">
      <c r="A652">
        <v>351</v>
      </c>
      <c r="B652" s="52">
        <v>44778</v>
      </c>
      <c r="C652" s="18">
        <v>0.33667824074074071</v>
      </c>
      <c r="D652">
        <v>472086</v>
      </c>
      <c r="E652" t="s">
        <v>1636</v>
      </c>
      <c r="F652" t="s">
        <v>749</v>
      </c>
      <c r="G652">
        <v>1</v>
      </c>
      <c r="H652" t="s">
        <v>754</v>
      </c>
    </row>
    <row r="653" spans="1:8" x14ac:dyDescent="0.25">
      <c r="A653">
        <v>361</v>
      </c>
      <c r="B653" s="52">
        <v>44776</v>
      </c>
      <c r="C653" s="18">
        <v>0.82696759259259256</v>
      </c>
      <c r="D653">
        <v>352072</v>
      </c>
      <c r="E653" t="s">
        <v>722</v>
      </c>
      <c r="F653" t="s">
        <v>749</v>
      </c>
      <c r="G653">
        <v>1</v>
      </c>
      <c r="H653" t="s">
        <v>754</v>
      </c>
    </row>
    <row r="654" spans="1:8" x14ac:dyDescent="0.25">
      <c r="A654">
        <v>361</v>
      </c>
      <c r="B654" s="52">
        <v>44777</v>
      </c>
      <c r="C654" s="18">
        <v>0.52847222222222223</v>
      </c>
      <c r="D654">
        <v>352265</v>
      </c>
      <c r="E654" t="s">
        <v>741</v>
      </c>
      <c r="F654" t="s">
        <v>749</v>
      </c>
      <c r="G654">
        <v>1</v>
      </c>
      <c r="H654" t="s">
        <v>754</v>
      </c>
    </row>
    <row r="655" spans="1:8" x14ac:dyDescent="0.25">
      <c r="A655">
        <v>361</v>
      </c>
      <c r="B655" s="52">
        <v>44777</v>
      </c>
      <c r="C655" s="18">
        <v>0.92265046296296294</v>
      </c>
      <c r="D655">
        <v>352465</v>
      </c>
      <c r="E655" t="s">
        <v>722</v>
      </c>
      <c r="F655" t="s">
        <v>749</v>
      </c>
      <c r="G655">
        <v>1</v>
      </c>
      <c r="H655" t="s">
        <v>754</v>
      </c>
    </row>
    <row r="656" spans="1:8" x14ac:dyDescent="0.25">
      <c r="A656">
        <v>361</v>
      </c>
      <c r="B656" s="52">
        <v>44778</v>
      </c>
      <c r="C656" s="18">
        <v>4.7280092592592589E-2</v>
      </c>
      <c r="D656">
        <v>352517</v>
      </c>
      <c r="E656" t="s">
        <v>722</v>
      </c>
      <c r="F656" t="s">
        <v>749</v>
      </c>
      <c r="G656">
        <v>1</v>
      </c>
      <c r="H656" t="s">
        <v>754</v>
      </c>
    </row>
    <row r="657" spans="1:8" x14ac:dyDescent="0.25">
      <c r="A657">
        <v>361</v>
      </c>
      <c r="B657" s="52">
        <v>44778</v>
      </c>
      <c r="C657" s="18">
        <v>0.26097222222222222</v>
      </c>
      <c r="D657">
        <v>352538</v>
      </c>
      <c r="E657" t="s">
        <v>722</v>
      </c>
      <c r="F657" t="s">
        <v>749</v>
      </c>
      <c r="G657">
        <v>1</v>
      </c>
      <c r="H657" t="s">
        <v>754</v>
      </c>
    </row>
    <row r="658" spans="1:8" x14ac:dyDescent="0.25">
      <c r="A658">
        <v>361</v>
      </c>
      <c r="B658" s="52">
        <v>44778</v>
      </c>
      <c r="C658" s="18">
        <v>0.34628472222222223</v>
      </c>
      <c r="D658">
        <v>352555</v>
      </c>
      <c r="E658" t="s">
        <v>741</v>
      </c>
      <c r="F658" t="s">
        <v>749</v>
      </c>
      <c r="G658">
        <v>1</v>
      </c>
      <c r="H658" t="s">
        <v>754</v>
      </c>
    </row>
    <row r="659" spans="1:8" x14ac:dyDescent="0.25">
      <c r="A659">
        <v>361</v>
      </c>
      <c r="B659" s="52">
        <v>44778</v>
      </c>
      <c r="C659" s="18">
        <v>0.3696875</v>
      </c>
      <c r="D659">
        <v>352560</v>
      </c>
      <c r="E659" t="s">
        <v>741</v>
      </c>
      <c r="F659" t="s">
        <v>749</v>
      </c>
      <c r="G659">
        <v>1</v>
      </c>
      <c r="H659" t="s">
        <v>754</v>
      </c>
    </row>
    <row r="660" spans="1:8" x14ac:dyDescent="0.25">
      <c r="A660">
        <v>361</v>
      </c>
      <c r="B660" s="52">
        <v>44778</v>
      </c>
      <c r="C660" s="18">
        <v>0.37391203703703701</v>
      </c>
      <c r="D660">
        <v>352562</v>
      </c>
      <c r="E660" t="s">
        <v>741</v>
      </c>
      <c r="F660" t="s">
        <v>749</v>
      </c>
      <c r="G660">
        <v>1</v>
      </c>
      <c r="H660" t="s">
        <v>754</v>
      </c>
    </row>
    <row r="661" spans="1:8" x14ac:dyDescent="0.25">
      <c r="A661">
        <v>361</v>
      </c>
      <c r="B661" s="52">
        <v>44778</v>
      </c>
      <c r="C661" s="18">
        <v>0.38855324074074077</v>
      </c>
      <c r="D661">
        <v>352566</v>
      </c>
      <c r="E661" t="s">
        <v>741</v>
      </c>
      <c r="F661" t="s">
        <v>749</v>
      </c>
      <c r="G661">
        <v>1</v>
      </c>
      <c r="H661" t="s">
        <v>754</v>
      </c>
    </row>
    <row r="662" spans="1:8" x14ac:dyDescent="0.25">
      <c r="A662">
        <v>361</v>
      </c>
      <c r="B662" s="52">
        <v>44778</v>
      </c>
      <c r="C662" s="18">
        <v>0.41696759259259258</v>
      </c>
      <c r="D662">
        <v>352575</v>
      </c>
      <c r="E662" t="s">
        <v>741</v>
      </c>
      <c r="F662" t="s">
        <v>749</v>
      </c>
      <c r="G662">
        <v>1</v>
      </c>
      <c r="H662" t="s">
        <v>754</v>
      </c>
    </row>
    <row r="663" spans="1:8" x14ac:dyDescent="0.25">
      <c r="A663">
        <v>361</v>
      </c>
      <c r="B663" s="52">
        <v>44778</v>
      </c>
      <c r="C663" s="18">
        <v>0.50197916666666664</v>
      </c>
      <c r="D663">
        <v>352610</v>
      </c>
      <c r="E663" t="s">
        <v>741</v>
      </c>
      <c r="F663" t="s">
        <v>749</v>
      </c>
      <c r="G663">
        <v>1</v>
      </c>
      <c r="H663" t="s">
        <v>754</v>
      </c>
    </row>
    <row r="664" spans="1:8" x14ac:dyDescent="0.25">
      <c r="A664">
        <v>361</v>
      </c>
      <c r="B664" s="52">
        <v>44778</v>
      </c>
      <c r="C664" s="18">
        <v>0.50418981481481484</v>
      </c>
      <c r="D664">
        <v>352612</v>
      </c>
      <c r="E664" t="s">
        <v>741</v>
      </c>
      <c r="F664" t="s">
        <v>749</v>
      </c>
      <c r="G664">
        <v>1</v>
      </c>
      <c r="H664" t="s">
        <v>754</v>
      </c>
    </row>
    <row r="665" spans="1:8" x14ac:dyDescent="0.25">
      <c r="A665">
        <v>361</v>
      </c>
      <c r="B665" s="52">
        <v>44778</v>
      </c>
      <c r="C665" s="18">
        <v>0.80354166666666671</v>
      </c>
      <c r="D665">
        <v>352695</v>
      </c>
      <c r="E665" t="s">
        <v>741</v>
      </c>
      <c r="F665" t="s">
        <v>749</v>
      </c>
      <c r="G665">
        <v>1</v>
      </c>
      <c r="H665" t="s">
        <v>754</v>
      </c>
    </row>
    <row r="666" spans="1:8" x14ac:dyDescent="0.25">
      <c r="A666">
        <v>391</v>
      </c>
      <c r="B666" s="52">
        <v>44777</v>
      </c>
      <c r="C666" s="18">
        <v>0.82988425925925924</v>
      </c>
      <c r="D666">
        <v>122401</v>
      </c>
      <c r="E666" t="s">
        <v>722</v>
      </c>
      <c r="F666" t="s">
        <v>749</v>
      </c>
      <c r="G666">
        <v>1</v>
      </c>
      <c r="H666" t="s">
        <v>754</v>
      </c>
    </row>
    <row r="667" spans="1:8" x14ac:dyDescent="0.25">
      <c r="A667">
        <v>391</v>
      </c>
      <c r="B667" s="52">
        <v>44777</v>
      </c>
      <c r="C667" s="18">
        <v>0.82988425925925924</v>
      </c>
      <c r="D667">
        <v>122401</v>
      </c>
      <c r="E667" t="s">
        <v>722</v>
      </c>
      <c r="F667" t="s">
        <v>749</v>
      </c>
      <c r="G667">
        <v>1</v>
      </c>
      <c r="H667" t="s">
        <v>754</v>
      </c>
    </row>
    <row r="668" spans="1:8" x14ac:dyDescent="0.25">
      <c r="A668">
        <v>391</v>
      </c>
      <c r="B668" s="52">
        <v>44778</v>
      </c>
      <c r="C668" s="18">
        <v>0.26592592592592595</v>
      </c>
      <c r="D668">
        <v>122434</v>
      </c>
      <c r="E668" t="s">
        <v>1637</v>
      </c>
      <c r="F668" t="s">
        <v>749</v>
      </c>
      <c r="G668">
        <v>1</v>
      </c>
      <c r="H668" t="s">
        <v>754</v>
      </c>
    </row>
    <row r="669" spans="1:8" x14ac:dyDescent="0.25">
      <c r="A669">
        <v>391</v>
      </c>
      <c r="B669" s="52">
        <v>44778</v>
      </c>
      <c r="C669" s="18">
        <v>0.310462962962963</v>
      </c>
      <c r="D669">
        <v>122440</v>
      </c>
      <c r="E669" t="s">
        <v>1637</v>
      </c>
      <c r="F669" t="s">
        <v>749</v>
      </c>
      <c r="G669">
        <v>1</v>
      </c>
      <c r="H669" t="s">
        <v>754</v>
      </c>
    </row>
    <row r="670" spans="1:8" x14ac:dyDescent="0.25">
      <c r="A670">
        <v>391</v>
      </c>
      <c r="B670" s="52">
        <v>44778</v>
      </c>
      <c r="C670" s="18">
        <v>0.35212962962962963</v>
      </c>
      <c r="D670">
        <v>122442</v>
      </c>
      <c r="E670" t="s">
        <v>1637</v>
      </c>
      <c r="F670" t="s">
        <v>749</v>
      </c>
      <c r="G670">
        <v>1</v>
      </c>
      <c r="H670" t="s">
        <v>754</v>
      </c>
    </row>
    <row r="671" spans="1:8" x14ac:dyDescent="0.25">
      <c r="A671">
        <v>391</v>
      </c>
      <c r="B671" s="52">
        <v>44778</v>
      </c>
      <c r="C671" s="18">
        <v>0.36005787037037035</v>
      </c>
      <c r="D671">
        <v>122444</v>
      </c>
      <c r="E671" t="s">
        <v>1637</v>
      </c>
      <c r="F671" t="s">
        <v>749</v>
      </c>
      <c r="G671">
        <v>1</v>
      </c>
      <c r="H671" t="s">
        <v>754</v>
      </c>
    </row>
    <row r="672" spans="1:8" x14ac:dyDescent="0.25">
      <c r="A672">
        <v>401</v>
      </c>
      <c r="B672" s="52">
        <v>44775</v>
      </c>
      <c r="C672" s="18">
        <v>0.74821759259259257</v>
      </c>
      <c r="D672">
        <v>44121</v>
      </c>
      <c r="E672" t="s">
        <v>742</v>
      </c>
      <c r="F672" t="s">
        <v>749</v>
      </c>
      <c r="G672">
        <v>4</v>
      </c>
    </row>
    <row r="673" spans="1:8" x14ac:dyDescent="0.25">
      <c r="A673">
        <v>401</v>
      </c>
      <c r="B673" s="52">
        <v>44777</v>
      </c>
      <c r="C673" s="18">
        <v>0.39524305555555556</v>
      </c>
      <c r="D673">
        <v>44564</v>
      </c>
      <c r="E673" t="s">
        <v>742</v>
      </c>
      <c r="F673" t="s">
        <v>749</v>
      </c>
      <c r="G673">
        <v>1</v>
      </c>
      <c r="H673" t="s">
        <v>754</v>
      </c>
    </row>
    <row r="674" spans="1:8" x14ac:dyDescent="0.25">
      <c r="A674">
        <v>401</v>
      </c>
      <c r="B674" s="52">
        <v>44777</v>
      </c>
      <c r="C674" s="18">
        <v>0.83163194444444455</v>
      </c>
      <c r="D674">
        <v>44746</v>
      </c>
      <c r="E674" t="s">
        <v>901</v>
      </c>
      <c r="F674" t="s">
        <v>749</v>
      </c>
      <c r="G674">
        <v>1</v>
      </c>
      <c r="H674" t="s">
        <v>754</v>
      </c>
    </row>
    <row r="675" spans="1:8" x14ac:dyDescent="0.25">
      <c r="A675">
        <v>401</v>
      </c>
      <c r="B675" s="52">
        <v>44777</v>
      </c>
      <c r="C675" s="18">
        <v>0.90768518518518526</v>
      </c>
      <c r="D675">
        <v>44781</v>
      </c>
      <c r="E675" t="s">
        <v>722</v>
      </c>
      <c r="F675" t="s">
        <v>749</v>
      </c>
      <c r="G675">
        <v>1</v>
      </c>
      <c r="H675" t="s">
        <v>754</v>
      </c>
    </row>
    <row r="676" spans="1:8" x14ac:dyDescent="0.25">
      <c r="A676">
        <v>401</v>
      </c>
      <c r="B676" s="52">
        <v>44777</v>
      </c>
      <c r="C676" s="18">
        <v>0.94592592592592595</v>
      </c>
      <c r="D676">
        <v>44803</v>
      </c>
      <c r="E676" t="s">
        <v>722</v>
      </c>
      <c r="F676" t="s">
        <v>749</v>
      </c>
      <c r="G676">
        <v>1</v>
      </c>
      <c r="H676" t="s">
        <v>754</v>
      </c>
    </row>
    <row r="677" spans="1:8" x14ac:dyDescent="0.25">
      <c r="A677">
        <v>401</v>
      </c>
      <c r="B677" s="52">
        <v>44777</v>
      </c>
      <c r="C677" s="18">
        <v>0.94906250000000003</v>
      </c>
      <c r="D677">
        <v>44805</v>
      </c>
      <c r="E677" t="s">
        <v>722</v>
      </c>
      <c r="F677" t="s">
        <v>749</v>
      </c>
      <c r="G677">
        <v>1</v>
      </c>
      <c r="H677" t="s">
        <v>754</v>
      </c>
    </row>
    <row r="678" spans="1:8" x14ac:dyDescent="0.25">
      <c r="A678">
        <v>401</v>
      </c>
      <c r="B678" s="52">
        <v>44778</v>
      </c>
      <c r="C678" s="18">
        <v>8.0787037037037043E-3</v>
      </c>
      <c r="D678">
        <v>44820</v>
      </c>
      <c r="E678" t="s">
        <v>722</v>
      </c>
      <c r="F678" t="s">
        <v>749</v>
      </c>
      <c r="G678">
        <v>1</v>
      </c>
      <c r="H678" t="s">
        <v>754</v>
      </c>
    </row>
    <row r="679" spans="1:8" x14ac:dyDescent="0.25">
      <c r="A679">
        <v>401</v>
      </c>
      <c r="B679" s="52">
        <v>44778</v>
      </c>
      <c r="C679" s="18">
        <v>1.0034722222222221E-2</v>
      </c>
      <c r="D679">
        <v>44821</v>
      </c>
      <c r="E679" t="s">
        <v>722</v>
      </c>
      <c r="F679" t="s">
        <v>749</v>
      </c>
      <c r="G679">
        <v>1</v>
      </c>
      <c r="H679" t="s">
        <v>754</v>
      </c>
    </row>
    <row r="680" spans="1:8" x14ac:dyDescent="0.25">
      <c r="A680">
        <v>401</v>
      </c>
      <c r="B680" s="52">
        <v>44778</v>
      </c>
      <c r="C680" s="18">
        <v>6.0162037037037042E-2</v>
      </c>
      <c r="D680">
        <v>44832</v>
      </c>
      <c r="E680" t="s">
        <v>722</v>
      </c>
      <c r="F680" t="s">
        <v>749</v>
      </c>
      <c r="G680">
        <v>1</v>
      </c>
      <c r="H680" t="s">
        <v>754</v>
      </c>
    </row>
    <row r="681" spans="1:8" x14ac:dyDescent="0.25">
      <c r="A681">
        <v>401</v>
      </c>
      <c r="B681" s="52">
        <v>44778</v>
      </c>
      <c r="C681" s="18">
        <v>0.32296296296296295</v>
      </c>
      <c r="D681">
        <v>44855</v>
      </c>
      <c r="E681" t="s">
        <v>742</v>
      </c>
      <c r="F681" t="s">
        <v>749</v>
      </c>
      <c r="G681">
        <v>1</v>
      </c>
      <c r="H681" t="s">
        <v>754</v>
      </c>
    </row>
    <row r="682" spans="1:8" x14ac:dyDescent="0.25">
      <c r="A682">
        <v>401</v>
      </c>
      <c r="B682" s="52">
        <v>44778</v>
      </c>
      <c r="C682" s="18">
        <v>0.35728009259259258</v>
      </c>
      <c r="D682">
        <v>44865</v>
      </c>
      <c r="E682" t="s">
        <v>742</v>
      </c>
      <c r="F682" t="s">
        <v>749</v>
      </c>
      <c r="G682">
        <v>1</v>
      </c>
      <c r="H682" t="s">
        <v>754</v>
      </c>
    </row>
    <row r="683" spans="1:8" x14ac:dyDescent="0.25">
      <c r="A683">
        <v>401</v>
      </c>
      <c r="B683" s="52">
        <v>44778</v>
      </c>
      <c r="C683" s="18">
        <v>0.36937500000000001</v>
      </c>
      <c r="D683">
        <v>44871</v>
      </c>
      <c r="E683" t="s">
        <v>742</v>
      </c>
      <c r="F683" t="s">
        <v>749</v>
      </c>
      <c r="G683">
        <v>1</v>
      </c>
      <c r="H683" t="s">
        <v>754</v>
      </c>
    </row>
    <row r="684" spans="1:8" x14ac:dyDescent="0.25">
      <c r="A684">
        <v>401</v>
      </c>
      <c r="B684" s="52">
        <v>44778</v>
      </c>
      <c r="C684" s="18">
        <v>0.46252314814814816</v>
      </c>
      <c r="D684">
        <v>44898</v>
      </c>
      <c r="E684" t="s">
        <v>742</v>
      </c>
      <c r="F684" t="s">
        <v>749</v>
      </c>
      <c r="G684">
        <v>1</v>
      </c>
      <c r="H684" t="s">
        <v>754</v>
      </c>
    </row>
    <row r="685" spans="1:8" x14ac:dyDescent="0.25">
      <c r="A685">
        <v>401</v>
      </c>
      <c r="B685" s="52">
        <v>44778</v>
      </c>
      <c r="C685" s="18">
        <v>0.46936342592592589</v>
      </c>
      <c r="D685">
        <v>44901</v>
      </c>
      <c r="E685" t="s">
        <v>742</v>
      </c>
      <c r="F685" t="s">
        <v>749</v>
      </c>
      <c r="G685">
        <v>1</v>
      </c>
      <c r="H685" t="s">
        <v>754</v>
      </c>
    </row>
    <row r="686" spans="1:8" x14ac:dyDescent="0.25">
      <c r="A686">
        <v>401</v>
      </c>
      <c r="B686" s="52">
        <v>44778</v>
      </c>
      <c r="C686" s="18">
        <v>0.73990740740740746</v>
      </c>
      <c r="D686">
        <v>45014</v>
      </c>
      <c r="E686" t="s">
        <v>901</v>
      </c>
      <c r="F686" t="s">
        <v>749</v>
      </c>
      <c r="G686">
        <v>1</v>
      </c>
      <c r="H686" t="s">
        <v>754</v>
      </c>
    </row>
    <row r="687" spans="1:8" x14ac:dyDescent="0.25">
      <c r="A687">
        <v>401</v>
      </c>
      <c r="B687" s="52">
        <v>44778</v>
      </c>
      <c r="C687" s="18">
        <v>0.80437499999999995</v>
      </c>
      <c r="D687">
        <v>45047</v>
      </c>
      <c r="E687" t="s">
        <v>743</v>
      </c>
      <c r="F687" t="s">
        <v>749</v>
      </c>
      <c r="G687">
        <v>1</v>
      </c>
      <c r="H687" t="s">
        <v>754</v>
      </c>
    </row>
  </sheetData>
  <sortState xmlns:xlrd2="http://schemas.microsoft.com/office/spreadsheetml/2017/richdata2" ref="A3:G688">
    <sortCondition ref="A3:A688"/>
    <sortCondition ref="B3:B688"/>
    <sortCondition ref="C3:C688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8A326-D1BC-4076-BC7E-7A5201F7331D}">
  <sheetPr>
    <pageSetUpPr fitToPage="1"/>
  </sheetPr>
  <dimension ref="A1:I787"/>
  <sheetViews>
    <sheetView workbookViewId="0">
      <selection sqref="A1:I1"/>
    </sheetView>
    <sheetView workbookViewId="1">
      <selection sqref="A1:I1"/>
    </sheetView>
  </sheetViews>
  <sheetFormatPr baseColWidth="10" defaultRowHeight="15" x14ac:dyDescent="0.25"/>
  <cols>
    <col min="1" max="1" width="1.5703125" bestFit="1" customWidth="1"/>
    <col min="2" max="2" width="9" style="52" bestFit="1" customWidth="1"/>
    <col min="3" max="3" width="11.28515625" style="20" bestFit="1" customWidth="1"/>
    <col min="4" max="4" width="17.7109375" style="34" customWidth="1"/>
    <col min="5" max="5" width="17.85546875" style="34" bestFit="1" customWidth="1"/>
    <col min="6" max="6" width="27.140625" bestFit="1" customWidth="1"/>
    <col min="7" max="7" width="8.140625" bestFit="1" customWidth="1"/>
    <col min="8" max="9" width="11.5703125" bestFit="1" customWidth="1"/>
  </cols>
  <sheetData>
    <row r="1" spans="1:9" x14ac:dyDescent="0.25">
      <c r="A1" s="65">
        <v>44783</v>
      </c>
      <c r="B1" s="66"/>
      <c r="C1" s="66"/>
      <c r="D1" s="66"/>
      <c r="E1" s="66"/>
      <c r="F1" s="66"/>
      <c r="G1" s="66"/>
      <c r="H1" s="66"/>
      <c r="I1" s="67"/>
    </row>
    <row r="2" spans="1:9" x14ac:dyDescent="0.25">
      <c r="A2" s="22"/>
      <c r="B2" s="23" t="s">
        <v>19</v>
      </c>
      <c r="C2" s="24" t="s">
        <v>745</v>
      </c>
      <c r="D2" s="32" t="s">
        <v>746</v>
      </c>
      <c r="E2" s="32" t="s">
        <v>747</v>
      </c>
      <c r="F2" s="22" t="s">
        <v>748</v>
      </c>
      <c r="G2" s="22" t="s">
        <v>691</v>
      </c>
      <c r="H2" s="22"/>
      <c r="I2" s="22"/>
    </row>
    <row r="3" spans="1:9" x14ac:dyDescent="0.25">
      <c r="A3" s="54" t="s">
        <v>833</v>
      </c>
      <c r="B3" s="53" t="s">
        <v>1268</v>
      </c>
      <c r="C3" s="55"/>
      <c r="D3" s="55"/>
      <c r="E3" s="55"/>
      <c r="F3" s="55"/>
      <c r="G3" s="25"/>
      <c r="H3" s="22"/>
      <c r="I3" s="22"/>
    </row>
    <row r="4" spans="1:9" x14ac:dyDescent="0.25">
      <c r="A4" s="54"/>
      <c r="B4" s="27">
        <v>44774</v>
      </c>
      <c r="C4" s="28">
        <v>1.5243055555555557E-2</v>
      </c>
      <c r="D4" s="33" t="s">
        <v>722</v>
      </c>
      <c r="E4" s="33" t="s">
        <v>709</v>
      </c>
      <c r="F4" s="30" t="s">
        <v>1609</v>
      </c>
      <c r="G4" s="29">
        <v>-44.5</v>
      </c>
      <c r="H4" s="22"/>
      <c r="I4" s="22"/>
    </row>
    <row r="5" spans="1:9" x14ac:dyDescent="0.25">
      <c r="A5" s="54"/>
      <c r="B5" s="23">
        <v>44774</v>
      </c>
      <c r="C5" s="24">
        <v>0.51219907407407406</v>
      </c>
      <c r="D5" s="32" t="s">
        <v>703</v>
      </c>
      <c r="E5" s="32" t="s">
        <v>709</v>
      </c>
      <c r="F5" s="26" t="s">
        <v>1525</v>
      </c>
      <c r="G5" s="22">
        <v>-54.5</v>
      </c>
      <c r="H5" s="22"/>
      <c r="I5" s="22"/>
    </row>
    <row r="6" spans="1:9" x14ac:dyDescent="0.25">
      <c r="A6" s="54"/>
      <c r="B6" s="23">
        <v>44774</v>
      </c>
      <c r="C6" s="24">
        <v>0.51396990740740744</v>
      </c>
      <c r="D6" s="32" t="s">
        <v>703</v>
      </c>
      <c r="E6" s="32" t="s">
        <v>709</v>
      </c>
      <c r="F6" s="26" t="s">
        <v>1527</v>
      </c>
      <c r="G6" s="22">
        <v>-138.5</v>
      </c>
      <c r="H6" s="22"/>
      <c r="I6" s="22"/>
    </row>
    <row r="7" spans="1:9" x14ac:dyDescent="0.25">
      <c r="A7" s="54"/>
      <c r="B7" s="23">
        <v>44774</v>
      </c>
      <c r="C7" s="24">
        <v>0.51563657407407404</v>
      </c>
      <c r="D7" s="32" t="s">
        <v>703</v>
      </c>
      <c r="E7" s="32" t="s">
        <v>709</v>
      </c>
      <c r="F7" s="26" t="s">
        <v>1529</v>
      </c>
      <c r="G7" s="22">
        <v>-698.5</v>
      </c>
      <c r="H7" s="22"/>
      <c r="I7" s="22"/>
    </row>
    <row r="8" spans="1:9" x14ac:dyDescent="0.25">
      <c r="A8" s="54"/>
      <c r="B8" s="23">
        <v>44776</v>
      </c>
      <c r="C8" s="24">
        <v>0.53665509259259259</v>
      </c>
      <c r="D8" s="32" t="s">
        <v>703</v>
      </c>
      <c r="E8" s="32" t="s">
        <v>709</v>
      </c>
      <c r="F8" s="26" t="s">
        <v>1344</v>
      </c>
      <c r="G8" s="22">
        <v>-178.5</v>
      </c>
      <c r="H8" s="22"/>
      <c r="I8" s="22"/>
    </row>
    <row r="9" spans="1:9" x14ac:dyDescent="0.25">
      <c r="A9" s="54"/>
      <c r="B9" s="23">
        <v>44776</v>
      </c>
      <c r="C9" s="24">
        <v>0.64034722222222229</v>
      </c>
      <c r="D9" s="32" t="s">
        <v>703</v>
      </c>
      <c r="E9" s="32" t="s">
        <v>709</v>
      </c>
      <c r="F9" s="26" t="s">
        <v>1346</v>
      </c>
      <c r="G9" s="22">
        <v>-392.5</v>
      </c>
      <c r="H9" s="22"/>
      <c r="I9" s="22"/>
    </row>
    <row r="10" spans="1:9" x14ac:dyDescent="0.25">
      <c r="A10" s="54"/>
      <c r="B10" s="23">
        <v>44777</v>
      </c>
      <c r="C10" s="24">
        <v>0.38517361111111109</v>
      </c>
      <c r="D10" s="32" t="s">
        <v>703</v>
      </c>
      <c r="E10" s="32" t="s">
        <v>709</v>
      </c>
      <c r="F10" s="26" t="s">
        <v>1032</v>
      </c>
      <c r="G10" s="22">
        <v>-106.5</v>
      </c>
      <c r="H10" s="22"/>
      <c r="I10" s="22"/>
    </row>
    <row r="11" spans="1:9" x14ac:dyDescent="0.25">
      <c r="A11" s="54"/>
      <c r="B11" s="23">
        <v>44777</v>
      </c>
      <c r="C11" s="24">
        <v>0.73805555555555558</v>
      </c>
      <c r="D11" s="32" t="s">
        <v>703</v>
      </c>
      <c r="E11" s="32" t="s">
        <v>709</v>
      </c>
      <c r="F11" s="26" t="s">
        <v>1034</v>
      </c>
      <c r="G11" s="22">
        <v>-153.5</v>
      </c>
      <c r="H11" s="22"/>
      <c r="I11" s="22"/>
    </row>
    <row r="12" spans="1:9" x14ac:dyDescent="0.25">
      <c r="A12" s="54"/>
      <c r="B12" s="23">
        <v>44777</v>
      </c>
      <c r="C12" s="24">
        <v>0.74224537037037042</v>
      </c>
      <c r="D12" s="32" t="s">
        <v>703</v>
      </c>
      <c r="E12" s="32" t="s">
        <v>709</v>
      </c>
      <c r="F12" s="26" t="s">
        <v>1036</v>
      </c>
      <c r="G12" s="22">
        <v>-799.5</v>
      </c>
      <c r="H12" s="22"/>
      <c r="I12" s="22"/>
    </row>
    <row r="13" spans="1:9" x14ac:dyDescent="0.25">
      <c r="A13" s="54"/>
      <c r="B13" s="23">
        <v>44777</v>
      </c>
      <c r="C13" s="24">
        <v>0.92034722222222232</v>
      </c>
      <c r="D13" s="32" t="s">
        <v>706</v>
      </c>
      <c r="E13" s="32" t="s">
        <v>709</v>
      </c>
      <c r="F13" s="26" t="s">
        <v>1038</v>
      </c>
      <c r="G13" s="22">
        <v>-110.5</v>
      </c>
      <c r="H13" s="22"/>
      <c r="I13" s="22"/>
    </row>
    <row r="14" spans="1:9" x14ac:dyDescent="0.25">
      <c r="A14" s="54"/>
      <c r="B14" s="23">
        <v>44778</v>
      </c>
      <c r="C14" s="24">
        <v>0.30859953703703702</v>
      </c>
      <c r="D14" s="32" t="s">
        <v>703</v>
      </c>
      <c r="E14" s="32" t="s">
        <v>709</v>
      </c>
      <c r="F14" s="26" t="s">
        <v>2720</v>
      </c>
      <c r="G14" s="22">
        <v>-177.5</v>
      </c>
      <c r="H14" s="22"/>
      <c r="I14" s="22"/>
    </row>
    <row r="15" spans="1:9" x14ac:dyDescent="0.25">
      <c r="A15" s="54"/>
      <c r="B15" s="23">
        <v>44778</v>
      </c>
      <c r="C15" s="24">
        <v>0.35782407407407407</v>
      </c>
      <c r="D15" s="32" t="s">
        <v>703</v>
      </c>
      <c r="E15" s="32" t="s">
        <v>709</v>
      </c>
      <c r="F15" s="26" t="s">
        <v>2722</v>
      </c>
      <c r="G15" s="22">
        <v>-180.5</v>
      </c>
      <c r="H15" s="22"/>
      <c r="I15" s="22"/>
    </row>
    <row r="16" spans="1:9" x14ac:dyDescent="0.25">
      <c r="A16" s="54"/>
      <c r="B16" s="23">
        <v>44778</v>
      </c>
      <c r="C16" s="24">
        <v>0.35940972222222217</v>
      </c>
      <c r="D16" s="32" t="s">
        <v>703</v>
      </c>
      <c r="E16" s="32" t="s">
        <v>709</v>
      </c>
      <c r="F16" s="26" t="s">
        <v>2724</v>
      </c>
      <c r="G16" s="22">
        <v>-85.5</v>
      </c>
      <c r="H16" s="22"/>
      <c r="I16" s="22"/>
    </row>
    <row r="17" spans="1:9" x14ac:dyDescent="0.25">
      <c r="A17" s="54"/>
      <c r="B17" s="23">
        <v>44778</v>
      </c>
      <c r="C17" s="24">
        <v>0.36623842592592593</v>
      </c>
      <c r="D17" s="32" t="s">
        <v>703</v>
      </c>
      <c r="E17" s="32" t="s">
        <v>709</v>
      </c>
      <c r="F17" s="26" t="s">
        <v>2726</v>
      </c>
      <c r="G17" s="22">
        <v>-103.5</v>
      </c>
      <c r="H17" s="22"/>
      <c r="I17" s="22"/>
    </row>
    <row r="18" spans="1:9" x14ac:dyDescent="0.25">
      <c r="A18" s="54"/>
      <c r="B18" s="23">
        <v>44778</v>
      </c>
      <c r="C18" s="24">
        <v>0.42906249999999996</v>
      </c>
      <c r="D18" s="32" t="s">
        <v>703</v>
      </c>
      <c r="E18" s="32" t="s">
        <v>709</v>
      </c>
      <c r="F18" s="26" t="s">
        <v>2728</v>
      </c>
      <c r="G18" s="22">
        <v>-189.5</v>
      </c>
      <c r="H18" s="22"/>
      <c r="I18" s="22"/>
    </row>
    <row r="19" spans="1:9" x14ac:dyDescent="0.25">
      <c r="A19" s="54"/>
      <c r="B19" s="41">
        <v>44778</v>
      </c>
      <c r="C19" s="42">
        <v>0.4430324074074074</v>
      </c>
      <c r="D19" s="50" t="s">
        <v>703</v>
      </c>
      <c r="E19" s="50" t="s">
        <v>709</v>
      </c>
      <c r="F19" s="44" t="s">
        <v>3522</v>
      </c>
      <c r="G19" s="44" t="s">
        <v>3526</v>
      </c>
      <c r="H19" s="22"/>
      <c r="I19" s="22"/>
    </row>
    <row r="20" spans="1:9" x14ac:dyDescent="0.25">
      <c r="A20" s="54"/>
      <c r="B20" s="57" t="s">
        <v>1459</v>
      </c>
      <c r="C20" s="57"/>
      <c r="D20" s="57"/>
      <c r="E20" s="57"/>
      <c r="F20" s="57"/>
      <c r="G20" s="44"/>
      <c r="H20" s="22"/>
      <c r="I20" s="22"/>
    </row>
    <row r="21" spans="1:9" x14ac:dyDescent="0.25">
      <c r="A21" s="54"/>
      <c r="B21" s="23">
        <v>44778</v>
      </c>
      <c r="C21" s="24">
        <v>0.55871527777777785</v>
      </c>
      <c r="D21" s="32" t="s">
        <v>703</v>
      </c>
      <c r="E21" s="32" t="s">
        <v>709</v>
      </c>
      <c r="F21" s="26" t="s">
        <v>2730</v>
      </c>
      <c r="G21" s="22">
        <v>-102.5</v>
      </c>
      <c r="H21" s="22"/>
      <c r="I21" s="22"/>
    </row>
    <row r="22" spans="1:9" x14ac:dyDescent="0.25">
      <c r="A22" s="54"/>
      <c r="B22" s="23">
        <v>44778</v>
      </c>
      <c r="C22" s="24">
        <v>0.57680555555555557</v>
      </c>
      <c r="D22" s="32" t="s">
        <v>703</v>
      </c>
      <c r="E22" s="32" t="s">
        <v>709</v>
      </c>
      <c r="F22" s="26" t="s">
        <v>2732</v>
      </c>
      <c r="G22" s="22">
        <v>-44.5</v>
      </c>
      <c r="H22" s="22"/>
      <c r="I22" s="22"/>
    </row>
    <row r="23" spans="1:9" x14ac:dyDescent="0.25">
      <c r="A23" s="54"/>
      <c r="B23" s="27">
        <v>44778</v>
      </c>
      <c r="C23" s="28">
        <v>0.85472222222222216</v>
      </c>
      <c r="D23" s="33" t="s">
        <v>706</v>
      </c>
      <c r="E23" s="33" t="s">
        <v>709</v>
      </c>
      <c r="F23" s="30" t="s">
        <v>3496</v>
      </c>
      <c r="G23" s="29">
        <v>-101.5</v>
      </c>
      <c r="H23" s="22"/>
      <c r="I23" s="22"/>
    </row>
    <row r="24" spans="1:9" x14ac:dyDescent="0.25">
      <c r="A24" s="54"/>
      <c r="B24" s="23">
        <v>44778</v>
      </c>
      <c r="C24" s="24">
        <v>0.8680092592592592</v>
      </c>
      <c r="D24" s="32" t="s">
        <v>706</v>
      </c>
      <c r="E24" s="32" t="s">
        <v>709</v>
      </c>
      <c r="F24" s="26" t="s">
        <v>2733</v>
      </c>
      <c r="G24" s="22">
        <v>-70.5</v>
      </c>
      <c r="H24" s="22"/>
      <c r="I24" s="22"/>
    </row>
    <row r="25" spans="1:9" x14ac:dyDescent="0.25">
      <c r="A25" s="54"/>
      <c r="B25" s="56"/>
      <c r="C25" s="56"/>
      <c r="D25" s="56"/>
      <c r="E25" s="56"/>
      <c r="F25" s="56"/>
      <c r="G25" s="31">
        <f>SUM(G4:G24)</f>
        <v>-3732.5</v>
      </c>
      <c r="H25" s="25">
        <f>20*4.94</f>
        <v>98.800000000000011</v>
      </c>
      <c r="I25" s="31">
        <f>G25+H25</f>
        <v>-3633.7</v>
      </c>
    </row>
    <row r="26" spans="1:9" x14ac:dyDescent="0.25">
      <c r="A26" s="54" t="s">
        <v>833</v>
      </c>
      <c r="B26" s="53" t="s">
        <v>1461</v>
      </c>
      <c r="C26" s="55"/>
      <c r="D26" s="55"/>
      <c r="E26" s="55"/>
      <c r="F26" s="55"/>
      <c r="G26" s="25"/>
      <c r="H26" s="22"/>
      <c r="I26" s="22"/>
    </row>
    <row r="27" spans="1:9" x14ac:dyDescent="0.25">
      <c r="A27" s="54"/>
      <c r="B27" s="23">
        <v>44774</v>
      </c>
      <c r="C27" s="24">
        <v>0.48731481481481481</v>
      </c>
      <c r="D27" s="32" t="s">
        <v>707</v>
      </c>
      <c r="E27" s="32" t="s">
        <v>709</v>
      </c>
      <c r="F27" s="26" t="s">
        <v>1530</v>
      </c>
      <c r="G27" s="22">
        <v>-178.5</v>
      </c>
      <c r="H27" s="22"/>
      <c r="I27" s="22"/>
    </row>
    <row r="28" spans="1:9" x14ac:dyDescent="0.25">
      <c r="A28" s="54"/>
      <c r="B28" s="23">
        <v>44774</v>
      </c>
      <c r="C28" s="24">
        <v>0.54991898148148144</v>
      </c>
      <c r="D28" s="32" t="s">
        <v>707</v>
      </c>
      <c r="E28" s="32" t="s">
        <v>709</v>
      </c>
      <c r="F28" s="26" t="s">
        <v>1531</v>
      </c>
      <c r="G28" s="22">
        <v>-383.5</v>
      </c>
      <c r="H28" s="22"/>
      <c r="I28" s="22"/>
    </row>
    <row r="29" spans="1:9" x14ac:dyDescent="0.25">
      <c r="A29" s="54"/>
      <c r="B29" s="23">
        <v>44774</v>
      </c>
      <c r="C29" s="24">
        <v>0.89716435185185184</v>
      </c>
      <c r="D29" s="32" t="s">
        <v>893</v>
      </c>
      <c r="E29" s="32" t="s">
        <v>709</v>
      </c>
      <c r="F29" s="26" t="s">
        <v>1533</v>
      </c>
      <c r="G29" s="22">
        <v>-300.5</v>
      </c>
      <c r="H29" s="22"/>
      <c r="I29" s="22"/>
    </row>
    <row r="30" spans="1:9" x14ac:dyDescent="0.25">
      <c r="A30" s="54"/>
      <c r="B30" s="23">
        <v>44776</v>
      </c>
      <c r="C30" s="24">
        <v>0.79899305555555555</v>
      </c>
      <c r="D30" s="32" t="s">
        <v>707</v>
      </c>
      <c r="E30" s="32" t="s">
        <v>709</v>
      </c>
      <c r="F30" s="26" t="s">
        <v>1348</v>
      </c>
      <c r="G30" s="22">
        <v>-99.5</v>
      </c>
      <c r="H30" s="22"/>
      <c r="I30" s="22"/>
    </row>
    <row r="31" spans="1:9" x14ac:dyDescent="0.25">
      <c r="A31" s="54"/>
      <c r="B31" s="23">
        <v>44776</v>
      </c>
      <c r="C31" s="24">
        <v>0.87611111111111117</v>
      </c>
      <c r="D31" s="32" t="s">
        <v>731</v>
      </c>
      <c r="E31" s="32" t="s">
        <v>709</v>
      </c>
      <c r="F31" s="26" t="s">
        <v>1350</v>
      </c>
      <c r="G31" s="22">
        <v>-53.5</v>
      </c>
      <c r="H31" s="22"/>
      <c r="I31" s="22"/>
    </row>
    <row r="32" spans="1:9" x14ac:dyDescent="0.25">
      <c r="A32" s="54"/>
      <c r="B32" s="23">
        <v>44778</v>
      </c>
      <c r="C32" s="24">
        <v>0.30140046296296297</v>
      </c>
      <c r="D32" s="32" t="s">
        <v>707</v>
      </c>
      <c r="E32" s="32" t="s">
        <v>709</v>
      </c>
      <c r="F32" s="26" t="s">
        <v>2735</v>
      </c>
      <c r="G32" s="22">
        <v>-105.5</v>
      </c>
      <c r="H32" s="22"/>
      <c r="I32" s="22"/>
    </row>
    <row r="33" spans="1:9" x14ac:dyDescent="0.25">
      <c r="A33" s="54"/>
      <c r="B33" s="23">
        <v>44778</v>
      </c>
      <c r="C33" s="24">
        <v>0.34002314814814816</v>
      </c>
      <c r="D33" s="32" t="s">
        <v>707</v>
      </c>
      <c r="E33" s="32" t="s">
        <v>709</v>
      </c>
      <c r="F33" s="26" t="s">
        <v>2737</v>
      </c>
      <c r="G33" s="22">
        <v>-255.5</v>
      </c>
      <c r="H33" s="22"/>
      <c r="I33" s="22"/>
    </row>
    <row r="34" spans="1:9" x14ac:dyDescent="0.25">
      <c r="A34" s="54"/>
      <c r="B34" s="23">
        <v>44778</v>
      </c>
      <c r="C34" s="24">
        <v>0.38840277777777782</v>
      </c>
      <c r="D34" s="32" t="s">
        <v>707</v>
      </c>
      <c r="E34" s="32" t="s">
        <v>709</v>
      </c>
      <c r="F34" s="26" t="s">
        <v>2739</v>
      </c>
      <c r="G34" s="22">
        <v>-63.5</v>
      </c>
      <c r="H34" s="22"/>
      <c r="I34" s="22"/>
    </row>
    <row r="35" spans="1:9" x14ac:dyDescent="0.25">
      <c r="A35" s="54"/>
      <c r="B35" s="23">
        <v>44778</v>
      </c>
      <c r="C35" s="24">
        <v>0.39775462962962965</v>
      </c>
      <c r="D35" s="32" t="s">
        <v>707</v>
      </c>
      <c r="E35" s="32" t="s">
        <v>709</v>
      </c>
      <c r="F35" s="26" t="s">
        <v>2741</v>
      </c>
      <c r="G35" s="22">
        <v>-500.5</v>
      </c>
      <c r="H35" s="22"/>
      <c r="I35" s="22"/>
    </row>
    <row r="36" spans="1:9" x14ac:dyDescent="0.25">
      <c r="A36" s="54"/>
      <c r="B36" s="23">
        <v>44778</v>
      </c>
      <c r="C36" s="24">
        <v>0.57820601851851849</v>
      </c>
      <c r="D36" s="32" t="s">
        <v>707</v>
      </c>
      <c r="E36" s="32" t="s">
        <v>709</v>
      </c>
      <c r="F36" s="26" t="s">
        <v>2743</v>
      </c>
      <c r="G36" s="22">
        <v>-19.5</v>
      </c>
      <c r="H36" s="22"/>
      <c r="I36" s="22"/>
    </row>
    <row r="37" spans="1:9" x14ac:dyDescent="0.25">
      <c r="A37" s="54"/>
      <c r="B37" s="23">
        <v>44778</v>
      </c>
      <c r="C37" s="24">
        <v>0.59487268518518521</v>
      </c>
      <c r="D37" s="32" t="s">
        <v>707</v>
      </c>
      <c r="E37" s="32" t="s">
        <v>709</v>
      </c>
      <c r="F37" s="26" t="s">
        <v>2745</v>
      </c>
      <c r="G37" s="22">
        <v>-175.5</v>
      </c>
      <c r="H37" s="22"/>
      <c r="I37" s="22"/>
    </row>
    <row r="38" spans="1:9" x14ac:dyDescent="0.25">
      <c r="A38" s="54"/>
      <c r="B38" s="23">
        <v>44778</v>
      </c>
      <c r="C38" s="24">
        <v>0.75206018518518514</v>
      </c>
      <c r="D38" s="32" t="s">
        <v>707</v>
      </c>
      <c r="E38" s="32" t="s">
        <v>709</v>
      </c>
      <c r="F38" s="26" t="s">
        <v>2747</v>
      </c>
      <c r="G38" s="22">
        <v>-45.5</v>
      </c>
      <c r="H38" s="22"/>
      <c r="I38" s="22"/>
    </row>
    <row r="39" spans="1:9" x14ac:dyDescent="0.25">
      <c r="A39" s="54"/>
      <c r="B39" s="23">
        <v>44778</v>
      </c>
      <c r="C39" s="24">
        <v>0.86850694444444443</v>
      </c>
      <c r="D39" s="32" t="s">
        <v>893</v>
      </c>
      <c r="E39" s="32" t="s">
        <v>709</v>
      </c>
      <c r="F39" s="26" t="s">
        <v>2749</v>
      </c>
      <c r="G39" s="22">
        <v>-131.5</v>
      </c>
      <c r="H39" s="22"/>
      <c r="I39" s="22"/>
    </row>
    <row r="40" spans="1:9" x14ac:dyDescent="0.25">
      <c r="A40" s="54"/>
      <c r="B40" s="23">
        <v>44779</v>
      </c>
      <c r="C40" s="24">
        <v>0.47089120370370369</v>
      </c>
      <c r="D40" s="32" t="s">
        <v>707</v>
      </c>
      <c r="E40" s="32" t="s">
        <v>709</v>
      </c>
      <c r="F40" s="26" t="s">
        <v>2751</v>
      </c>
      <c r="G40" s="22">
        <v>-388.5</v>
      </c>
      <c r="H40" s="22"/>
      <c r="I40" s="22"/>
    </row>
    <row r="41" spans="1:9" x14ac:dyDescent="0.25">
      <c r="A41" s="54"/>
      <c r="B41" s="23">
        <v>44780</v>
      </c>
      <c r="C41" s="24">
        <v>0.92309027777777775</v>
      </c>
      <c r="D41" s="32" t="s">
        <v>893</v>
      </c>
      <c r="E41" s="32" t="s">
        <v>709</v>
      </c>
      <c r="F41" s="26" t="s">
        <v>2753</v>
      </c>
      <c r="G41" s="22">
        <v>-262.5</v>
      </c>
      <c r="H41" s="22"/>
      <c r="I41" s="22"/>
    </row>
    <row r="42" spans="1:9" x14ac:dyDescent="0.25">
      <c r="A42" s="54"/>
      <c r="B42" s="56"/>
      <c r="C42" s="56"/>
      <c r="D42" s="56"/>
      <c r="E42" s="56"/>
      <c r="F42" s="56"/>
      <c r="G42" s="31">
        <f>SUM(G27:G41)</f>
        <v>-2963.5</v>
      </c>
      <c r="H42" s="25">
        <f>15*4.94</f>
        <v>74.100000000000009</v>
      </c>
      <c r="I42" s="31">
        <f>G42+H42</f>
        <v>-2889.4</v>
      </c>
    </row>
    <row r="43" spans="1:9" x14ac:dyDescent="0.25">
      <c r="A43" s="54" t="s">
        <v>833</v>
      </c>
      <c r="B43" s="53" t="s">
        <v>1269</v>
      </c>
      <c r="C43" s="55"/>
      <c r="D43" s="55"/>
      <c r="E43" s="55"/>
      <c r="F43" s="55"/>
      <c r="G43" s="25"/>
      <c r="H43" s="22"/>
      <c r="I43" s="22"/>
    </row>
    <row r="44" spans="1:9" x14ac:dyDescent="0.25">
      <c r="A44" s="54"/>
      <c r="B44" s="23">
        <v>44776</v>
      </c>
      <c r="C44" s="24">
        <v>0.4899189814814815</v>
      </c>
      <c r="D44" s="32" t="s">
        <v>894</v>
      </c>
      <c r="E44" s="32" t="s">
        <v>709</v>
      </c>
      <c r="F44" s="26" t="s">
        <v>1352</v>
      </c>
      <c r="G44" s="22">
        <v>-625.5</v>
      </c>
      <c r="H44" s="22"/>
      <c r="I44" s="22"/>
    </row>
    <row r="45" spans="1:9" x14ac:dyDescent="0.25">
      <c r="A45" s="54"/>
      <c r="B45" s="23">
        <v>44776</v>
      </c>
      <c r="C45" s="24">
        <v>0.51201388888888888</v>
      </c>
      <c r="D45" s="32" t="s">
        <v>894</v>
      </c>
      <c r="E45" s="32" t="s">
        <v>709</v>
      </c>
      <c r="F45" s="26" t="s">
        <v>1354</v>
      </c>
      <c r="G45" s="22">
        <v>-1121.5</v>
      </c>
      <c r="H45" s="22"/>
      <c r="I45" s="22"/>
    </row>
    <row r="46" spans="1:9" x14ac:dyDescent="0.25">
      <c r="A46" s="54"/>
      <c r="B46" s="23">
        <v>44777</v>
      </c>
      <c r="C46" s="24">
        <v>0.35746527777777781</v>
      </c>
      <c r="D46" s="32" t="s">
        <v>894</v>
      </c>
      <c r="E46" s="32" t="s">
        <v>709</v>
      </c>
      <c r="F46" s="26" t="s">
        <v>1040</v>
      </c>
      <c r="G46" s="22">
        <v>-477.5</v>
      </c>
      <c r="H46" s="22"/>
      <c r="I46" s="22"/>
    </row>
    <row r="47" spans="1:9" x14ac:dyDescent="0.25">
      <c r="A47" s="54"/>
      <c r="B47" s="23">
        <v>44777</v>
      </c>
      <c r="C47" s="24">
        <v>0.35826388888888888</v>
      </c>
      <c r="D47" s="32" t="s">
        <v>894</v>
      </c>
      <c r="E47" s="32" t="s">
        <v>709</v>
      </c>
      <c r="F47" s="26" t="s">
        <v>1042</v>
      </c>
      <c r="G47" s="22">
        <v>-619.5</v>
      </c>
      <c r="H47" s="22"/>
      <c r="I47" s="22"/>
    </row>
    <row r="48" spans="1:9" x14ac:dyDescent="0.25">
      <c r="A48" s="54"/>
      <c r="B48" s="23">
        <v>44777</v>
      </c>
      <c r="C48" s="24">
        <v>0.35986111111111113</v>
      </c>
      <c r="D48" s="32" t="s">
        <v>894</v>
      </c>
      <c r="E48" s="32" t="s">
        <v>709</v>
      </c>
      <c r="F48" s="26" t="s">
        <v>1044</v>
      </c>
      <c r="G48" s="22">
        <v>-500.5</v>
      </c>
      <c r="H48" s="22"/>
      <c r="I48" s="22"/>
    </row>
    <row r="49" spans="1:9" x14ac:dyDescent="0.25">
      <c r="A49" s="54"/>
      <c r="B49" s="23">
        <v>44777</v>
      </c>
      <c r="C49" s="24">
        <v>0.70200231481481479</v>
      </c>
      <c r="D49" s="32" t="s">
        <v>895</v>
      </c>
      <c r="E49" s="32" t="s">
        <v>709</v>
      </c>
      <c r="F49" s="26" t="s">
        <v>1046</v>
      </c>
      <c r="G49" s="22">
        <v>-159.5</v>
      </c>
      <c r="H49" s="22"/>
      <c r="I49" s="22"/>
    </row>
    <row r="50" spans="1:9" x14ac:dyDescent="0.25">
      <c r="A50" s="54"/>
      <c r="B50" s="23">
        <v>44778</v>
      </c>
      <c r="C50" s="24">
        <v>0.34530092592592593</v>
      </c>
      <c r="D50" s="32" t="s">
        <v>894</v>
      </c>
      <c r="E50" s="32" t="s">
        <v>709</v>
      </c>
      <c r="F50" s="26" t="s">
        <v>2755</v>
      </c>
      <c r="G50" s="22">
        <v>-87.5</v>
      </c>
      <c r="H50" s="22"/>
      <c r="I50" s="22"/>
    </row>
    <row r="51" spans="1:9" x14ac:dyDescent="0.25">
      <c r="A51" s="54"/>
      <c r="B51" s="23">
        <v>44778</v>
      </c>
      <c r="C51" s="24">
        <v>0.34800925925925924</v>
      </c>
      <c r="D51" s="32" t="s">
        <v>894</v>
      </c>
      <c r="E51" s="32" t="s">
        <v>709</v>
      </c>
      <c r="F51" s="26" t="s">
        <v>2757</v>
      </c>
      <c r="G51" s="22">
        <v>-219.5</v>
      </c>
      <c r="H51" s="22"/>
      <c r="I51" s="22"/>
    </row>
    <row r="52" spans="1:9" x14ac:dyDescent="0.25">
      <c r="A52" s="54"/>
      <c r="B52" s="23">
        <v>44778</v>
      </c>
      <c r="C52" s="24">
        <v>0.34949074074074077</v>
      </c>
      <c r="D52" s="32" t="s">
        <v>894</v>
      </c>
      <c r="E52" s="32" t="s">
        <v>709</v>
      </c>
      <c r="F52" s="26" t="s">
        <v>2759</v>
      </c>
      <c r="G52" s="22">
        <v>-134.5</v>
      </c>
      <c r="H52" s="22"/>
      <c r="I52" s="22"/>
    </row>
    <row r="53" spans="1:9" x14ac:dyDescent="0.25">
      <c r="A53" s="54"/>
      <c r="B53" s="23">
        <v>44778</v>
      </c>
      <c r="C53" s="24">
        <v>0.35115740740740736</v>
      </c>
      <c r="D53" s="32" t="s">
        <v>894</v>
      </c>
      <c r="E53" s="32" t="s">
        <v>709</v>
      </c>
      <c r="F53" s="26" t="s">
        <v>2761</v>
      </c>
      <c r="G53" s="22">
        <v>-84.5</v>
      </c>
      <c r="H53" s="22"/>
      <c r="I53" s="22"/>
    </row>
    <row r="54" spans="1:9" x14ac:dyDescent="0.25">
      <c r="A54" s="54"/>
      <c r="B54" s="23">
        <v>44778</v>
      </c>
      <c r="C54" s="24">
        <v>0.36944444444444446</v>
      </c>
      <c r="D54" s="32" t="s">
        <v>894</v>
      </c>
      <c r="E54" s="32" t="s">
        <v>709</v>
      </c>
      <c r="F54" s="26" t="s">
        <v>2763</v>
      </c>
      <c r="G54" s="22">
        <v>-164.5</v>
      </c>
      <c r="H54" s="22"/>
      <c r="I54" s="22"/>
    </row>
    <row r="55" spans="1:9" x14ac:dyDescent="0.25">
      <c r="A55" s="54"/>
      <c r="B55" s="23">
        <v>44778</v>
      </c>
      <c r="C55" s="24">
        <v>0.37392361111111111</v>
      </c>
      <c r="D55" s="32" t="s">
        <v>894</v>
      </c>
      <c r="E55" s="32" t="s">
        <v>709</v>
      </c>
      <c r="F55" s="26" t="s">
        <v>2765</v>
      </c>
      <c r="G55" s="22">
        <v>-966.5</v>
      </c>
      <c r="H55" s="22"/>
      <c r="I55" s="22"/>
    </row>
    <row r="56" spans="1:9" x14ac:dyDescent="0.25">
      <c r="A56" s="54"/>
      <c r="B56" s="23">
        <v>44778</v>
      </c>
      <c r="C56" s="24">
        <v>0.37579861111111112</v>
      </c>
      <c r="D56" s="32" t="s">
        <v>894</v>
      </c>
      <c r="E56" s="32" t="s">
        <v>709</v>
      </c>
      <c r="F56" s="26" t="s">
        <v>2767</v>
      </c>
      <c r="G56" s="22">
        <v>-193.5</v>
      </c>
      <c r="H56" s="22"/>
      <c r="I56" s="22"/>
    </row>
    <row r="57" spans="1:9" x14ac:dyDescent="0.25">
      <c r="A57" s="54"/>
      <c r="B57" s="23">
        <v>44778</v>
      </c>
      <c r="C57" s="24">
        <v>0.3868287037037037</v>
      </c>
      <c r="D57" s="32" t="s">
        <v>894</v>
      </c>
      <c r="E57" s="32" t="s">
        <v>709</v>
      </c>
      <c r="F57" s="26" t="s">
        <v>2768</v>
      </c>
      <c r="G57" s="22">
        <v>-751.5</v>
      </c>
      <c r="H57" s="22"/>
      <c r="I57" s="22"/>
    </row>
    <row r="58" spans="1:9" x14ac:dyDescent="0.25">
      <c r="A58" s="54"/>
      <c r="B58" s="23">
        <v>44778</v>
      </c>
      <c r="C58" s="24">
        <v>0.38841435185185186</v>
      </c>
      <c r="D58" s="32" t="s">
        <v>894</v>
      </c>
      <c r="E58" s="32" t="s">
        <v>709</v>
      </c>
      <c r="F58" s="26" t="s">
        <v>2770</v>
      </c>
      <c r="G58" s="22">
        <v>-106.5</v>
      </c>
      <c r="H58" s="22"/>
      <c r="I58" s="22"/>
    </row>
    <row r="59" spans="1:9" x14ac:dyDescent="0.25">
      <c r="A59" s="54"/>
      <c r="B59" s="23">
        <v>44778</v>
      </c>
      <c r="C59" s="24">
        <v>0.39270833333333338</v>
      </c>
      <c r="D59" s="32" t="s">
        <v>894</v>
      </c>
      <c r="E59" s="32" t="s">
        <v>709</v>
      </c>
      <c r="F59" s="26" t="s">
        <v>2772</v>
      </c>
      <c r="G59" s="22">
        <v>-851.5</v>
      </c>
      <c r="H59" s="22"/>
      <c r="I59" s="22"/>
    </row>
    <row r="60" spans="1:9" x14ac:dyDescent="0.25">
      <c r="A60" s="54"/>
      <c r="B60" s="23">
        <v>44778</v>
      </c>
      <c r="C60" s="24">
        <v>0.40013888888888888</v>
      </c>
      <c r="D60" s="32" t="s">
        <v>894</v>
      </c>
      <c r="E60" s="32" t="s">
        <v>709</v>
      </c>
      <c r="F60" s="26" t="s">
        <v>2774</v>
      </c>
      <c r="G60" s="22">
        <v>-157.5</v>
      </c>
      <c r="H60" s="22"/>
      <c r="I60" s="22"/>
    </row>
    <row r="61" spans="1:9" x14ac:dyDescent="0.25">
      <c r="A61" s="54"/>
      <c r="B61" s="23">
        <v>44778</v>
      </c>
      <c r="C61" s="24">
        <v>0.43621527777777774</v>
      </c>
      <c r="D61" s="32" t="s">
        <v>894</v>
      </c>
      <c r="E61" s="32" t="s">
        <v>709</v>
      </c>
      <c r="F61" s="26" t="s">
        <v>2776</v>
      </c>
      <c r="G61" s="22">
        <v>-44.5</v>
      </c>
      <c r="H61" s="22"/>
      <c r="I61" s="22"/>
    </row>
    <row r="62" spans="1:9" x14ac:dyDescent="0.25">
      <c r="A62" s="54"/>
      <c r="B62" s="23">
        <v>44778</v>
      </c>
      <c r="C62" s="24">
        <v>0.45105324074074077</v>
      </c>
      <c r="D62" s="32" t="s">
        <v>894</v>
      </c>
      <c r="E62" s="32" t="s">
        <v>709</v>
      </c>
      <c r="F62" s="26" t="s">
        <v>2778</v>
      </c>
      <c r="G62" s="22">
        <v>-88.5</v>
      </c>
      <c r="H62" s="22"/>
      <c r="I62" s="22"/>
    </row>
    <row r="63" spans="1:9" x14ac:dyDescent="0.25">
      <c r="A63" s="54"/>
      <c r="B63" s="23">
        <v>44778</v>
      </c>
      <c r="C63" s="24">
        <v>0.46599537037037037</v>
      </c>
      <c r="D63" s="32" t="s">
        <v>894</v>
      </c>
      <c r="E63" s="32" t="s">
        <v>709</v>
      </c>
      <c r="F63" s="26" t="s">
        <v>2780</v>
      </c>
      <c r="G63" s="22">
        <v>-242.5</v>
      </c>
      <c r="H63" s="22"/>
      <c r="I63" s="22"/>
    </row>
    <row r="64" spans="1:9" x14ac:dyDescent="0.25">
      <c r="A64" s="54"/>
      <c r="B64" s="23">
        <v>44778</v>
      </c>
      <c r="C64" s="24">
        <v>0.49184027777777778</v>
      </c>
      <c r="D64" s="32" t="s">
        <v>894</v>
      </c>
      <c r="E64" s="32" t="s">
        <v>709</v>
      </c>
      <c r="F64" s="26" t="s">
        <v>2782</v>
      </c>
      <c r="G64" s="22">
        <v>-637.5</v>
      </c>
      <c r="H64" s="22"/>
      <c r="I64" s="22"/>
    </row>
    <row r="65" spans="1:9" x14ac:dyDescent="0.25">
      <c r="A65" s="54"/>
      <c r="B65" s="23">
        <v>44778</v>
      </c>
      <c r="C65" s="24">
        <v>0.54825231481481485</v>
      </c>
      <c r="D65" s="32" t="s">
        <v>894</v>
      </c>
      <c r="E65" s="32" t="s">
        <v>709</v>
      </c>
      <c r="F65" s="26" t="s">
        <v>2784</v>
      </c>
      <c r="G65" s="22">
        <v>-154.5</v>
      </c>
      <c r="H65" s="22"/>
      <c r="I65" s="22"/>
    </row>
    <row r="66" spans="1:9" x14ac:dyDescent="0.25">
      <c r="A66" s="54"/>
      <c r="B66" s="23">
        <v>44778</v>
      </c>
      <c r="C66" s="24">
        <v>0.57138888888888884</v>
      </c>
      <c r="D66" s="32" t="s">
        <v>894</v>
      </c>
      <c r="E66" s="32" t="s">
        <v>709</v>
      </c>
      <c r="F66" s="26" t="s">
        <v>2786</v>
      </c>
      <c r="G66" s="22">
        <v>-44.5</v>
      </c>
      <c r="H66" s="22"/>
      <c r="I66" s="22"/>
    </row>
    <row r="67" spans="1:9" x14ac:dyDescent="0.25">
      <c r="A67" s="54"/>
      <c r="B67" s="56"/>
      <c r="C67" s="56"/>
      <c r="D67" s="56"/>
      <c r="E67" s="56"/>
      <c r="F67" s="56"/>
      <c r="G67" s="31">
        <f>SUM(G44:G66)</f>
        <v>-8433.5</v>
      </c>
      <c r="H67" s="25">
        <f>23*4.94</f>
        <v>113.62</v>
      </c>
      <c r="I67" s="31">
        <f>G67+H67</f>
        <v>-8319.8799999999992</v>
      </c>
    </row>
    <row r="68" spans="1:9" x14ac:dyDescent="0.25">
      <c r="A68" s="54" t="s">
        <v>833</v>
      </c>
      <c r="B68" s="53" t="s">
        <v>820</v>
      </c>
      <c r="C68" s="55"/>
      <c r="D68" s="55"/>
      <c r="E68" s="55"/>
      <c r="F68" s="55"/>
      <c r="G68" s="25"/>
      <c r="H68" s="22"/>
      <c r="I68" s="22"/>
    </row>
    <row r="69" spans="1:9" x14ac:dyDescent="0.25">
      <c r="A69" s="54"/>
      <c r="B69" s="23">
        <v>44774</v>
      </c>
      <c r="C69" s="24">
        <v>0.39659722222222221</v>
      </c>
      <c r="D69" s="32" t="s">
        <v>708</v>
      </c>
      <c r="E69" s="32" t="s">
        <v>709</v>
      </c>
      <c r="F69" s="26" t="s">
        <v>1534</v>
      </c>
      <c r="G69" s="22">
        <v>-101.5</v>
      </c>
      <c r="H69" s="22"/>
      <c r="I69" s="22"/>
    </row>
    <row r="70" spans="1:9" x14ac:dyDescent="0.25">
      <c r="A70" s="54"/>
      <c r="B70" s="23">
        <v>44774</v>
      </c>
      <c r="C70" s="24">
        <v>0.50736111111111104</v>
      </c>
      <c r="D70" s="32" t="s">
        <v>708</v>
      </c>
      <c r="E70" s="32" t="s">
        <v>709</v>
      </c>
      <c r="F70" s="26" t="s">
        <v>1536</v>
      </c>
      <c r="G70" s="22">
        <v>-45.5</v>
      </c>
      <c r="H70" s="22"/>
      <c r="I70" s="22"/>
    </row>
    <row r="71" spans="1:9" x14ac:dyDescent="0.25">
      <c r="A71" s="54"/>
      <c r="B71" s="37">
        <v>44774</v>
      </c>
      <c r="C71" s="38">
        <v>0.53060185185185182</v>
      </c>
      <c r="D71" s="49" t="s">
        <v>708</v>
      </c>
      <c r="E71" s="49" t="s">
        <v>709</v>
      </c>
      <c r="F71" s="40" t="s">
        <v>1618</v>
      </c>
      <c r="G71" s="39">
        <v>-1</v>
      </c>
      <c r="H71" s="22"/>
      <c r="I71" s="22"/>
    </row>
    <row r="72" spans="1:9" x14ac:dyDescent="0.25">
      <c r="A72" s="54"/>
      <c r="B72" s="23">
        <v>44774</v>
      </c>
      <c r="C72" s="24">
        <v>0.63231481481481489</v>
      </c>
      <c r="D72" s="32" t="s">
        <v>715</v>
      </c>
      <c r="E72" s="32" t="s">
        <v>709</v>
      </c>
      <c r="F72" s="26" t="s">
        <v>1538</v>
      </c>
      <c r="G72" s="22">
        <v>-86.5</v>
      </c>
      <c r="H72" s="22"/>
      <c r="I72" s="22"/>
    </row>
    <row r="73" spans="1:9" x14ac:dyDescent="0.25">
      <c r="A73" s="54"/>
      <c r="B73" s="41">
        <v>44774</v>
      </c>
      <c r="C73" s="42">
        <v>0.74306712962962962</v>
      </c>
      <c r="D73" s="50" t="s">
        <v>708</v>
      </c>
      <c r="E73" s="50" t="s">
        <v>704</v>
      </c>
      <c r="F73" s="44" t="s">
        <v>1608</v>
      </c>
      <c r="G73" s="44" t="s">
        <v>1624</v>
      </c>
      <c r="H73" s="22"/>
      <c r="I73" s="22"/>
    </row>
    <row r="74" spans="1:9" x14ac:dyDescent="0.25">
      <c r="A74" s="54"/>
      <c r="B74" s="57" t="s">
        <v>1607</v>
      </c>
      <c r="C74" s="57"/>
      <c r="D74" s="57"/>
      <c r="E74" s="57"/>
      <c r="F74" s="57"/>
      <c r="G74" s="44"/>
      <c r="H74" s="22"/>
      <c r="I74" s="22"/>
    </row>
    <row r="75" spans="1:9" x14ac:dyDescent="0.25">
      <c r="A75" s="54"/>
      <c r="B75" s="23">
        <v>44774</v>
      </c>
      <c r="C75" s="24">
        <v>0.76931712962962961</v>
      </c>
      <c r="D75" s="32" t="s">
        <v>708</v>
      </c>
      <c r="E75" s="32" t="s">
        <v>709</v>
      </c>
      <c r="F75" s="26" t="s">
        <v>1539</v>
      </c>
      <c r="G75" s="22">
        <v>-133.5</v>
      </c>
      <c r="H75" s="22"/>
      <c r="I75" s="22"/>
    </row>
    <row r="76" spans="1:9" x14ac:dyDescent="0.25">
      <c r="A76" s="54"/>
      <c r="B76" s="23">
        <v>44774</v>
      </c>
      <c r="C76" s="24">
        <v>0.78614583333333332</v>
      </c>
      <c r="D76" s="32" t="s">
        <v>708</v>
      </c>
      <c r="E76" s="32" t="s">
        <v>709</v>
      </c>
      <c r="F76" s="26" t="s">
        <v>1541</v>
      </c>
      <c r="G76" s="22">
        <v>-384.5</v>
      </c>
      <c r="H76" s="22"/>
      <c r="I76" s="22"/>
    </row>
    <row r="77" spans="1:9" x14ac:dyDescent="0.25">
      <c r="A77" s="54"/>
      <c r="B77" s="27">
        <v>44774</v>
      </c>
      <c r="C77" s="28">
        <v>0.78765046296296293</v>
      </c>
      <c r="D77" s="33" t="s">
        <v>708</v>
      </c>
      <c r="E77" s="33" t="s">
        <v>709</v>
      </c>
      <c r="F77" s="30" t="s">
        <v>1610</v>
      </c>
      <c r="G77" s="29">
        <v>-175.5</v>
      </c>
      <c r="H77" s="22"/>
      <c r="I77" s="22"/>
    </row>
    <row r="78" spans="1:9" x14ac:dyDescent="0.25">
      <c r="A78" s="54"/>
      <c r="B78" s="23">
        <v>44775</v>
      </c>
      <c r="C78" s="24">
        <v>0.38721064814814815</v>
      </c>
      <c r="D78" s="32" t="s">
        <v>708</v>
      </c>
      <c r="E78" s="32" t="s">
        <v>709</v>
      </c>
      <c r="F78" s="26" t="s">
        <v>755</v>
      </c>
      <c r="G78" s="22">
        <v>-194.5</v>
      </c>
      <c r="H78" s="22"/>
      <c r="I78" s="22"/>
    </row>
    <row r="79" spans="1:9" x14ac:dyDescent="0.25">
      <c r="A79" s="54"/>
      <c r="B79" s="23">
        <v>44775</v>
      </c>
      <c r="C79" s="24">
        <v>0.50872685185185185</v>
      </c>
      <c r="D79" s="32" t="s">
        <v>708</v>
      </c>
      <c r="E79" s="32" t="s">
        <v>709</v>
      </c>
      <c r="F79" s="26" t="s">
        <v>757</v>
      </c>
      <c r="G79" s="22">
        <v>-3086.5</v>
      </c>
      <c r="H79" s="22"/>
      <c r="I79" s="22"/>
    </row>
    <row r="80" spans="1:9" x14ac:dyDescent="0.25">
      <c r="A80" s="54"/>
      <c r="B80" s="27">
        <v>44775</v>
      </c>
      <c r="C80" s="28">
        <v>0.51071759259259253</v>
      </c>
      <c r="D80" s="33" t="s">
        <v>708</v>
      </c>
      <c r="E80" s="33" t="s">
        <v>709</v>
      </c>
      <c r="F80" s="30" t="s">
        <v>815</v>
      </c>
      <c r="G80" s="29">
        <v>-116.5</v>
      </c>
      <c r="H80" s="22"/>
      <c r="I80" s="22"/>
    </row>
    <row r="81" spans="1:9" x14ac:dyDescent="0.25">
      <c r="A81" s="54"/>
      <c r="B81" s="23">
        <v>44775</v>
      </c>
      <c r="C81" s="24">
        <v>0.57180555555555557</v>
      </c>
      <c r="D81" s="32" t="s">
        <v>708</v>
      </c>
      <c r="E81" s="32" t="s">
        <v>709</v>
      </c>
      <c r="F81" s="26" t="s">
        <v>758</v>
      </c>
      <c r="G81" s="22">
        <v>-154.5</v>
      </c>
      <c r="H81" s="22"/>
      <c r="I81" s="22"/>
    </row>
    <row r="82" spans="1:9" x14ac:dyDescent="0.25">
      <c r="A82" s="54"/>
      <c r="B82" s="23">
        <v>44775</v>
      </c>
      <c r="C82" s="24">
        <v>0.57351851851851854</v>
      </c>
      <c r="D82" s="32" t="s">
        <v>708</v>
      </c>
      <c r="E82" s="32" t="s">
        <v>709</v>
      </c>
      <c r="F82" s="26" t="s">
        <v>760</v>
      </c>
      <c r="G82" s="22">
        <v>-109.5</v>
      </c>
      <c r="H82" s="22"/>
      <c r="I82" s="22"/>
    </row>
    <row r="83" spans="1:9" x14ac:dyDescent="0.25">
      <c r="A83" s="54"/>
      <c r="B83" s="23">
        <v>44775</v>
      </c>
      <c r="C83" s="24">
        <v>0.61559027777777775</v>
      </c>
      <c r="D83" s="32" t="s">
        <v>708</v>
      </c>
      <c r="E83" s="32" t="s">
        <v>709</v>
      </c>
      <c r="F83" s="26" t="s">
        <v>762</v>
      </c>
      <c r="G83" s="22">
        <v>-153.5</v>
      </c>
      <c r="H83" s="22"/>
      <c r="I83" s="22"/>
    </row>
    <row r="84" spans="1:9" x14ac:dyDescent="0.25">
      <c r="A84" s="54"/>
      <c r="B84" s="27">
        <v>44775</v>
      </c>
      <c r="C84" s="28">
        <v>0.7817708333333333</v>
      </c>
      <c r="D84" s="33" t="s">
        <v>710</v>
      </c>
      <c r="E84" s="33" t="s">
        <v>709</v>
      </c>
      <c r="F84" s="30" t="s">
        <v>816</v>
      </c>
      <c r="G84" s="29">
        <v>-106.5</v>
      </c>
      <c r="H84" s="22"/>
      <c r="I84" s="22"/>
    </row>
    <row r="85" spans="1:9" x14ac:dyDescent="0.25">
      <c r="A85" s="54"/>
      <c r="B85" s="23">
        <v>44776</v>
      </c>
      <c r="C85" s="24">
        <v>0.46269675925925924</v>
      </c>
      <c r="D85" s="32" t="s">
        <v>896</v>
      </c>
      <c r="E85" s="32" t="s">
        <v>709</v>
      </c>
      <c r="F85" s="26" t="s">
        <v>1356</v>
      </c>
      <c r="G85" s="22">
        <v>-80.5</v>
      </c>
      <c r="H85" s="22"/>
      <c r="I85" s="22"/>
    </row>
    <row r="86" spans="1:9" x14ac:dyDescent="0.25">
      <c r="A86" s="54"/>
      <c r="B86" s="23">
        <v>44776</v>
      </c>
      <c r="C86" s="24">
        <v>0.60252314814814811</v>
      </c>
      <c r="D86" s="32" t="s">
        <v>896</v>
      </c>
      <c r="E86" s="32" t="s">
        <v>709</v>
      </c>
      <c r="F86" s="26" t="s">
        <v>1358</v>
      </c>
      <c r="G86" s="22">
        <v>-183.5</v>
      </c>
      <c r="H86" s="22"/>
      <c r="I86" s="22"/>
    </row>
    <row r="87" spans="1:9" x14ac:dyDescent="0.25">
      <c r="A87" s="54"/>
      <c r="B87" s="23">
        <v>44776</v>
      </c>
      <c r="C87" s="24">
        <v>0.77181712962962967</v>
      </c>
      <c r="D87" s="32" t="s">
        <v>896</v>
      </c>
      <c r="E87" s="32" t="s">
        <v>709</v>
      </c>
      <c r="F87" s="26" t="s">
        <v>1360</v>
      </c>
      <c r="G87" s="22">
        <v>-190.5</v>
      </c>
      <c r="H87" s="22"/>
      <c r="I87" s="22"/>
    </row>
    <row r="88" spans="1:9" x14ac:dyDescent="0.25">
      <c r="A88" s="54"/>
      <c r="B88" s="23">
        <v>44777</v>
      </c>
      <c r="C88" s="24">
        <v>0.37921296296296297</v>
      </c>
      <c r="D88" s="32" t="s">
        <v>708</v>
      </c>
      <c r="E88" s="32" t="s">
        <v>709</v>
      </c>
      <c r="F88" s="26" t="s">
        <v>1047</v>
      </c>
      <c r="G88" s="22">
        <v>-189.5</v>
      </c>
      <c r="H88" s="22"/>
      <c r="I88" s="22"/>
    </row>
    <row r="89" spans="1:9" x14ac:dyDescent="0.25">
      <c r="A89" s="54"/>
      <c r="B89" s="23">
        <v>44777</v>
      </c>
      <c r="C89" s="24">
        <v>0.37969907407407405</v>
      </c>
      <c r="D89" s="32" t="s">
        <v>708</v>
      </c>
      <c r="E89" s="32" t="s">
        <v>709</v>
      </c>
      <c r="F89" s="26" t="s">
        <v>1049</v>
      </c>
      <c r="G89" s="22">
        <v>-45.5</v>
      </c>
      <c r="H89" s="22"/>
      <c r="I89" s="22"/>
    </row>
    <row r="90" spans="1:9" x14ac:dyDescent="0.25">
      <c r="A90" s="54"/>
      <c r="B90" s="23">
        <v>44778</v>
      </c>
      <c r="C90" s="24">
        <v>0.31729166666666669</v>
      </c>
      <c r="D90" s="32" t="s">
        <v>896</v>
      </c>
      <c r="E90" s="32" t="s">
        <v>709</v>
      </c>
      <c r="F90" s="26" t="s">
        <v>2788</v>
      </c>
      <c r="G90" s="22">
        <v>-55.5</v>
      </c>
      <c r="H90" s="22"/>
      <c r="I90" s="22"/>
    </row>
    <row r="91" spans="1:9" x14ac:dyDescent="0.25">
      <c r="A91" s="54"/>
      <c r="B91" s="23">
        <v>44778</v>
      </c>
      <c r="C91" s="24">
        <v>0.31836805555555553</v>
      </c>
      <c r="D91" s="32" t="s">
        <v>896</v>
      </c>
      <c r="E91" s="32" t="s">
        <v>709</v>
      </c>
      <c r="F91" s="26" t="s">
        <v>2790</v>
      </c>
      <c r="G91" s="22">
        <v>-63.5</v>
      </c>
      <c r="H91" s="22"/>
      <c r="I91" s="22"/>
    </row>
    <row r="92" spans="1:9" x14ac:dyDescent="0.25">
      <c r="A92" s="54"/>
      <c r="B92" s="23">
        <v>44778</v>
      </c>
      <c r="C92" s="24">
        <v>0.31945601851851851</v>
      </c>
      <c r="D92" s="32" t="s">
        <v>896</v>
      </c>
      <c r="E92" s="32" t="s">
        <v>709</v>
      </c>
      <c r="F92" s="26" t="s">
        <v>2792</v>
      </c>
      <c r="G92" s="22">
        <v>-211.5</v>
      </c>
      <c r="H92" s="22"/>
      <c r="I92" s="22"/>
    </row>
    <row r="93" spans="1:9" x14ac:dyDescent="0.25">
      <c r="A93" s="54"/>
      <c r="B93" s="23">
        <v>44778</v>
      </c>
      <c r="C93" s="24">
        <v>0.32096064814814812</v>
      </c>
      <c r="D93" s="32" t="s">
        <v>896</v>
      </c>
      <c r="E93" s="32" t="s">
        <v>709</v>
      </c>
      <c r="F93" s="26" t="s">
        <v>2794</v>
      </c>
      <c r="G93" s="22">
        <v>-76.5</v>
      </c>
      <c r="H93" s="22"/>
      <c r="I93" s="22"/>
    </row>
    <row r="94" spans="1:9" x14ac:dyDescent="0.25">
      <c r="A94" s="54"/>
      <c r="B94" s="23">
        <v>44778</v>
      </c>
      <c r="C94" s="24">
        <v>0.37978009259259254</v>
      </c>
      <c r="D94" s="32" t="s">
        <v>896</v>
      </c>
      <c r="E94" s="32" t="s">
        <v>709</v>
      </c>
      <c r="F94" s="26" t="s">
        <v>2796</v>
      </c>
      <c r="G94" s="22">
        <v>-1193.5</v>
      </c>
      <c r="H94" s="22"/>
      <c r="I94" s="22"/>
    </row>
    <row r="95" spans="1:9" x14ac:dyDescent="0.25">
      <c r="A95" s="54"/>
      <c r="B95" s="23">
        <v>44778</v>
      </c>
      <c r="C95" s="24">
        <v>0.38738425925925929</v>
      </c>
      <c r="D95" s="32" t="s">
        <v>896</v>
      </c>
      <c r="E95" s="32" t="s">
        <v>709</v>
      </c>
      <c r="F95" s="26" t="s">
        <v>2798</v>
      </c>
      <c r="G95" s="22">
        <v>-1500.5</v>
      </c>
      <c r="H95" s="22"/>
      <c r="I95" s="22"/>
    </row>
    <row r="96" spans="1:9" x14ac:dyDescent="0.25">
      <c r="A96" s="54"/>
      <c r="B96" s="23">
        <v>44778</v>
      </c>
      <c r="C96" s="24">
        <v>0.4074652777777778</v>
      </c>
      <c r="D96" s="32" t="s">
        <v>896</v>
      </c>
      <c r="E96" s="32" t="s">
        <v>709</v>
      </c>
      <c r="F96" s="26" t="s">
        <v>2800</v>
      </c>
      <c r="G96" s="22">
        <v>-134.5</v>
      </c>
      <c r="H96" s="22"/>
      <c r="I96" s="22"/>
    </row>
    <row r="97" spans="1:9" x14ac:dyDescent="0.25">
      <c r="A97" s="54"/>
      <c r="B97" s="23">
        <v>44778</v>
      </c>
      <c r="C97" s="24">
        <v>0.4090509259259259</v>
      </c>
      <c r="D97" s="32" t="s">
        <v>896</v>
      </c>
      <c r="E97" s="32" t="s">
        <v>709</v>
      </c>
      <c r="F97" s="26" t="s">
        <v>2802</v>
      </c>
      <c r="G97" s="22">
        <v>-161.5</v>
      </c>
      <c r="H97" s="22"/>
      <c r="I97" s="22"/>
    </row>
    <row r="98" spans="1:9" x14ac:dyDescent="0.25">
      <c r="A98" s="54"/>
      <c r="B98" s="23">
        <v>44778</v>
      </c>
      <c r="C98" s="24">
        <v>0.42511574074074071</v>
      </c>
      <c r="D98" s="32" t="s">
        <v>896</v>
      </c>
      <c r="E98" s="32" t="s">
        <v>709</v>
      </c>
      <c r="F98" s="26" t="s">
        <v>2804</v>
      </c>
      <c r="G98" s="22">
        <v>-61.5</v>
      </c>
      <c r="H98" s="22"/>
      <c r="I98" s="22"/>
    </row>
    <row r="99" spans="1:9" x14ac:dyDescent="0.25">
      <c r="A99" s="54"/>
      <c r="B99" s="23">
        <v>44778</v>
      </c>
      <c r="C99" s="24">
        <v>0.47240740740740739</v>
      </c>
      <c r="D99" s="32" t="s">
        <v>896</v>
      </c>
      <c r="E99" s="32" t="s">
        <v>709</v>
      </c>
      <c r="F99" s="26" t="s">
        <v>2806</v>
      </c>
      <c r="G99" s="22">
        <v>-123.5</v>
      </c>
      <c r="H99" s="22"/>
      <c r="I99" s="22"/>
    </row>
    <row r="100" spans="1:9" x14ac:dyDescent="0.25">
      <c r="A100" s="54"/>
      <c r="B100" s="23">
        <v>44778</v>
      </c>
      <c r="C100" s="24">
        <v>0.47520833333333329</v>
      </c>
      <c r="D100" s="32" t="s">
        <v>896</v>
      </c>
      <c r="E100" s="32" t="s">
        <v>709</v>
      </c>
      <c r="F100" s="26" t="s">
        <v>2808</v>
      </c>
      <c r="G100" s="22">
        <v>-294.5</v>
      </c>
      <c r="H100" s="22"/>
      <c r="I100" s="22"/>
    </row>
    <row r="101" spans="1:9" x14ac:dyDescent="0.25">
      <c r="A101" s="54"/>
      <c r="B101" s="23">
        <v>44778</v>
      </c>
      <c r="C101" s="24">
        <v>0.61140046296296291</v>
      </c>
      <c r="D101" s="32" t="s">
        <v>896</v>
      </c>
      <c r="E101" s="32" t="s">
        <v>709</v>
      </c>
      <c r="F101" s="26" t="s">
        <v>2810</v>
      </c>
      <c r="G101" s="22">
        <v>-98.5</v>
      </c>
      <c r="H101" s="22"/>
      <c r="I101" s="22"/>
    </row>
    <row r="102" spans="1:9" x14ac:dyDescent="0.25">
      <c r="A102" s="54"/>
      <c r="B102" s="23">
        <v>44778</v>
      </c>
      <c r="C102" s="24">
        <v>0.66840277777777779</v>
      </c>
      <c r="D102" s="32" t="s">
        <v>896</v>
      </c>
      <c r="E102" s="32" t="s">
        <v>709</v>
      </c>
      <c r="F102" s="26" t="s">
        <v>2812</v>
      </c>
      <c r="G102" s="22">
        <v>-140.5</v>
      </c>
      <c r="H102" s="22"/>
      <c r="I102" s="22"/>
    </row>
    <row r="103" spans="1:9" x14ac:dyDescent="0.25">
      <c r="A103" s="54"/>
      <c r="B103" s="27">
        <v>44778</v>
      </c>
      <c r="C103" s="28">
        <v>0.73737268518518517</v>
      </c>
      <c r="D103" s="33" t="s">
        <v>896</v>
      </c>
      <c r="E103" s="33" t="s">
        <v>709</v>
      </c>
      <c r="F103" s="30" t="s">
        <v>3498</v>
      </c>
      <c r="G103" s="29">
        <v>-68.5</v>
      </c>
      <c r="H103" s="22"/>
      <c r="I103" s="22"/>
    </row>
    <row r="104" spans="1:9" x14ac:dyDescent="0.25">
      <c r="A104" s="54"/>
      <c r="B104" s="23">
        <v>44778</v>
      </c>
      <c r="C104" s="24">
        <v>0.74370370370370376</v>
      </c>
      <c r="D104" s="32" t="s">
        <v>896</v>
      </c>
      <c r="E104" s="32" t="s">
        <v>709</v>
      </c>
      <c r="F104" s="26" t="s">
        <v>2814</v>
      </c>
      <c r="G104" s="22">
        <v>-123.5</v>
      </c>
      <c r="H104" s="22"/>
      <c r="I104" s="22"/>
    </row>
    <row r="105" spans="1:9" x14ac:dyDescent="0.25">
      <c r="A105" s="54"/>
      <c r="B105" s="23">
        <v>44779</v>
      </c>
      <c r="C105" s="24">
        <v>0.4031481481481482</v>
      </c>
      <c r="D105" s="32" t="s">
        <v>896</v>
      </c>
      <c r="E105" s="32" t="s">
        <v>709</v>
      </c>
      <c r="F105" s="26" t="s">
        <v>2816</v>
      </c>
      <c r="G105" s="22">
        <v>-81.5</v>
      </c>
      <c r="H105" s="22"/>
      <c r="I105" s="22"/>
    </row>
    <row r="106" spans="1:9" x14ac:dyDescent="0.25">
      <c r="A106" s="54"/>
      <c r="B106" s="23">
        <v>44780</v>
      </c>
      <c r="C106" s="24">
        <v>0.85456018518518517</v>
      </c>
      <c r="D106" s="32" t="s">
        <v>710</v>
      </c>
      <c r="E106" s="32" t="s">
        <v>709</v>
      </c>
      <c r="F106" s="26" t="s">
        <v>2818</v>
      </c>
      <c r="G106" s="22">
        <v>-45.5</v>
      </c>
      <c r="H106" s="22"/>
      <c r="I106" s="22"/>
    </row>
    <row r="107" spans="1:9" x14ac:dyDescent="0.25">
      <c r="A107" s="54"/>
      <c r="B107" s="56"/>
      <c r="C107" s="56"/>
      <c r="D107" s="56"/>
      <c r="E107" s="56"/>
      <c r="F107" s="56"/>
      <c r="G107" s="31">
        <f>SUM(G69:G106)</f>
        <v>-9973.5</v>
      </c>
      <c r="H107" s="25">
        <f>37*4.94</f>
        <v>182.78</v>
      </c>
      <c r="I107" s="31">
        <f>G107+H107</f>
        <v>-9790.7199999999993</v>
      </c>
    </row>
    <row r="108" spans="1:9" x14ac:dyDescent="0.25">
      <c r="A108" s="54" t="s">
        <v>833</v>
      </c>
      <c r="B108" s="53" t="s">
        <v>1270</v>
      </c>
      <c r="C108" s="55"/>
      <c r="D108" s="55"/>
      <c r="E108" s="55"/>
      <c r="F108" s="55"/>
      <c r="G108" s="25"/>
      <c r="H108" s="22"/>
      <c r="I108" s="22"/>
    </row>
    <row r="109" spans="1:9" x14ac:dyDescent="0.25">
      <c r="A109" s="54"/>
      <c r="B109" s="23">
        <v>44776</v>
      </c>
      <c r="C109" s="24">
        <v>0.46605324074074073</v>
      </c>
      <c r="D109" s="32" t="s">
        <v>897</v>
      </c>
      <c r="E109" s="32" t="s">
        <v>709</v>
      </c>
      <c r="F109" s="26" t="s">
        <v>1362</v>
      </c>
      <c r="G109" s="22">
        <v>-44.5</v>
      </c>
      <c r="H109" s="22"/>
      <c r="I109" s="22"/>
    </row>
    <row r="110" spans="1:9" x14ac:dyDescent="0.25">
      <c r="A110" s="54"/>
      <c r="B110" s="23">
        <v>44776</v>
      </c>
      <c r="C110" s="24">
        <v>0.62702546296296291</v>
      </c>
      <c r="D110" s="32" t="s">
        <v>897</v>
      </c>
      <c r="E110" s="32" t="s">
        <v>709</v>
      </c>
      <c r="F110" s="26" t="s">
        <v>1364</v>
      </c>
      <c r="G110" s="22">
        <v>-238.5</v>
      </c>
      <c r="H110" s="22"/>
      <c r="I110" s="22"/>
    </row>
    <row r="111" spans="1:9" x14ac:dyDescent="0.25">
      <c r="A111" s="54"/>
      <c r="B111" s="23">
        <v>44777</v>
      </c>
      <c r="C111" s="24">
        <v>0.5955555555555555</v>
      </c>
      <c r="D111" s="32" t="s">
        <v>711</v>
      </c>
      <c r="E111" s="32" t="s">
        <v>709</v>
      </c>
      <c r="F111" s="26" t="s">
        <v>1051</v>
      </c>
      <c r="G111" s="22">
        <v>-71.5</v>
      </c>
      <c r="H111" s="22"/>
      <c r="I111" s="22"/>
    </row>
    <row r="112" spans="1:9" x14ac:dyDescent="0.25">
      <c r="A112" s="54"/>
      <c r="B112" s="23">
        <v>44777</v>
      </c>
      <c r="C112" s="24">
        <v>0.74738425925925922</v>
      </c>
      <c r="D112" s="32" t="s">
        <v>897</v>
      </c>
      <c r="E112" s="32" t="s">
        <v>709</v>
      </c>
      <c r="F112" s="26" t="s">
        <v>1053</v>
      </c>
      <c r="G112" s="22">
        <v>-185.5</v>
      </c>
      <c r="H112" s="22"/>
      <c r="I112" s="22"/>
    </row>
    <row r="113" spans="1:9" x14ac:dyDescent="0.25">
      <c r="A113" s="54"/>
      <c r="B113" s="23">
        <v>44777</v>
      </c>
      <c r="C113" s="24">
        <v>0.75806712962962963</v>
      </c>
      <c r="D113" s="32" t="s">
        <v>897</v>
      </c>
      <c r="E113" s="32" t="s">
        <v>709</v>
      </c>
      <c r="F113" s="26" t="s">
        <v>1055</v>
      </c>
      <c r="G113" s="22">
        <v>-109.5</v>
      </c>
      <c r="H113" s="22"/>
      <c r="I113" s="22"/>
    </row>
    <row r="114" spans="1:9" x14ac:dyDescent="0.25">
      <c r="A114" s="54"/>
      <c r="B114" s="23">
        <v>44777</v>
      </c>
      <c r="C114" s="24">
        <v>0.76925925925925931</v>
      </c>
      <c r="D114" s="32" t="s">
        <v>897</v>
      </c>
      <c r="E114" s="32" t="s">
        <v>709</v>
      </c>
      <c r="F114" s="26" t="s">
        <v>1056</v>
      </c>
      <c r="G114" s="22">
        <v>-178.5</v>
      </c>
      <c r="H114" s="22"/>
      <c r="I114" s="22"/>
    </row>
    <row r="115" spans="1:9" x14ac:dyDescent="0.25">
      <c r="A115" s="54"/>
      <c r="B115" s="23">
        <v>44777</v>
      </c>
      <c r="C115" s="24">
        <v>0.83194444444444438</v>
      </c>
      <c r="D115" s="32" t="s">
        <v>897</v>
      </c>
      <c r="E115" s="32" t="s">
        <v>709</v>
      </c>
      <c r="F115" s="26" t="s">
        <v>1058</v>
      </c>
      <c r="G115" s="22">
        <v>-105.5</v>
      </c>
      <c r="H115" s="22"/>
      <c r="I115" s="22"/>
    </row>
    <row r="116" spans="1:9" x14ac:dyDescent="0.25">
      <c r="A116" s="54"/>
      <c r="B116" s="23">
        <v>44777</v>
      </c>
      <c r="C116" s="24">
        <v>0.83540509259259255</v>
      </c>
      <c r="D116" s="32" t="s">
        <v>897</v>
      </c>
      <c r="E116" s="32" t="s">
        <v>709</v>
      </c>
      <c r="F116" s="26" t="s">
        <v>1060</v>
      </c>
      <c r="G116" s="22">
        <v>-3241.5</v>
      </c>
      <c r="H116" s="22"/>
      <c r="I116" s="22"/>
    </row>
    <row r="117" spans="1:9" x14ac:dyDescent="0.25">
      <c r="A117" s="54"/>
      <c r="B117" s="27">
        <v>44777</v>
      </c>
      <c r="C117" s="28">
        <v>0.87694444444444442</v>
      </c>
      <c r="D117" s="33" t="s">
        <v>897</v>
      </c>
      <c r="E117" s="33" t="s">
        <v>709</v>
      </c>
      <c r="F117" s="30" t="s">
        <v>1257</v>
      </c>
      <c r="G117" s="29">
        <v>-99.5</v>
      </c>
      <c r="H117" s="22"/>
      <c r="I117" s="22"/>
    </row>
    <row r="118" spans="1:9" x14ac:dyDescent="0.25">
      <c r="A118" s="54"/>
      <c r="B118" s="23">
        <v>44777</v>
      </c>
      <c r="C118" s="24">
        <v>0.89560185185185182</v>
      </c>
      <c r="D118" s="32" t="s">
        <v>722</v>
      </c>
      <c r="E118" s="32" t="s">
        <v>709</v>
      </c>
      <c r="F118" s="26" t="s">
        <v>1062</v>
      </c>
      <c r="G118" s="22">
        <v>-132.5</v>
      </c>
      <c r="H118" s="22"/>
      <c r="I118" s="22"/>
    </row>
    <row r="119" spans="1:9" x14ac:dyDescent="0.25">
      <c r="A119" s="54"/>
      <c r="B119" s="23">
        <v>44778</v>
      </c>
      <c r="C119" s="24">
        <v>0.37417824074074074</v>
      </c>
      <c r="D119" s="32" t="s">
        <v>711</v>
      </c>
      <c r="E119" s="32" t="s">
        <v>709</v>
      </c>
      <c r="F119" s="26" t="s">
        <v>2820</v>
      </c>
      <c r="G119" s="22">
        <v>-147.5</v>
      </c>
      <c r="H119" s="22"/>
      <c r="I119" s="22"/>
    </row>
    <row r="120" spans="1:9" x14ac:dyDescent="0.25">
      <c r="A120" s="54"/>
      <c r="B120" s="23">
        <v>44778</v>
      </c>
      <c r="C120" s="24">
        <v>0.38024305555555554</v>
      </c>
      <c r="D120" s="32" t="s">
        <v>711</v>
      </c>
      <c r="E120" s="32" t="s">
        <v>709</v>
      </c>
      <c r="F120" s="26" t="s">
        <v>2822</v>
      </c>
      <c r="G120" s="22">
        <v>-1647.5</v>
      </c>
      <c r="H120" s="22"/>
      <c r="I120" s="22"/>
    </row>
    <row r="121" spans="1:9" x14ac:dyDescent="0.25">
      <c r="A121" s="54"/>
      <c r="B121" s="23">
        <v>44778</v>
      </c>
      <c r="C121" s="24">
        <v>0.3815162037037037</v>
      </c>
      <c r="D121" s="32" t="s">
        <v>711</v>
      </c>
      <c r="E121" s="32" t="s">
        <v>709</v>
      </c>
      <c r="F121" s="26" t="s">
        <v>2824</v>
      </c>
      <c r="G121" s="22">
        <v>-97.5</v>
      </c>
      <c r="H121" s="22"/>
      <c r="I121" s="22"/>
    </row>
    <row r="122" spans="1:9" x14ac:dyDescent="0.25">
      <c r="A122" s="54"/>
      <c r="B122" s="23">
        <v>44778</v>
      </c>
      <c r="C122" s="24">
        <v>0.38450231481481478</v>
      </c>
      <c r="D122" s="32" t="s">
        <v>711</v>
      </c>
      <c r="E122" s="32" t="s">
        <v>709</v>
      </c>
      <c r="F122" s="26" t="s">
        <v>2826</v>
      </c>
      <c r="G122" s="22">
        <v>-68.5</v>
      </c>
      <c r="H122" s="22"/>
      <c r="I122" s="22"/>
    </row>
    <row r="123" spans="1:9" x14ac:dyDescent="0.25">
      <c r="A123" s="54"/>
      <c r="B123" s="23">
        <v>44778</v>
      </c>
      <c r="C123" s="24">
        <v>0.39483796296296297</v>
      </c>
      <c r="D123" s="32" t="s">
        <v>711</v>
      </c>
      <c r="E123" s="32" t="s">
        <v>709</v>
      </c>
      <c r="F123" s="26" t="s">
        <v>2828</v>
      </c>
      <c r="G123" s="22">
        <v>-186.5</v>
      </c>
      <c r="H123" s="22"/>
      <c r="I123" s="22"/>
    </row>
    <row r="124" spans="1:9" x14ac:dyDescent="0.25">
      <c r="A124" s="54"/>
      <c r="B124" s="23">
        <v>44778</v>
      </c>
      <c r="C124" s="24">
        <v>0.39741898148148147</v>
      </c>
      <c r="D124" s="32" t="s">
        <v>711</v>
      </c>
      <c r="E124" s="32" t="s">
        <v>709</v>
      </c>
      <c r="F124" s="26" t="s">
        <v>2830</v>
      </c>
      <c r="G124" s="22">
        <v>-283.5</v>
      </c>
      <c r="H124" s="22"/>
      <c r="I124" s="22"/>
    </row>
    <row r="125" spans="1:9" x14ac:dyDescent="0.25">
      <c r="A125" s="54"/>
      <c r="B125" s="23">
        <v>44778</v>
      </c>
      <c r="C125" s="24">
        <v>0.39917824074074071</v>
      </c>
      <c r="D125" s="32" t="s">
        <v>711</v>
      </c>
      <c r="E125" s="32" t="s">
        <v>709</v>
      </c>
      <c r="F125" s="26" t="s">
        <v>2832</v>
      </c>
      <c r="G125" s="22">
        <v>-161.5</v>
      </c>
      <c r="H125" s="22"/>
      <c r="I125" s="22"/>
    </row>
    <row r="126" spans="1:9" x14ac:dyDescent="0.25">
      <c r="A126" s="54"/>
      <c r="B126" s="23">
        <v>44778</v>
      </c>
      <c r="C126" s="24">
        <v>0.41054398148148147</v>
      </c>
      <c r="D126" s="32" t="s">
        <v>711</v>
      </c>
      <c r="E126" s="32" t="s">
        <v>709</v>
      </c>
      <c r="F126" s="26" t="s">
        <v>2834</v>
      </c>
      <c r="G126" s="22">
        <v>-49.5</v>
      </c>
      <c r="H126" s="22"/>
      <c r="I126" s="22"/>
    </row>
    <row r="127" spans="1:9" x14ac:dyDescent="0.25">
      <c r="A127" s="54"/>
      <c r="B127" s="23">
        <v>44778</v>
      </c>
      <c r="C127" s="24">
        <v>0.56863425925925926</v>
      </c>
      <c r="D127" s="32" t="s">
        <v>711</v>
      </c>
      <c r="E127" s="32" t="s">
        <v>709</v>
      </c>
      <c r="F127" s="26" t="s">
        <v>2836</v>
      </c>
      <c r="G127" s="22">
        <v>-111.5</v>
      </c>
      <c r="H127" s="22"/>
      <c r="I127" s="22"/>
    </row>
    <row r="128" spans="1:9" x14ac:dyDescent="0.25">
      <c r="A128" s="54"/>
      <c r="B128" s="23">
        <v>44779</v>
      </c>
      <c r="C128" s="24">
        <v>0.61539351851851853</v>
      </c>
      <c r="D128" s="32" t="s">
        <v>897</v>
      </c>
      <c r="E128" s="32" t="s">
        <v>709</v>
      </c>
      <c r="F128" s="26" t="s">
        <v>2838</v>
      </c>
      <c r="G128" s="22">
        <v>-45.5</v>
      </c>
      <c r="H128" s="22"/>
      <c r="I128" s="22"/>
    </row>
    <row r="129" spans="1:9" x14ac:dyDescent="0.25">
      <c r="A129" s="54"/>
      <c r="B129" s="23">
        <v>44779</v>
      </c>
      <c r="C129" s="24">
        <v>0.69303240740740746</v>
      </c>
      <c r="D129" s="32" t="s">
        <v>897</v>
      </c>
      <c r="E129" s="32" t="s">
        <v>709</v>
      </c>
      <c r="F129" s="26" t="s">
        <v>2840</v>
      </c>
      <c r="G129" s="22">
        <v>-231.5</v>
      </c>
      <c r="H129" s="22"/>
      <c r="I129" s="22"/>
    </row>
    <row r="130" spans="1:9" x14ac:dyDescent="0.25">
      <c r="A130" s="54"/>
      <c r="B130" s="23">
        <v>44780</v>
      </c>
      <c r="C130" s="24">
        <v>0.40403935185185186</v>
      </c>
      <c r="D130" s="32" t="s">
        <v>711</v>
      </c>
      <c r="E130" s="32" t="s">
        <v>709</v>
      </c>
      <c r="F130" s="26" t="s">
        <v>2842</v>
      </c>
      <c r="G130" s="22">
        <v>-44.5</v>
      </c>
      <c r="H130" s="22"/>
      <c r="I130" s="22"/>
    </row>
    <row r="131" spans="1:9" x14ac:dyDescent="0.25">
      <c r="A131" s="54"/>
      <c r="B131" s="56"/>
      <c r="C131" s="56"/>
      <c r="D131" s="56"/>
      <c r="E131" s="56"/>
      <c r="F131" s="56"/>
      <c r="G131" s="31">
        <f>SUM(G109:G130)</f>
        <v>-7482</v>
      </c>
      <c r="H131" s="25">
        <f>22*4.94</f>
        <v>108.68</v>
      </c>
      <c r="I131" s="31">
        <f>G131+H131</f>
        <v>-7373.32</v>
      </c>
    </row>
    <row r="132" spans="1:9" x14ac:dyDescent="0.25">
      <c r="A132" s="54" t="s">
        <v>833</v>
      </c>
      <c r="B132" s="53" t="s">
        <v>821</v>
      </c>
      <c r="C132" s="55"/>
      <c r="D132" s="55"/>
      <c r="E132" s="55"/>
      <c r="F132" s="55"/>
      <c r="G132" s="25"/>
      <c r="H132" s="22"/>
      <c r="I132" s="22"/>
    </row>
    <row r="133" spans="1:9" x14ac:dyDescent="0.25">
      <c r="A133" s="54"/>
      <c r="B133" s="23">
        <v>44774</v>
      </c>
      <c r="C133" s="24">
        <v>0.7168402777777777</v>
      </c>
      <c r="D133" s="32" t="s">
        <v>714</v>
      </c>
      <c r="E133" s="32" t="s">
        <v>709</v>
      </c>
      <c r="F133" s="26" t="s">
        <v>1543</v>
      </c>
      <c r="G133" s="22">
        <v>-125.5</v>
      </c>
      <c r="H133" s="22"/>
      <c r="I133" s="22"/>
    </row>
    <row r="134" spans="1:9" x14ac:dyDescent="0.25">
      <c r="A134" s="54"/>
      <c r="B134" s="23">
        <v>44775</v>
      </c>
      <c r="C134" s="24">
        <v>0.66271990740740738</v>
      </c>
      <c r="D134" s="32" t="s">
        <v>714</v>
      </c>
      <c r="E134" s="32" t="s">
        <v>709</v>
      </c>
      <c r="F134" s="26" t="s">
        <v>763</v>
      </c>
      <c r="G134" s="22">
        <v>-51.5</v>
      </c>
      <c r="H134" s="22"/>
      <c r="I134" s="22"/>
    </row>
    <row r="135" spans="1:9" x14ac:dyDescent="0.25">
      <c r="A135" s="54"/>
      <c r="B135" s="23">
        <v>44777</v>
      </c>
      <c r="C135" s="24">
        <v>0.760625</v>
      </c>
      <c r="D135" s="32" t="s">
        <v>714</v>
      </c>
      <c r="E135" s="32" t="s">
        <v>709</v>
      </c>
      <c r="F135" s="26" t="s">
        <v>1064</v>
      </c>
      <c r="G135" s="22">
        <v>-215.5</v>
      </c>
      <c r="H135" s="22"/>
      <c r="I135" s="22"/>
    </row>
    <row r="136" spans="1:9" x14ac:dyDescent="0.25">
      <c r="A136" s="54"/>
      <c r="B136" s="23">
        <v>44777</v>
      </c>
      <c r="C136" s="24">
        <v>0.85627314814814814</v>
      </c>
      <c r="D136" s="32" t="s">
        <v>898</v>
      </c>
      <c r="E136" s="32" t="s">
        <v>709</v>
      </c>
      <c r="F136" s="26" t="s">
        <v>1066</v>
      </c>
      <c r="G136" s="22">
        <v>-172.5</v>
      </c>
      <c r="H136" s="22"/>
      <c r="I136" s="22"/>
    </row>
    <row r="137" spans="1:9" x14ac:dyDescent="0.25">
      <c r="A137" s="54"/>
      <c r="B137" s="23">
        <v>44777</v>
      </c>
      <c r="C137" s="24">
        <v>0.91795138888888894</v>
      </c>
      <c r="D137" s="32" t="s">
        <v>898</v>
      </c>
      <c r="E137" s="32" t="s">
        <v>709</v>
      </c>
      <c r="F137" s="26" t="s">
        <v>1068</v>
      </c>
      <c r="G137" s="22">
        <v>-189.5</v>
      </c>
      <c r="H137" s="22"/>
      <c r="I137" s="22"/>
    </row>
    <row r="138" spans="1:9" x14ac:dyDescent="0.25">
      <c r="A138" s="54"/>
      <c r="B138" s="23">
        <v>44778</v>
      </c>
      <c r="C138" s="24">
        <v>0.33659722222222221</v>
      </c>
      <c r="D138" s="32" t="s">
        <v>714</v>
      </c>
      <c r="E138" s="32" t="s">
        <v>709</v>
      </c>
      <c r="F138" s="26" t="s">
        <v>2844</v>
      </c>
      <c r="G138" s="22">
        <v>-112.5</v>
      </c>
      <c r="H138" s="22"/>
      <c r="I138" s="22"/>
    </row>
    <row r="139" spans="1:9" x14ac:dyDescent="0.25">
      <c r="A139" s="54"/>
      <c r="B139" s="23">
        <v>44778</v>
      </c>
      <c r="C139" s="24">
        <v>0.34348379629629627</v>
      </c>
      <c r="D139" s="32" t="s">
        <v>714</v>
      </c>
      <c r="E139" s="32" t="s">
        <v>709</v>
      </c>
      <c r="F139" s="26" t="s">
        <v>2846</v>
      </c>
      <c r="G139" s="22">
        <v>-189.5</v>
      </c>
      <c r="H139" s="22"/>
      <c r="I139" s="22"/>
    </row>
    <row r="140" spans="1:9" x14ac:dyDescent="0.25">
      <c r="A140" s="54"/>
      <c r="B140" s="23">
        <v>44778</v>
      </c>
      <c r="C140" s="24">
        <v>0.34697916666666667</v>
      </c>
      <c r="D140" s="32" t="s">
        <v>714</v>
      </c>
      <c r="E140" s="32" t="s">
        <v>709</v>
      </c>
      <c r="F140" s="26" t="s">
        <v>2848</v>
      </c>
      <c r="G140" s="22">
        <v>-3863.5</v>
      </c>
      <c r="H140" s="22"/>
      <c r="I140" s="22"/>
    </row>
    <row r="141" spans="1:9" x14ac:dyDescent="0.25">
      <c r="A141" s="54"/>
      <c r="B141" s="23">
        <v>44778</v>
      </c>
      <c r="C141" s="24">
        <v>0.53156250000000005</v>
      </c>
      <c r="D141" s="32" t="s">
        <v>714</v>
      </c>
      <c r="E141" s="32" t="s">
        <v>709</v>
      </c>
      <c r="F141" s="26" t="s">
        <v>2850</v>
      </c>
      <c r="G141" s="22">
        <v>-164.5</v>
      </c>
      <c r="H141" s="22"/>
      <c r="I141" s="22"/>
    </row>
    <row r="142" spans="1:9" x14ac:dyDescent="0.25">
      <c r="A142" s="54"/>
      <c r="B142" s="23">
        <v>44778</v>
      </c>
      <c r="C142" s="24">
        <v>0.56731481481481483</v>
      </c>
      <c r="D142" s="32" t="s">
        <v>714</v>
      </c>
      <c r="E142" s="32" t="s">
        <v>709</v>
      </c>
      <c r="F142" s="26" t="s">
        <v>2852</v>
      </c>
      <c r="G142" s="22">
        <v>-122.5</v>
      </c>
      <c r="H142" s="22"/>
      <c r="I142" s="22"/>
    </row>
    <row r="143" spans="1:9" x14ac:dyDescent="0.25">
      <c r="A143" s="54"/>
      <c r="B143" s="23">
        <v>44778</v>
      </c>
      <c r="C143" s="24">
        <v>0.81481481481481488</v>
      </c>
      <c r="D143" s="32" t="s">
        <v>898</v>
      </c>
      <c r="E143" s="32" t="s">
        <v>709</v>
      </c>
      <c r="F143" s="26" t="s">
        <v>2854</v>
      </c>
      <c r="G143" s="22">
        <v>-93.5</v>
      </c>
      <c r="H143" s="22"/>
      <c r="I143" s="22"/>
    </row>
    <row r="144" spans="1:9" x14ac:dyDescent="0.25">
      <c r="A144" s="54"/>
      <c r="B144" s="23">
        <v>44778</v>
      </c>
      <c r="C144" s="24">
        <v>0.93339120370370365</v>
      </c>
      <c r="D144" s="32" t="s">
        <v>898</v>
      </c>
      <c r="E144" s="32" t="s">
        <v>709</v>
      </c>
      <c r="F144" s="26" t="s">
        <v>2856</v>
      </c>
      <c r="G144" s="22">
        <v>-127.5</v>
      </c>
      <c r="H144" s="22"/>
      <c r="I144" s="22"/>
    </row>
    <row r="145" spans="1:9" x14ac:dyDescent="0.25">
      <c r="A145" s="54"/>
      <c r="B145" s="56"/>
      <c r="C145" s="56"/>
      <c r="D145" s="56"/>
      <c r="E145" s="56"/>
      <c r="F145" s="56"/>
      <c r="G145" s="31">
        <f>SUM(G133:G144)</f>
        <v>-5428</v>
      </c>
      <c r="H145" s="25">
        <f>12*4.94</f>
        <v>59.28</v>
      </c>
      <c r="I145" s="31">
        <f>G145+H145</f>
        <v>-5368.72</v>
      </c>
    </row>
    <row r="146" spans="1:9" x14ac:dyDescent="0.25">
      <c r="A146" s="54" t="s">
        <v>833</v>
      </c>
      <c r="B146" s="53" t="s">
        <v>822</v>
      </c>
      <c r="C146" s="55"/>
      <c r="D146" s="55"/>
      <c r="E146" s="55"/>
      <c r="F146" s="55"/>
      <c r="G146" s="25"/>
      <c r="H146" s="22"/>
      <c r="I146" s="22"/>
    </row>
    <row r="147" spans="1:9" x14ac:dyDescent="0.25">
      <c r="A147" s="54"/>
      <c r="B147" s="23">
        <v>44774</v>
      </c>
      <c r="C147" s="24">
        <v>0.37031249999999999</v>
      </c>
      <c r="D147" s="32" t="s">
        <v>716</v>
      </c>
      <c r="E147" s="32" t="s">
        <v>709</v>
      </c>
      <c r="F147" s="26" t="s">
        <v>1545</v>
      </c>
      <c r="G147" s="22">
        <v>-44.5</v>
      </c>
      <c r="H147" s="22"/>
      <c r="I147" s="22"/>
    </row>
    <row r="148" spans="1:9" x14ac:dyDescent="0.25">
      <c r="A148" s="54"/>
      <c r="B148" s="23">
        <v>44774</v>
      </c>
      <c r="C148" s="24">
        <v>0.56267361111111114</v>
      </c>
      <c r="D148" s="32" t="s">
        <v>716</v>
      </c>
      <c r="E148" s="32" t="s">
        <v>709</v>
      </c>
      <c r="F148" s="26" t="s">
        <v>1546</v>
      </c>
      <c r="G148" s="22">
        <v>-102.5</v>
      </c>
      <c r="H148" s="22"/>
      <c r="I148" s="22"/>
    </row>
    <row r="149" spans="1:9" x14ac:dyDescent="0.25">
      <c r="A149" s="54"/>
      <c r="B149" s="23">
        <v>44775</v>
      </c>
      <c r="C149" s="24">
        <v>0.45997685185185189</v>
      </c>
      <c r="D149" s="32" t="s">
        <v>716</v>
      </c>
      <c r="E149" s="32" t="s">
        <v>709</v>
      </c>
      <c r="F149" s="26" t="s">
        <v>764</v>
      </c>
      <c r="G149" s="22">
        <v>-79.5</v>
      </c>
      <c r="H149" s="22"/>
      <c r="I149" s="22"/>
    </row>
    <row r="150" spans="1:9" x14ac:dyDescent="0.25">
      <c r="A150" s="54"/>
      <c r="B150" s="23">
        <v>44775</v>
      </c>
      <c r="C150" s="24">
        <v>0.46767361111111111</v>
      </c>
      <c r="D150" s="32" t="s">
        <v>716</v>
      </c>
      <c r="E150" s="32" t="s">
        <v>709</v>
      </c>
      <c r="F150" s="26" t="s">
        <v>766</v>
      </c>
      <c r="G150" s="22">
        <v>-99.5</v>
      </c>
      <c r="H150" s="22"/>
      <c r="I150" s="22"/>
    </row>
    <row r="151" spans="1:9" x14ac:dyDescent="0.25">
      <c r="A151" s="54"/>
      <c r="B151" s="23">
        <v>44776</v>
      </c>
      <c r="C151" s="24">
        <v>0.78339120370370363</v>
      </c>
      <c r="D151" s="32" t="s">
        <v>899</v>
      </c>
      <c r="E151" s="32" t="s">
        <v>709</v>
      </c>
      <c r="F151" s="26" t="s">
        <v>1366</v>
      </c>
      <c r="G151" s="22">
        <v>-211.5</v>
      </c>
      <c r="H151" s="22"/>
      <c r="I151" s="22"/>
    </row>
    <row r="152" spans="1:9" x14ac:dyDescent="0.25">
      <c r="A152" s="54"/>
      <c r="B152" s="27">
        <v>44776</v>
      </c>
      <c r="C152" s="28">
        <v>0.8551157407407407</v>
      </c>
      <c r="D152" s="33" t="s">
        <v>899</v>
      </c>
      <c r="E152" s="33" t="s">
        <v>709</v>
      </c>
      <c r="F152" s="30" t="s">
        <v>1451</v>
      </c>
      <c r="G152" s="29">
        <v>-63.5</v>
      </c>
      <c r="H152" s="22"/>
      <c r="I152" s="22"/>
    </row>
    <row r="153" spans="1:9" x14ac:dyDescent="0.25">
      <c r="A153" s="54"/>
      <c r="B153" s="23">
        <v>44776</v>
      </c>
      <c r="C153" s="24">
        <v>0.93256944444444445</v>
      </c>
      <c r="D153" s="32" t="s">
        <v>899</v>
      </c>
      <c r="E153" s="32" t="s">
        <v>709</v>
      </c>
      <c r="F153" s="26" t="s">
        <v>1368</v>
      </c>
      <c r="G153" s="22">
        <v>-541.5</v>
      </c>
      <c r="H153" s="22"/>
      <c r="I153" s="22"/>
    </row>
    <row r="154" spans="1:9" x14ac:dyDescent="0.25">
      <c r="A154" s="54"/>
      <c r="B154" s="23">
        <v>44777</v>
      </c>
      <c r="C154" s="24">
        <v>0.47435185185185186</v>
      </c>
      <c r="D154" s="32" t="s">
        <v>716</v>
      </c>
      <c r="E154" s="32" t="s">
        <v>709</v>
      </c>
      <c r="F154" s="26" t="s">
        <v>1070</v>
      </c>
      <c r="G154" s="22">
        <v>-93.5</v>
      </c>
      <c r="H154" s="22"/>
      <c r="I154" s="22"/>
    </row>
    <row r="155" spans="1:9" x14ac:dyDescent="0.25">
      <c r="A155" s="54"/>
      <c r="B155" s="23">
        <v>44777</v>
      </c>
      <c r="C155" s="24">
        <v>0.68221064814814814</v>
      </c>
      <c r="D155" s="32" t="s">
        <v>716</v>
      </c>
      <c r="E155" s="32" t="s">
        <v>709</v>
      </c>
      <c r="F155" s="26" t="s">
        <v>1072</v>
      </c>
      <c r="G155" s="22">
        <v>-203.5</v>
      </c>
      <c r="H155" s="22"/>
      <c r="I155" s="22"/>
    </row>
    <row r="156" spans="1:9" x14ac:dyDescent="0.25">
      <c r="A156" s="54"/>
      <c r="B156" s="23">
        <v>44777</v>
      </c>
      <c r="C156" s="24">
        <v>0.82246527777777778</v>
      </c>
      <c r="D156" s="32" t="s">
        <v>899</v>
      </c>
      <c r="E156" s="32" t="s">
        <v>709</v>
      </c>
      <c r="F156" s="26" t="s">
        <v>1074</v>
      </c>
      <c r="G156" s="22">
        <v>-319.5</v>
      </c>
      <c r="H156" s="22"/>
      <c r="I156" s="22"/>
    </row>
    <row r="157" spans="1:9" x14ac:dyDescent="0.25">
      <c r="A157" s="54"/>
      <c r="B157" s="23">
        <v>44777</v>
      </c>
      <c r="C157" s="24">
        <v>0.82534722222222223</v>
      </c>
      <c r="D157" s="32" t="s">
        <v>899</v>
      </c>
      <c r="E157" s="32" t="s">
        <v>709</v>
      </c>
      <c r="F157" s="26" t="s">
        <v>1075</v>
      </c>
      <c r="G157" s="22">
        <v>-99.5</v>
      </c>
      <c r="H157" s="22"/>
      <c r="I157" s="22"/>
    </row>
    <row r="158" spans="1:9" x14ac:dyDescent="0.25">
      <c r="A158" s="54"/>
      <c r="B158" s="23">
        <v>44777</v>
      </c>
      <c r="C158" s="24">
        <v>0.8270601851851852</v>
      </c>
      <c r="D158" s="32" t="s">
        <v>899</v>
      </c>
      <c r="E158" s="32" t="s">
        <v>709</v>
      </c>
      <c r="F158" s="26" t="s">
        <v>1077</v>
      </c>
      <c r="G158" s="22">
        <v>-198.5</v>
      </c>
      <c r="H158" s="22"/>
      <c r="I158" s="22"/>
    </row>
    <row r="159" spans="1:9" x14ac:dyDescent="0.25">
      <c r="A159" s="54"/>
      <c r="B159" s="23">
        <v>44778</v>
      </c>
      <c r="C159" s="24">
        <v>0.299837962962963</v>
      </c>
      <c r="D159" s="32" t="s">
        <v>716</v>
      </c>
      <c r="E159" s="32" t="s">
        <v>709</v>
      </c>
      <c r="F159" s="26" t="s">
        <v>2858</v>
      </c>
      <c r="G159" s="22">
        <v>-65.5</v>
      </c>
      <c r="H159" s="22"/>
      <c r="I159" s="22"/>
    </row>
    <row r="160" spans="1:9" x14ac:dyDescent="0.25">
      <c r="A160" s="54"/>
      <c r="B160" s="23">
        <v>44778</v>
      </c>
      <c r="C160" s="24">
        <v>0.30559027777777775</v>
      </c>
      <c r="D160" s="32" t="s">
        <v>716</v>
      </c>
      <c r="E160" s="32" t="s">
        <v>709</v>
      </c>
      <c r="F160" s="26" t="s">
        <v>2860</v>
      </c>
      <c r="G160" s="22">
        <v>-68.5</v>
      </c>
      <c r="H160" s="22"/>
      <c r="I160" s="22"/>
    </row>
    <row r="161" spans="1:9" x14ac:dyDescent="0.25">
      <c r="A161" s="54"/>
      <c r="B161" s="23">
        <v>44778</v>
      </c>
      <c r="C161" s="24">
        <v>0.31158564814814815</v>
      </c>
      <c r="D161" s="32" t="s">
        <v>716</v>
      </c>
      <c r="E161" s="32" t="s">
        <v>709</v>
      </c>
      <c r="F161" s="26" t="s">
        <v>2862</v>
      </c>
      <c r="G161" s="22">
        <v>-123.5</v>
      </c>
      <c r="H161" s="22"/>
      <c r="I161" s="22"/>
    </row>
    <row r="162" spans="1:9" x14ac:dyDescent="0.25">
      <c r="A162" s="54"/>
      <c r="B162" s="23">
        <v>44778</v>
      </c>
      <c r="C162" s="24">
        <v>0.31432870370370369</v>
      </c>
      <c r="D162" s="32" t="s">
        <v>716</v>
      </c>
      <c r="E162" s="32" t="s">
        <v>709</v>
      </c>
      <c r="F162" s="26" t="s">
        <v>2864</v>
      </c>
      <c r="G162" s="22">
        <v>-91.5</v>
      </c>
      <c r="H162" s="22"/>
      <c r="I162" s="22"/>
    </row>
    <row r="163" spans="1:9" x14ac:dyDescent="0.25">
      <c r="A163" s="54"/>
      <c r="B163" s="23">
        <v>44778</v>
      </c>
      <c r="C163" s="24">
        <v>0.34475694444444444</v>
      </c>
      <c r="D163" s="32" t="s">
        <v>716</v>
      </c>
      <c r="E163" s="32" t="s">
        <v>709</v>
      </c>
      <c r="F163" s="26" t="s">
        <v>2866</v>
      </c>
      <c r="G163" s="22">
        <v>-171.5</v>
      </c>
      <c r="H163" s="22"/>
      <c r="I163" s="22"/>
    </row>
    <row r="164" spans="1:9" x14ac:dyDescent="0.25">
      <c r="A164" s="54"/>
      <c r="B164" s="23">
        <v>44778</v>
      </c>
      <c r="C164" s="24">
        <v>0.34725694444444444</v>
      </c>
      <c r="D164" s="32" t="s">
        <v>716</v>
      </c>
      <c r="E164" s="32" t="s">
        <v>709</v>
      </c>
      <c r="F164" s="26" t="s">
        <v>2868</v>
      </c>
      <c r="G164" s="22">
        <v>-275.5</v>
      </c>
      <c r="H164" s="22"/>
      <c r="I164" s="22"/>
    </row>
    <row r="165" spans="1:9" x14ac:dyDescent="0.25">
      <c r="A165" s="54"/>
      <c r="B165" s="23">
        <v>44778</v>
      </c>
      <c r="C165" s="24">
        <v>0.34918981481481487</v>
      </c>
      <c r="D165" s="32" t="s">
        <v>716</v>
      </c>
      <c r="E165" s="32" t="s">
        <v>709</v>
      </c>
      <c r="F165" s="26" t="s">
        <v>2870</v>
      </c>
      <c r="G165" s="22">
        <v>-283.5</v>
      </c>
      <c r="H165" s="22"/>
      <c r="I165" s="22"/>
    </row>
    <row r="166" spans="1:9" x14ac:dyDescent="0.25">
      <c r="A166" s="54"/>
      <c r="B166" s="23">
        <v>44778</v>
      </c>
      <c r="C166" s="24">
        <v>0.36188657407407404</v>
      </c>
      <c r="D166" s="32" t="s">
        <v>716</v>
      </c>
      <c r="E166" s="32" t="s">
        <v>709</v>
      </c>
      <c r="F166" s="26" t="s">
        <v>2872</v>
      </c>
      <c r="G166" s="22">
        <v>-1121.5</v>
      </c>
      <c r="H166" s="22"/>
      <c r="I166" s="22"/>
    </row>
    <row r="167" spans="1:9" x14ac:dyDescent="0.25">
      <c r="A167" s="54"/>
      <c r="B167" s="23">
        <v>44778</v>
      </c>
      <c r="C167" s="24">
        <v>0.37208333333333332</v>
      </c>
      <c r="D167" s="32" t="s">
        <v>716</v>
      </c>
      <c r="E167" s="32" t="s">
        <v>709</v>
      </c>
      <c r="F167" s="26" t="s">
        <v>2874</v>
      </c>
      <c r="G167" s="22">
        <v>-167.5</v>
      </c>
      <c r="H167" s="22"/>
      <c r="I167" s="22"/>
    </row>
    <row r="168" spans="1:9" x14ac:dyDescent="0.25">
      <c r="A168" s="54"/>
      <c r="B168" s="23">
        <v>44778</v>
      </c>
      <c r="C168" s="24">
        <v>0.37692129629629628</v>
      </c>
      <c r="D168" s="32" t="s">
        <v>716</v>
      </c>
      <c r="E168" s="32" t="s">
        <v>709</v>
      </c>
      <c r="F168" s="26" t="s">
        <v>2875</v>
      </c>
      <c r="G168" s="22">
        <v>-322.5</v>
      </c>
      <c r="H168" s="22"/>
      <c r="I168" s="22"/>
    </row>
    <row r="169" spans="1:9" x14ac:dyDescent="0.25">
      <c r="A169" s="54"/>
      <c r="B169" s="23">
        <v>44778</v>
      </c>
      <c r="C169" s="24">
        <v>0.40440972222222221</v>
      </c>
      <c r="D169" s="32" t="s">
        <v>716</v>
      </c>
      <c r="E169" s="32" t="s">
        <v>709</v>
      </c>
      <c r="F169" s="26" t="s">
        <v>2877</v>
      </c>
      <c r="G169" s="22">
        <v>-694.5</v>
      </c>
      <c r="H169" s="22"/>
      <c r="I169" s="22"/>
    </row>
    <row r="170" spans="1:9" x14ac:dyDescent="0.25">
      <c r="A170" s="54"/>
      <c r="B170" s="23">
        <v>44778</v>
      </c>
      <c r="C170" s="24">
        <v>0.4067013888888889</v>
      </c>
      <c r="D170" s="32" t="s">
        <v>716</v>
      </c>
      <c r="E170" s="32" t="s">
        <v>709</v>
      </c>
      <c r="F170" s="26" t="s">
        <v>2879</v>
      </c>
      <c r="G170" s="22">
        <v>-354.5</v>
      </c>
      <c r="H170" s="22"/>
      <c r="I170" s="22"/>
    </row>
    <row r="171" spans="1:9" x14ac:dyDescent="0.25">
      <c r="A171" s="54"/>
      <c r="B171" s="23">
        <v>44778</v>
      </c>
      <c r="C171" s="24">
        <v>0.40953703703703703</v>
      </c>
      <c r="D171" s="32" t="s">
        <v>716</v>
      </c>
      <c r="E171" s="32" t="s">
        <v>709</v>
      </c>
      <c r="F171" s="26" t="s">
        <v>2881</v>
      </c>
      <c r="G171" s="22">
        <v>-172.5</v>
      </c>
      <c r="H171" s="22"/>
      <c r="I171" s="22"/>
    </row>
    <row r="172" spans="1:9" x14ac:dyDescent="0.25">
      <c r="A172" s="54"/>
      <c r="B172" s="23">
        <v>44778</v>
      </c>
      <c r="C172" s="24">
        <v>0.4117824074074074</v>
      </c>
      <c r="D172" s="32" t="s">
        <v>716</v>
      </c>
      <c r="E172" s="32" t="s">
        <v>709</v>
      </c>
      <c r="F172" s="26" t="s">
        <v>2883</v>
      </c>
      <c r="G172" s="22">
        <v>-89.5</v>
      </c>
      <c r="H172" s="22"/>
      <c r="I172" s="22"/>
    </row>
    <row r="173" spans="1:9" x14ac:dyDescent="0.25">
      <c r="A173" s="54"/>
      <c r="B173" s="23">
        <v>44778</v>
      </c>
      <c r="C173" s="24">
        <v>0.42501157407407408</v>
      </c>
      <c r="D173" s="32" t="s">
        <v>716</v>
      </c>
      <c r="E173" s="32" t="s">
        <v>709</v>
      </c>
      <c r="F173" s="26" t="s">
        <v>2885</v>
      </c>
      <c r="G173" s="22">
        <v>-348.5</v>
      </c>
      <c r="H173" s="22"/>
      <c r="I173" s="22"/>
    </row>
    <row r="174" spans="1:9" x14ac:dyDescent="0.25">
      <c r="A174" s="54"/>
      <c r="B174" s="23">
        <v>44778</v>
      </c>
      <c r="C174" s="24">
        <v>0.42951388888888892</v>
      </c>
      <c r="D174" s="32" t="s">
        <v>716</v>
      </c>
      <c r="E174" s="32" t="s">
        <v>709</v>
      </c>
      <c r="F174" s="26" t="s">
        <v>2887</v>
      </c>
      <c r="G174" s="22">
        <v>-109.5</v>
      </c>
      <c r="H174" s="22"/>
      <c r="I174" s="22"/>
    </row>
    <row r="175" spans="1:9" x14ac:dyDescent="0.25">
      <c r="A175" s="54"/>
      <c r="B175" s="23">
        <v>44778</v>
      </c>
      <c r="C175" s="24">
        <v>0.44510416666666663</v>
      </c>
      <c r="D175" s="32" t="s">
        <v>716</v>
      </c>
      <c r="E175" s="32" t="s">
        <v>709</v>
      </c>
      <c r="F175" s="26" t="s">
        <v>2889</v>
      </c>
      <c r="G175" s="22">
        <v>-90.5</v>
      </c>
      <c r="H175" s="22"/>
      <c r="I175" s="22"/>
    </row>
    <row r="176" spans="1:9" x14ac:dyDescent="0.25">
      <c r="A176" s="54"/>
      <c r="B176" s="23">
        <v>44778</v>
      </c>
      <c r="C176" s="24">
        <v>0.47474537037037035</v>
      </c>
      <c r="D176" s="32" t="s">
        <v>716</v>
      </c>
      <c r="E176" s="32" t="s">
        <v>709</v>
      </c>
      <c r="F176" s="26" t="s">
        <v>2891</v>
      </c>
      <c r="G176" s="22">
        <v>-371.5</v>
      </c>
      <c r="H176" s="22"/>
      <c r="I176" s="22"/>
    </row>
    <row r="177" spans="1:9" x14ac:dyDescent="0.25">
      <c r="A177" s="54"/>
      <c r="B177" s="23">
        <v>44778</v>
      </c>
      <c r="C177" s="24">
        <v>0.53300925925925924</v>
      </c>
      <c r="D177" s="32" t="s">
        <v>716</v>
      </c>
      <c r="E177" s="32" t="s">
        <v>709</v>
      </c>
      <c r="F177" s="26" t="s">
        <v>2893</v>
      </c>
      <c r="G177" s="22">
        <v>-44.5</v>
      </c>
      <c r="H177" s="22"/>
      <c r="I177" s="22"/>
    </row>
    <row r="178" spans="1:9" x14ac:dyDescent="0.25">
      <c r="A178" s="54"/>
      <c r="B178" s="23">
        <v>44778</v>
      </c>
      <c r="C178" s="24">
        <v>0.57649305555555552</v>
      </c>
      <c r="D178" s="32" t="s">
        <v>716</v>
      </c>
      <c r="E178" s="32" t="s">
        <v>709</v>
      </c>
      <c r="F178" s="26" t="s">
        <v>2895</v>
      </c>
      <c r="G178" s="22">
        <v>-44.5</v>
      </c>
      <c r="H178" s="22"/>
      <c r="I178" s="22"/>
    </row>
    <row r="179" spans="1:9" x14ac:dyDescent="0.25">
      <c r="A179" s="54"/>
      <c r="B179" s="23">
        <v>44778</v>
      </c>
      <c r="C179" s="24">
        <v>0.62410879629629623</v>
      </c>
      <c r="D179" s="32" t="s">
        <v>716</v>
      </c>
      <c r="E179" s="32" t="s">
        <v>709</v>
      </c>
      <c r="F179" s="26" t="s">
        <v>2897</v>
      </c>
      <c r="G179" s="22">
        <v>-89.5</v>
      </c>
      <c r="H179" s="22"/>
      <c r="I179" s="22"/>
    </row>
    <row r="180" spans="1:9" x14ac:dyDescent="0.25">
      <c r="A180" s="54"/>
      <c r="B180" s="23">
        <v>44778</v>
      </c>
      <c r="C180" s="24">
        <v>0.69101851851851848</v>
      </c>
      <c r="D180" s="32" t="s">
        <v>716</v>
      </c>
      <c r="E180" s="32" t="s">
        <v>709</v>
      </c>
      <c r="F180" s="26" t="s">
        <v>2899</v>
      </c>
      <c r="G180" s="22">
        <v>-399.5</v>
      </c>
      <c r="H180" s="22"/>
      <c r="I180" s="22"/>
    </row>
    <row r="181" spans="1:9" x14ac:dyDescent="0.25">
      <c r="A181" s="54"/>
      <c r="B181" s="23">
        <v>44778</v>
      </c>
      <c r="C181" s="24">
        <v>0.7217824074074074</v>
      </c>
      <c r="D181" s="32" t="s">
        <v>716</v>
      </c>
      <c r="E181" s="32" t="s">
        <v>709</v>
      </c>
      <c r="F181" s="26" t="s">
        <v>2901</v>
      </c>
      <c r="G181" s="22">
        <v>-109.5</v>
      </c>
      <c r="H181" s="22"/>
      <c r="I181" s="22"/>
    </row>
    <row r="182" spans="1:9" x14ac:dyDescent="0.25">
      <c r="A182" s="54"/>
      <c r="B182" s="23">
        <v>44778</v>
      </c>
      <c r="C182" s="24">
        <v>0.76545138888888886</v>
      </c>
      <c r="D182" s="32" t="s">
        <v>899</v>
      </c>
      <c r="E182" s="32" t="s">
        <v>709</v>
      </c>
      <c r="F182" s="26" t="s">
        <v>2903</v>
      </c>
      <c r="G182" s="22">
        <v>-1231.5</v>
      </c>
      <c r="H182" s="22"/>
      <c r="I182" s="22"/>
    </row>
    <row r="183" spans="1:9" x14ac:dyDescent="0.25">
      <c r="A183" s="54"/>
      <c r="B183" s="23">
        <v>44778</v>
      </c>
      <c r="C183" s="24">
        <v>0.93748842592592585</v>
      </c>
      <c r="D183" s="32" t="s">
        <v>899</v>
      </c>
      <c r="E183" s="32" t="s">
        <v>709</v>
      </c>
      <c r="F183" s="26" t="s">
        <v>2905</v>
      </c>
      <c r="G183" s="22">
        <v>-57.5</v>
      </c>
      <c r="H183" s="22"/>
      <c r="I183" s="22"/>
    </row>
    <row r="184" spans="1:9" x14ac:dyDescent="0.25">
      <c r="A184" s="54"/>
      <c r="B184" s="23">
        <v>44779</v>
      </c>
      <c r="C184" s="24">
        <v>0.83981481481481479</v>
      </c>
      <c r="D184" s="32" t="s">
        <v>899</v>
      </c>
      <c r="E184" s="32" t="s">
        <v>709</v>
      </c>
      <c r="F184" s="26" t="s">
        <v>2907</v>
      </c>
      <c r="G184" s="22">
        <v>-157.5</v>
      </c>
      <c r="H184" s="22"/>
      <c r="I184" s="22"/>
    </row>
    <row r="185" spans="1:9" x14ac:dyDescent="0.25">
      <c r="A185" s="54"/>
      <c r="B185" s="23">
        <v>44780</v>
      </c>
      <c r="C185" s="24">
        <v>0.48649305555555555</v>
      </c>
      <c r="D185" s="32" t="s">
        <v>722</v>
      </c>
      <c r="E185" s="32" t="s">
        <v>709</v>
      </c>
      <c r="F185" s="26" t="s">
        <v>2909</v>
      </c>
      <c r="G185" s="22">
        <v>-96.5</v>
      </c>
      <c r="H185" s="22"/>
      <c r="I185" s="22"/>
    </row>
    <row r="186" spans="1:9" x14ac:dyDescent="0.25">
      <c r="A186" s="54"/>
      <c r="B186" s="56"/>
      <c r="C186" s="56"/>
      <c r="D186" s="56"/>
      <c r="E186" s="56"/>
      <c r="F186" s="56"/>
      <c r="G186" s="31">
        <f>SUM(G147:G185)</f>
        <v>-9209.5</v>
      </c>
      <c r="H186" s="25">
        <f>39*4.94</f>
        <v>192.66000000000003</v>
      </c>
      <c r="I186" s="31">
        <f>G186+H186</f>
        <v>-9016.84</v>
      </c>
    </row>
    <row r="187" spans="1:9" x14ac:dyDescent="0.25">
      <c r="A187" s="54" t="s">
        <v>833</v>
      </c>
      <c r="B187" s="53" t="s">
        <v>823</v>
      </c>
      <c r="C187" s="55"/>
      <c r="D187" s="55"/>
      <c r="E187" s="55"/>
      <c r="F187" s="55"/>
      <c r="G187" s="25"/>
      <c r="H187" s="22"/>
      <c r="I187" s="22"/>
    </row>
    <row r="188" spans="1:9" x14ac:dyDescent="0.25">
      <c r="A188" s="54"/>
      <c r="B188" s="23">
        <v>44774</v>
      </c>
      <c r="C188" s="24">
        <v>0.35931712962962964</v>
      </c>
      <c r="D188" s="32" t="s">
        <v>717</v>
      </c>
      <c r="E188" s="32" t="s">
        <v>709</v>
      </c>
      <c r="F188" s="26" t="s">
        <v>1548</v>
      </c>
      <c r="G188" s="22">
        <v>-113.5</v>
      </c>
      <c r="H188" s="22"/>
      <c r="I188" s="22"/>
    </row>
    <row r="189" spans="1:9" x14ac:dyDescent="0.25">
      <c r="A189" s="54"/>
      <c r="B189" s="23">
        <v>44774</v>
      </c>
      <c r="C189" s="24">
        <v>0.36653935185185182</v>
      </c>
      <c r="D189" s="32" t="s">
        <v>717</v>
      </c>
      <c r="E189" s="32" t="s">
        <v>709</v>
      </c>
      <c r="F189" s="26" t="s">
        <v>1550</v>
      </c>
      <c r="G189" s="22">
        <v>-57.5</v>
      </c>
      <c r="H189" s="22"/>
      <c r="I189" s="22"/>
    </row>
    <row r="190" spans="1:9" x14ac:dyDescent="0.25">
      <c r="A190" s="54"/>
      <c r="B190" s="23">
        <v>44774</v>
      </c>
      <c r="C190" s="24">
        <v>0.48863425925925924</v>
      </c>
      <c r="D190" s="32" t="s">
        <v>717</v>
      </c>
      <c r="E190" s="32" t="s">
        <v>709</v>
      </c>
      <c r="F190" s="26" t="s">
        <v>1552</v>
      </c>
      <c r="G190" s="22">
        <v>-70.5</v>
      </c>
      <c r="H190" s="22"/>
      <c r="I190" s="22"/>
    </row>
    <row r="191" spans="1:9" x14ac:dyDescent="0.25">
      <c r="A191" s="54"/>
      <c r="B191" s="23">
        <v>44774</v>
      </c>
      <c r="C191" s="24">
        <v>0.67518518518518522</v>
      </c>
      <c r="D191" s="32" t="s">
        <v>717</v>
      </c>
      <c r="E191" s="32" t="s">
        <v>709</v>
      </c>
      <c r="F191" s="26" t="s">
        <v>1554</v>
      </c>
      <c r="G191" s="22">
        <v>-109.5</v>
      </c>
      <c r="H191" s="22"/>
      <c r="I191" s="22"/>
    </row>
    <row r="192" spans="1:9" x14ac:dyDescent="0.25">
      <c r="A192" s="54"/>
      <c r="B192" s="23">
        <v>44775</v>
      </c>
      <c r="C192" s="24">
        <v>0.42797453703703708</v>
      </c>
      <c r="D192" s="32" t="s">
        <v>717</v>
      </c>
      <c r="E192" s="32" t="s">
        <v>709</v>
      </c>
      <c r="F192" s="26" t="s">
        <v>767</v>
      </c>
      <c r="G192" s="22">
        <v>-105.5</v>
      </c>
      <c r="H192" s="22"/>
      <c r="I192" s="22"/>
    </row>
    <row r="193" spans="1:9" x14ac:dyDescent="0.25">
      <c r="A193" s="54"/>
      <c r="B193" s="23">
        <v>44775</v>
      </c>
      <c r="C193" s="24">
        <v>0.74671296296296286</v>
      </c>
      <c r="D193" s="32" t="s">
        <v>717</v>
      </c>
      <c r="E193" s="32" t="s">
        <v>709</v>
      </c>
      <c r="F193" s="26" t="s">
        <v>769</v>
      </c>
      <c r="G193" s="22">
        <v>-190.5</v>
      </c>
      <c r="H193" s="22"/>
      <c r="I193" s="22"/>
    </row>
    <row r="194" spans="1:9" x14ac:dyDescent="0.25">
      <c r="A194" s="54"/>
      <c r="B194" s="23">
        <v>44775</v>
      </c>
      <c r="C194" s="24">
        <v>0.74807870370370377</v>
      </c>
      <c r="D194" s="32" t="s">
        <v>717</v>
      </c>
      <c r="E194" s="32" t="s">
        <v>709</v>
      </c>
      <c r="F194" s="26" t="s">
        <v>771</v>
      </c>
      <c r="G194" s="22">
        <v>-142.5</v>
      </c>
      <c r="H194" s="22"/>
      <c r="I194" s="22"/>
    </row>
    <row r="195" spans="1:9" x14ac:dyDescent="0.25">
      <c r="A195" s="54"/>
      <c r="B195" s="23">
        <v>44776</v>
      </c>
      <c r="C195" s="24">
        <v>0.42064814814814816</v>
      </c>
      <c r="D195" s="32" t="s">
        <v>900</v>
      </c>
      <c r="E195" s="32" t="s">
        <v>709</v>
      </c>
      <c r="F195" s="26" t="s">
        <v>1370</v>
      </c>
      <c r="G195" s="22">
        <v>-44.5</v>
      </c>
      <c r="H195" s="22"/>
      <c r="I195" s="22"/>
    </row>
    <row r="196" spans="1:9" x14ac:dyDescent="0.25">
      <c r="A196" s="54"/>
      <c r="B196" s="23">
        <v>44776</v>
      </c>
      <c r="C196" s="24">
        <v>0.82980324074074074</v>
      </c>
      <c r="D196" s="32" t="s">
        <v>718</v>
      </c>
      <c r="E196" s="32" t="s">
        <v>709</v>
      </c>
      <c r="F196" s="26" t="s">
        <v>1372</v>
      </c>
      <c r="G196" s="22">
        <v>-181.5</v>
      </c>
      <c r="H196" s="22"/>
      <c r="I196" s="22"/>
    </row>
    <row r="197" spans="1:9" x14ac:dyDescent="0.25">
      <c r="A197" s="54"/>
      <c r="B197" s="23">
        <v>44776</v>
      </c>
      <c r="C197" s="24">
        <v>0.91438657407407409</v>
      </c>
      <c r="D197" s="32" t="s">
        <v>718</v>
      </c>
      <c r="E197" s="32" t="s">
        <v>709</v>
      </c>
      <c r="F197" s="26" t="s">
        <v>1374</v>
      </c>
      <c r="G197" s="22">
        <v>-161.5</v>
      </c>
      <c r="H197" s="22"/>
      <c r="I197" s="22"/>
    </row>
    <row r="198" spans="1:9" x14ac:dyDescent="0.25">
      <c r="A198" s="54"/>
      <c r="B198" s="23">
        <v>44777</v>
      </c>
      <c r="C198" s="24">
        <v>0.32444444444444448</v>
      </c>
      <c r="D198" s="32" t="s">
        <v>718</v>
      </c>
      <c r="E198" s="32" t="s">
        <v>709</v>
      </c>
      <c r="F198" s="26" t="s">
        <v>1079</v>
      </c>
      <c r="G198" s="22">
        <v>-156.5</v>
      </c>
      <c r="H198" s="22"/>
      <c r="I198" s="22"/>
    </row>
    <row r="199" spans="1:9" x14ac:dyDescent="0.25">
      <c r="A199" s="54"/>
      <c r="B199" s="23">
        <v>44777</v>
      </c>
      <c r="C199" s="24">
        <v>0.39008101851851856</v>
      </c>
      <c r="D199" s="32" t="s">
        <v>900</v>
      </c>
      <c r="E199" s="32" t="s">
        <v>709</v>
      </c>
      <c r="F199" s="26" t="s">
        <v>1080</v>
      </c>
      <c r="G199" s="22">
        <v>-190.5</v>
      </c>
      <c r="H199" s="22"/>
      <c r="I199" s="22"/>
    </row>
    <row r="200" spans="1:9" x14ac:dyDescent="0.25">
      <c r="A200" s="54"/>
      <c r="B200" s="23">
        <v>44777</v>
      </c>
      <c r="C200" s="24">
        <v>0.39152777777777775</v>
      </c>
      <c r="D200" s="32" t="s">
        <v>900</v>
      </c>
      <c r="E200" s="32" t="s">
        <v>709</v>
      </c>
      <c r="F200" s="26" t="s">
        <v>1082</v>
      </c>
      <c r="G200" s="22">
        <v>-94.5</v>
      </c>
      <c r="H200" s="22"/>
      <c r="I200" s="22"/>
    </row>
    <row r="201" spans="1:9" x14ac:dyDescent="0.25">
      <c r="A201" s="54"/>
      <c r="B201" s="23">
        <v>44777</v>
      </c>
      <c r="C201" s="24">
        <v>0.39288194444444446</v>
      </c>
      <c r="D201" s="32" t="s">
        <v>900</v>
      </c>
      <c r="E201" s="32" t="s">
        <v>709</v>
      </c>
      <c r="F201" s="26" t="s">
        <v>1084</v>
      </c>
      <c r="G201" s="22">
        <v>-104.5</v>
      </c>
      <c r="H201" s="22"/>
      <c r="I201" s="22"/>
    </row>
    <row r="202" spans="1:9" x14ac:dyDescent="0.25">
      <c r="A202" s="54"/>
      <c r="B202" s="23">
        <v>44777</v>
      </c>
      <c r="C202" s="24">
        <v>0.50077546296296294</v>
      </c>
      <c r="D202" s="32" t="s">
        <v>900</v>
      </c>
      <c r="E202" s="32" t="s">
        <v>709</v>
      </c>
      <c r="F202" s="26" t="s">
        <v>1086</v>
      </c>
      <c r="G202" s="22">
        <v>-89.5</v>
      </c>
      <c r="H202" s="22"/>
      <c r="I202" s="22"/>
    </row>
    <row r="203" spans="1:9" x14ac:dyDescent="0.25">
      <c r="A203" s="54"/>
      <c r="B203" s="23">
        <v>44777</v>
      </c>
      <c r="C203" s="24">
        <v>0.50545138888888885</v>
      </c>
      <c r="D203" s="32" t="s">
        <v>900</v>
      </c>
      <c r="E203" s="32" t="s">
        <v>709</v>
      </c>
      <c r="F203" s="26" t="s">
        <v>1088</v>
      </c>
      <c r="G203" s="22">
        <v>-178.5</v>
      </c>
      <c r="H203" s="22"/>
      <c r="I203" s="22"/>
    </row>
    <row r="204" spans="1:9" x14ac:dyDescent="0.25">
      <c r="A204" s="54"/>
      <c r="B204" s="23">
        <v>44777</v>
      </c>
      <c r="C204" s="24">
        <v>0.72252314814814822</v>
      </c>
      <c r="D204" s="32" t="s">
        <v>900</v>
      </c>
      <c r="E204" s="32" t="s">
        <v>709</v>
      </c>
      <c r="F204" s="26" t="s">
        <v>1090</v>
      </c>
      <c r="G204" s="22">
        <v>-83.5</v>
      </c>
      <c r="H204" s="22"/>
      <c r="I204" s="22"/>
    </row>
    <row r="205" spans="1:9" x14ac:dyDescent="0.25">
      <c r="A205" s="54"/>
      <c r="B205" s="23">
        <v>44777</v>
      </c>
      <c r="C205" s="24">
        <v>0.72361111111111109</v>
      </c>
      <c r="D205" s="32" t="s">
        <v>900</v>
      </c>
      <c r="E205" s="32" t="s">
        <v>709</v>
      </c>
      <c r="F205" s="26" t="s">
        <v>1092</v>
      </c>
      <c r="G205" s="22">
        <v>-166.5</v>
      </c>
      <c r="H205" s="22"/>
      <c r="I205" s="22"/>
    </row>
    <row r="206" spans="1:9" x14ac:dyDescent="0.25">
      <c r="A206" s="54"/>
      <c r="B206" s="23">
        <v>44777</v>
      </c>
      <c r="C206" s="24">
        <v>0.72581018518518514</v>
      </c>
      <c r="D206" s="32" t="s">
        <v>900</v>
      </c>
      <c r="E206" s="32" t="s">
        <v>709</v>
      </c>
      <c r="F206" s="26" t="s">
        <v>1094</v>
      </c>
      <c r="G206" s="22">
        <v>-130.5</v>
      </c>
      <c r="H206" s="22"/>
      <c r="I206" s="22"/>
    </row>
    <row r="207" spans="1:9" x14ac:dyDescent="0.25">
      <c r="A207" s="54"/>
      <c r="B207" s="23">
        <v>44777</v>
      </c>
      <c r="C207" s="24">
        <v>0.74413194444444442</v>
      </c>
      <c r="D207" s="32" t="s">
        <v>900</v>
      </c>
      <c r="E207" s="32" t="s">
        <v>709</v>
      </c>
      <c r="F207" s="26" t="s">
        <v>1096</v>
      </c>
      <c r="G207" s="22">
        <v>-82.5</v>
      </c>
      <c r="H207" s="22"/>
      <c r="I207" s="22"/>
    </row>
    <row r="208" spans="1:9" x14ac:dyDescent="0.25">
      <c r="A208" s="54"/>
      <c r="B208" s="23">
        <v>44777</v>
      </c>
      <c r="C208" s="24">
        <v>0.84787037037037039</v>
      </c>
      <c r="D208" s="32" t="s">
        <v>718</v>
      </c>
      <c r="E208" s="32" t="s">
        <v>709</v>
      </c>
      <c r="F208" s="26" t="s">
        <v>1098</v>
      </c>
      <c r="G208" s="22">
        <v>-132.5</v>
      </c>
      <c r="H208" s="22"/>
      <c r="I208" s="22"/>
    </row>
    <row r="209" spans="1:9" x14ac:dyDescent="0.25">
      <c r="A209" s="54"/>
      <c r="B209" s="23">
        <v>44777</v>
      </c>
      <c r="C209" s="24">
        <v>0.86671296296296296</v>
      </c>
      <c r="D209" s="32" t="s">
        <v>718</v>
      </c>
      <c r="E209" s="32" t="s">
        <v>709</v>
      </c>
      <c r="F209" s="26" t="s">
        <v>1100</v>
      </c>
      <c r="G209" s="22">
        <v>-175.5</v>
      </c>
      <c r="H209" s="22"/>
      <c r="I209" s="22"/>
    </row>
    <row r="210" spans="1:9" x14ac:dyDescent="0.25">
      <c r="A210" s="54"/>
      <c r="B210" s="23">
        <v>44778</v>
      </c>
      <c r="C210" s="24">
        <v>0.29952546296296295</v>
      </c>
      <c r="D210" s="32" t="s">
        <v>718</v>
      </c>
      <c r="E210" s="32" t="s">
        <v>709</v>
      </c>
      <c r="F210" s="26" t="s">
        <v>2911</v>
      </c>
      <c r="G210" s="22">
        <v>-364.5</v>
      </c>
      <c r="H210" s="22"/>
      <c r="I210" s="22"/>
    </row>
    <row r="211" spans="1:9" x14ac:dyDescent="0.25">
      <c r="A211" s="54"/>
      <c r="B211" s="45">
        <v>44778</v>
      </c>
      <c r="C211" s="46">
        <v>0.33193287037037039</v>
      </c>
      <c r="D211" s="51" t="s">
        <v>718</v>
      </c>
      <c r="E211" s="51" t="s">
        <v>709</v>
      </c>
      <c r="F211" s="48" t="s">
        <v>2914</v>
      </c>
      <c r="G211" s="47">
        <v>0</v>
      </c>
      <c r="H211" s="22"/>
      <c r="I211" s="22"/>
    </row>
    <row r="212" spans="1:9" x14ac:dyDescent="0.25">
      <c r="A212" s="54"/>
      <c r="B212" s="58" t="s">
        <v>2913</v>
      </c>
      <c r="C212" s="58"/>
      <c r="D212" s="58"/>
      <c r="E212" s="58"/>
      <c r="F212" s="58"/>
      <c r="G212" s="47"/>
      <c r="H212" s="22"/>
      <c r="I212" s="22"/>
    </row>
    <row r="213" spans="1:9" x14ac:dyDescent="0.25">
      <c r="A213" s="54"/>
      <c r="B213" s="23">
        <v>44778</v>
      </c>
      <c r="C213" s="24">
        <v>0.33483796296296298</v>
      </c>
      <c r="D213" s="32" t="s">
        <v>900</v>
      </c>
      <c r="E213" s="32" t="s">
        <v>709</v>
      </c>
      <c r="F213" s="26" t="s">
        <v>2916</v>
      </c>
      <c r="G213" s="22">
        <v>-189.5</v>
      </c>
      <c r="H213" s="22"/>
      <c r="I213" s="22"/>
    </row>
    <row r="214" spans="1:9" x14ac:dyDescent="0.25">
      <c r="A214" s="54"/>
      <c r="B214" s="23">
        <v>44778</v>
      </c>
      <c r="C214" s="24">
        <v>0.34519675925925924</v>
      </c>
      <c r="D214" s="32" t="s">
        <v>900</v>
      </c>
      <c r="E214" s="32" t="s">
        <v>709</v>
      </c>
      <c r="F214" s="26" t="s">
        <v>2920</v>
      </c>
      <c r="G214" s="22">
        <v>-76.5</v>
      </c>
      <c r="H214" s="22"/>
      <c r="I214" s="22"/>
    </row>
    <row r="215" spans="1:9" x14ac:dyDescent="0.25">
      <c r="A215" s="54"/>
      <c r="B215" s="23">
        <v>44778</v>
      </c>
      <c r="C215" s="24">
        <v>0.34730324074074076</v>
      </c>
      <c r="D215" s="32" t="s">
        <v>900</v>
      </c>
      <c r="E215" s="32" t="s">
        <v>709</v>
      </c>
      <c r="F215" s="26" t="s">
        <v>2922</v>
      </c>
      <c r="G215" s="22">
        <v>-103.5</v>
      </c>
      <c r="H215" s="22"/>
      <c r="I215" s="22"/>
    </row>
    <row r="216" spans="1:9" x14ac:dyDescent="0.25">
      <c r="A216" s="54"/>
      <c r="B216" s="23">
        <v>44778</v>
      </c>
      <c r="C216" s="24">
        <v>0.34899305555555554</v>
      </c>
      <c r="D216" s="32" t="s">
        <v>900</v>
      </c>
      <c r="E216" s="32" t="s">
        <v>709</v>
      </c>
      <c r="F216" s="26" t="s">
        <v>2924</v>
      </c>
      <c r="G216" s="22">
        <v>-299.5</v>
      </c>
      <c r="H216" s="22"/>
      <c r="I216" s="22"/>
    </row>
    <row r="217" spans="1:9" x14ac:dyDescent="0.25">
      <c r="A217" s="54"/>
      <c r="B217" s="23">
        <v>44778</v>
      </c>
      <c r="C217" s="24">
        <v>0.35497685185185185</v>
      </c>
      <c r="D217" s="32" t="s">
        <v>900</v>
      </c>
      <c r="E217" s="32" t="s">
        <v>709</v>
      </c>
      <c r="F217" s="26" t="s">
        <v>2926</v>
      </c>
      <c r="G217" s="22">
        <v>-137.5</v>
      </c>
      <c r="H217" s="22"/>
      <c r="I217" s="22"/>
    </row>
    <row r="218" spans="1:9" x14ac:dyDescent="0.25">
      <c r="A218" s="54"/>
      <c r="B218" s="23">
        <v>44778</v>
      </c>
      <c r="C218" s="24">
        <v>0.35943287037037036</v>
      </c>
      <c r="D218" s="32" t="s">
        <v>900</v>
      </c>
      <c r="E218" s="32" t="s">
        <v>709</v>
      </c>
      <c r="F218" s="26" t="s">
        <v>2928</v>
      </c>
      <c r="G218" s="22">
        <v>-152.5</v>
      </c>
      <c r="H218" s="22"/>
      <c r="I218" s="22"/>
    </row>
    <row r="219" spans="1:9" x14ac:dyDescent="0.25">
      <c r="A219" s="54"/>
      <c r="B219" s="23">
        <v>44778</v>
      </c>
      <c r="C219" s="24">
        <v>0.36244212962962963</v>
      </c>
      <c r="D219" s="32" t="s">
        <v>900</v>
      </c>
      <c r="E219" s="32" t="s">
        <v>709</v>
      </c>
      <c r="F219" s="26" t="s">
        <v>2930</v>
      </c>
      <c r="G219" s="22">
        <v>-163.5</v>
      </c>
      <c r="H219" s="22"/>
      <c r="I219" s="22"/>
    </row>
    <row r="220" spans="1:9" x14ac:dyDescent="0.25">
      <c r="A220" s="54"/>
      <c r="B220" s="23">
        <v>44778</v>
      </c>
      <c r="C220" s="24">
        <v>0.36853009259259256</v>
      </c>
      <c r="D220" s="32" t="s">
        <v>900</v>
      </c>
      <c r="E220" s="32" t="s">
        <v>709</v>
      </c>
      <c r="F220" s="26" t="s">
        <v>2932</v>
      </c>
      <c r="G220" s="22">
        <v>-247.5</v>
      </c>
      <c r="H220" s="22"/>
      <c r="I220" s="22"/>
    </row>
    <row r="221" spans="1:9" x14ac:dyDescent="0.25">
      <c r="A221" s="54"/>
      <c r="B221" s="23">
        <v>44778</v>
      </c>
      <c r="C221" s="24">
        <v>0.37386574074074069</v>
      </c>
      <c r="D221" s="32" t="s">
        <v>900</v>
      </c>
      <c r="E221" s="32" t="s">
        <v>709</v>
      </c>
      <c r="F221" s="26" t="s">
        <v>2934</v>
      </c>
      <c r="G221" s="22">
        <v>-303.5</v>
      </c>
      <c r="H221" s="22"/>
      <c r="I221" s="22"/>
    </row>
    <row r="222" spans="1:9" x14ac:dyDescent="0.25">
      <c r="A222" s="54"/>
      <c r="B222" s="23">
        <v>44778</v>
      </c>
      <c r="C222" s="24">
        <v>0.37565972222222221</v>
      </c>
      <c r="D222" s="32" t="s">
        <v>900</v>
      </c>
      <c r="E222" s="32" t="s">
        <v>709</v>
      </c>
      <c r="F222" s="26" t="s">
        <v>2936</v>
      </c>
      <c r="G222" s="22">
        <v>-65.5</v>
      </c>
      <c r="H222" s="22"/>
      <c r="I222" s="22"/>
    </row>
    <row r="223" spans="1:9" x14ac:dyDescent="0.25">
      <c r="A223" s="54"/>
      <c r="B223" s="23">
        <v>44778</v>
      </c>
      <c r="C223" s="24">
        <v>0.38048611111111108</v>
      </c>
      <c r="D223" s="32" t="s">
        <v>900</v>
      </c>
      <c r="E223" s="32" t="s">
        <v>709</v>
      </c>
      <c r="F223" s="26" t="s">
        <v>2938</v>
      </c>
      <c r="G223" s="22">
        <v>-144.5</v>
      </c>
      <c r="H223" s="22"/>
      <c r="I223" s="22"/>
    </row>
    <row r="224" spans="1:9" x14ac:dyDescent="0.25">
      <c r="A224" s="54"/>
      <c r="B224" s="23">
        <v>44778</v>
      </c>
      <c r="C224" s="24">
        <v>0.38173611111111111</v>
      </c>
      <c r="D224" s="32" t="s">
        <v>900</v>
      </c>
      <c r="E224" s="32" t="s">
        <v>709</v>
      </c>
      <c r="F224" s="26" t="s">
        <v>2940</v>
      </c>
      <c r="G224" s="22">
        <v>-45.5</v>
      </c>
      <c r="H224" s="22"/>
      <c r="I224" s="22"/>
    </row>
    <row r="225" spans="1:9" x14ac:dyDescent="0.25">
      <c r="A225" s="54"/>
      <c r="B225" s="23">
        <v>44778</v>
      </c>
      <c r="C225" s="24">
        <v>0.3956365740740741</v>
      </c>
      <c r="D225" s="32" t="s">
        <v>900</v>
      </c>
      <c r="E225" s="32" t="s">
        <v>709</v>
      </c>
      <c r="F225" s="26" t="s">
        <v>2942</v>
      </c>
      <c r="G225" s="22">
        <v>-132.5</v>
      </c>
      <c r="H225" s="22"/>
      <c r="I225" s="22"/>
    </row>
    <row r="226" spans="1:9" x14ac:dyDescent="0.25">
      <c r="A226" s="54"/>
      <c r="B226" s="23">
        <v>44778</v>
      </c>
      <c r="C226" s="24">
        <v>0.3977430555555555</v>
      </c>
      <c r="D226" s="32" t="s">
        <v>900</v>
      </c>
      <c r="E226" s="32" t="s">
        <v>709</v>
      </c>
      <c r="F226" s="26" t="s">
        <v>2944</v>
      </c>
      <c r="G226" s="22">
        <v>-113.5</v>
      </c>
      <c r="H226" s="22"/>
      <c r="I226" s="22"/>
    </row>
    <row r="227" spans="1:9" x14ac:dyDescent="0.25">
      <c r="A227" s="54"/>
      <c r="B227" s="23">
        <v>44778</v>
      </c>
      <c r="C227" s="24">
        <v>0.40030092592592598</v>
      </c>
      <c r="D227" s="32" t="s">
        <v>900</v>
      </c>
      <c r="E227" s="32" t="s">
        <v>709</v>
      </c>
      <c r="F227" s="26" t="s">
        <v>2946</v>
      </c>
      <c r="G227" s="22">
        <v>-166.5</v>
      </c>
      <c r="H227" s="22"/>
      <c r="I227" s="22"/>
    </row>
    <row r="228" spans="1:9" x14ac:dyDescent="0.25">
      <c r="A228" s="54"/>
      <c r="B228" s="23">
        <v>44778</v>
      </c>
      <c r="C228" s="24">
        <v>0.41636574074074079</v>
      </c>
      <c r="D228" s="32" t="s">
        <v>900</v>
      </c>
      <c r="E228" s="32" t="s">
        <v>709</v>
      </c>
      <c r="F228" s="26" t="s">
        <v>2948</v>
      </c>
      <c r="G228" s="22">
        <v>-177.5</v>
      </c>
      <c r="H228" s="22"/>
      <c r="I228" s="22"/>
    </row>
    <row r="229" spans="1:9" x14ac:dyDescent="0.25">
      <c r="A229" s="54"/>
      <c r="B229" s="23">
        <v>44778</v>
      </c>
      <c r="C229" s="24">
        <v>0.41942129629629626</v>
      </c>
      <c r="D229" s="32" t="s">
        <v>900</v>
      </c>
      <c r="E229" s="32" t="s">
        <v>709</v>
      </c>
      <c r="F229" s="26" t="s">
        <v>2950</v>
      </c>
      <c r="G229" s="22">
        <v>-806.5</v>
      </c>
      <c r="H229" s="22"/>
      <c r="I229" s="22"/>
    </row>
    <row r="230" spans="1:9" x14ac:dyDescent="0.25">
      <c r="A230" s="54"/>
      <c r="B230" s="23">
        <v>44778</v>
      </c>
      <c r="C230" s="24">
        <v>0.42518518518518517</v>
      </c>
      <c r="D230" s="32" t="s">
        <v>900</v>
      </c>
      <c r="E230" s="32" t="s">
        <v>709</v>
      </c>
      <c r="F230" s="26" t="s">
        <v>2918</v>
      </c>
      <c r="G230" s="22">
        <v>-157.5</v>
      </c>
      <c r="H230" s="22"/>
      <c r="I230" s="22"/>
    </row>
    <row r="231" spans="1:9" x14ac:dyDescent="0.25">
      <c r="A231" s="54"/>
      <c r="B231" s="23">
        <v>44778</v>
      </c>
      <c r="C231" s="24">
        <v>0.43747685185185187</v>
      </c>
      <c r="D231" s="32" t="s">
        <v>900</v>
      </c>
      <c r="E231" s="32" t="s">
        <v>709</v>
      </c>
      <c r="F231" s="26" t="s">
        <v>2952</v>
      </c>
      <c r="G231" s="22">
        <v>-89.5</v>
      </c>
      <c r="H231" s="22"/>
      <c r="I231" s="22"/>
    </row>
    <row r="232" spans="1:9" x14ac:dyDescent="0.25">
      <c r="A232" s="54"/>
      <c r="B232" s="23">
        <v>44778</v>
      </c>
      <c r="C232" s="24">
        <v>0.45542824074074079</v>
      </c>
      <c r="D232" s="32" t="s">
        <v>900</v>
      </c>
      <c r="E232" s="32" t="s">
        <v>709</v>
      </c>
      <c r="F232" s="26" t="s">
        <v>2954</v>
      </c>
      <c r="G232" s="22">
        <v>-251.5</v>
      </c>
      <c r="H232" s="22"/>
      <c r="I232" s="22"/>
    </row>
    <row r="233" spans="1:9" x14ac:dyDescent="0.25">
      <c r="A233" s="54"/>
      <c r="B233" s="23">
        <v>44778</v>
      </c>
      <c r="C233" s="24">
        <v>0.46497685185185184</v>
      </c>
      <c r="D233" s="32" t="s">
        <v>900</v>
      </c>
      <c r="E233" s="32" t="s">
        <v>709</v>
      </c>
      <c r="F233" s="26" t="s">
        <v>2956</v>
      </c>
      <c r="G233" s="22">
        <v>-160.5</v>
      </c>
      <c r="H233" s="22"/>
      <c r="I233" s="22"/>
    </row>
    <row r="234" spans="1:9" x14ac:dyDescent="0.25">
      <c r="A234" s="54"/>
      <c r="B234" s="23">
        <v>44778</v>
      </c>
      <c r="C234" s="24">
        <v>0.47878472222222218</v>
      </c>
      <c r="D234" s="32" t="s">
        <v>900</v>
      </c>
      <c r="E234" s="32" t="s">
        <v>709</v>
      </c>
      <c r="F234" s="26" t="s">
        <v>2958</v>
      </c>
      <c r="G234" s="22">
        <v>-106.5</v>
      </c>
      <c r="H234" s="22"/>
      <c r="I234" s="22"/>
    </row>
    <row r="235" spans="1:9" x14ac:dyDescent="0.25">
      <c r="A235" s="54"/>
      <c r="B235" s="23">
        <v>44778</v>
      </c>
      <c r="C235" s="24">
        <v>0.48833333333333334</v>
      </c>
      <c r="D235" s="32" t="s">
        <v>900</v>
      </c>
      <c r="E235" s="32" t="s">
        <v>709</v>
      </c>
      <c r="F235" s="26" t="s">
        <v>2960</v>
      </c>
      <c r="G235" s="22">
        <v>-145.5</v>
      </c>
      <c r="H235" s="22"/>
      <c r="I235" s="22"/>
    </row>
    <row r="236" spans="1:9" x14ac:dyDescent="0.25">
      <c r="A236" s="54"/>
      <c r="B236" s="37">
        <v>44778</v>
      </c>
      <c r="C236" s="38">
        <v>0.51278935185185182</v>
      </c>
      <c r="D236" s="49" t="s">
        <v>895</v>
      </c>
      <c r="E236" s="49" t="s">
        <v>709</v>
      </c>
      <c r="F236" s="40" t="s">
        <v>2914</v>
      </c>
      <c r="G236" s="40" t="s">
        <v>3529</v>
      </c>
      <c r="H236" s="22"/>
      <c r="I236" s="22"/>
    </row>
    <row r="237" spans="1:9" x14ac:dyDescent="0.25">
      <c r="A237" s="54"/>
      <c r="B237" s="59" t="s">
        <v>3528</v>
      </c>
      <c r="C237" s="59"/>
      <c r="D237" s="59"/>
      <c r="E237" s="59"/>
      <c r="F237" s="59"/>
      <c r="G237" s="40"/>
      <c r="H237" s="22"/>
      <c r="I237" s="22"/>
    </row>
    <row r="238" spans="1:9" x14ac:dyDescent="0.25">
      <c r="A238" s="54"/>
      <c r="B238" s="23">
        <v>44778</v>
      </c>
      <c r="C238" s="24">
        <v>0.59105324074074073</v>
      </c>
      <c r="D238" s="32" t="s">
        <v>900</v>
      </c>
      <c r="E238" s="32" t="s">
        <v>709</v>
      </c>
      <c r="F238" s="26" t="s">
        <v>2962</v>
      </c>
      <c r="G238" s="22">
        <v>-283.5</v>
      </c>
      <c r="H238" s="22"/>
      <c r="I238" s="22"/>
    </row>
    <row r="239" spans="1:9" x14ac:dyDescent="0.25">
      <c r="A239" s="54"/>
      <c r="B239" s="23">
        <v>44778</v>
      </c>
      <c r="C239" s="24">
        <v>0.60681712962962964</v>
      </c>
      <c r="D239" s="32" t="s">
        <v>900</v>
      </c>
      <c r="E239" s="32" t="s">
        <v>709</v>
      </c>
      <c r="F239" s="26" t="s">
        <v>2964</v>
      </c>
      <c r="G239" s="22">
        <v>-112.5</v>
      </c>
      <c r="H239" s="22"/>
      <c r="I239" s="22"/>
    </row>
    <row r="240" spans="1:9" x14ac:dyDescent="0.25">
      <c r="A240" s="54"/>
      <c r="B240" s="23">
        <v>44778</v>
      </c>
      <c r="C240" s="24">
        <v>0.65553240740740748</v>
      </c>
      <c r="D240" s="32" t="s">
        <v>900</v>
      </c>
      <c r="E240" s="32" t="s">
        <v>709</v>
      </c>
      <c r="F240" s="26" t="s">
        <v>2966</v>
      </c>
      <c r="G240" s="22">
        <v>-139.5</v>
      </c>
      <c r="H240" s="22"/>
      <c r="I240" s="22"/>
    </row>
    <row r="241" spans="1:9" x14ac:dyDescent="0.25">
      <c r="A241" s="54"/>
      <c r="B241" s="23">
        <v>44778</v>
      </c>
      <c r="C241" s="24">
        <v>0.6696875000000001</v>
      </c>
      <c r="D241" s="32" t="s">
        <v>900</v>
      </c>
      <c r="E241" s="32" t="s">
        <v>709</v>
      </c>
      <c r="F241" s="26" t="s">
        <v>2968</v>
      </c>
      <c r="G241" s="22">
        <v>-22.5</v>
      </c>
      <c r="H241" s="22"/>
      <c r="I241" s="22"/>
    </row>
    <row r="242" spans="1:9" x14ac:dyDescent="0.25">
      <c r="A242" s="54"/>
      <c r="B242" s="23">
        <v>44778</v>
      </c>
      <c r="C242" s="24">
        <v>0.6740856481481482</v>
      </c>
      <c r="D242" s="32" t="s">
        <v>900</v>
      </c>
      <c r="E242" s="32" t="s">
        <v>709</v>
      </c>
      <c r="F242" s="26" t="s">
        <v>2970</v>
      </c>
      <c r="G242" s="22">
        <v>-247.5</v>
      </c>
      <c r="H242" s="22"/>
      <c r="I242" s="22"/>
    </row>
    <row r="243" spans="1:9" x14ac:dyDescent="0.25">
      <c r="A243" s="54"/>
      <c r="B243" s="23">
        <v>44778</v>
      </c>
      <c r="C243" s="24">
        <v>0.71487268518518521</v>
      </c>
      <c r="D243" s="32" t="s">
        <v>717</v>
      </c>
      <c r="E243" s="32" t="s">
        <v>709</v>
      </c>
      <c r="F243" s="26" t="s">
        <v>2972</v>
      </c>
      <c r="G243" s="22">
        <v>-315.5</v>
      </c>
      <c r="H243" s="22"/>
      <c r="I243" s="22"/>
    </row>
    <row r="244" spans="1:9" x14ac:dyDescent="0.25">
      <c r="A244" s="54"/>
      <c r="B244" s="23">
        <v>44778</v>
      </c>
      <c r="C244" s="24">
        <v>0.77423611111111112</v>
      </c>
      <c r="D244" s="32" t="s">
        <v>717</v>
      </c>
      <c r="E244" s="32" t="s">
        <v>709</v>
      </c>
      <c r="F244" s="26" t="s">
        <v>2974</v>
      </c>
      <c r="G244" s="22">
        <v>-83.5</v>
      </c>
      <c r="H244" s="22"/>
      <c r="I244" s="22"/>
    </row>
    <row r="245" spans="1:9" x14ac:dyDescent="0.25">
      <c r="A245" s="54"/>
      <c r="B245" s="23">
        <v>44778</v>
      </c>
      <c r="C245" s="24">
        <v>0.80160879629629633</v>
      </c>
      <c r="D245" s="32" t="s">
        <v>717</v>
      </c>
      <c r="E245" s="32" t="s">
        <v>709</v>
      </c>
      <c r="F245" s="26" t="s">
        <v>2976</v>
      </c>
      <c r="G245" s="22">
        <v>-116.5</v>
      </c>
      <c r="H245" s="22"/>
      <c r="I245" s="22"/>
    </row>
    <row r="246" spans="1:9" x14ac:dyDescent="0.25">
      <c r="A246" s="54"/>
      <c r="B246" s="23">
        <v>44778</v>
      </c>
      <c r="C246" s="24">
        <v>0.92511574074074077</v>
      </c>
      <c r="D246" s="32" t="s">
        <v>718</v>
      </c>
      <c r="E246" s="32" t="s">
        <v>709</v>
      </c>
      <c r="F246" s="26" t="s">
        <v>2978</v>
      </c>
      <c r="G246" s="22">
        <v>-50.5</v>
      </c>
      <c r="H246" s="22"/>
      <c r="I246" s="22"/>
    </row>
    <row r="247" spans="1:9" x14ac:dyDescent="0.25">
      <c r="A247" s="54"/>
      <c r="B247" s="23">
        <v>44778</v>
      </c>
      <c r="C247" s="24">
        <v>0.95802083333333332</v>
      </c>
      <c r="D247" s="32" t="s">
        <v>718</v>
      </c>
      <c r="E247" s="32" t="s">
        <v>709</v>
      </c>
      <c r="F247" s="26" t="s">
        <v>2980</v>
      </c>
      <c r="G247" s="22">
        <v>-186.5</v>
      </c>
      <c r="H247" s="22"/>
      <c r="I247" s="22"/>
    </row>
    <row r="248" spans="1:9" x14ac:dyDescent="0.25">
      <c r="A248" s="54"/>
      <c r="B248" s="23">
        <v>44779</v>
      </c>
      <c r="C248" s="24">
        <v>0.63472222222222219</v>
      </c>
      <c r="D248" s="32" t="s">
        <v>900</v>
      </c>
      <c r="E248" s="32" t="s">
        <v>709</v>
      </c>
      <c r="F248" s="26" t="s">
        <v>2982</v>
      </c>
      <c r="G248" s="22">
        <v>-97.5</v>
      </c>
      <c r="H248" s="22"/>
      <c r="I248" s="22"/>
    </row>
    <row r="249" spans="1:9" x14ac:dyDescent="0.25">
      <c r="A249" s="54"/>
      <c r="B249" s="23">
        <v>44780</v>
      </c>
      <c r="C249" s="24">
        <v>0.59805555555555556</v>
      </c>
      <c r="D249" s="32" t="s">
        <v>900</v>
      </c>
      <c r="E249" s="32" t="s">
        <v>709</v>
      </c>
      <c r="F249" s="26" t="s">
        <v>2984</v>
      </c>
      <c r="G249" s="22">
        <v>-97.5</v>
      </c>
      <c r="H249" s="22"/>
      <c r="I249" s="22"/>
    </row>
    <row r="250" spans="1:9" x14ac:dyDescent="0.25">
      <c r="A250" s="54"/>
      <c r="B250" s="56"/>
      <c r="C250" s="56"/>
      <c r="D250" s="56"/>
      <c r="E250" s="56"/>
      <c r="F250" s="56"/>
      <c r="G250" s="31">
        <f>SUM(G188:G249)</f>
        <v>-9116</v>
      </c>
      <c r="H250" s="25">
        <f>60*4.94</f>
        <v>296.40000000000003</v>
      </c>
      <c r="I250" s="31">
        <f>G250+H250</f>
        <v>-8819.6</v>
      </c>
    </row>
    <row r="251" spans="1:9" x14ac:dyDescent="0.25">
      <c r="A251" s="54" t="s">
        <v>833</v>
      </c>
      <c r="B251" s="53" t="s">
        <v>824</v>
      </c>
      <c r="C251" s="55"/>
      <c r="D251" s="55"/>
      <c r="E251" s="55"/>
      <c r="F251" s="55"/>
      <c r="G251" s="25"/>
      <c r="H251" s="22"/>
      <c r="I251" s="22"/>
    </row>
    <row r="252" spans="1:9" x14ac:dyDescent="0.25">
      <c r="A252" s="54"/>
      <c r="B252" s="23">
        <v>44774</v>
      </c>
      <c r="C252" s="24">
        <v>0.44</v>
      </c>
      <c r="D252" s="32" t="s">
        <v>719</v>
      </c>
      <c r="E252" s="32" t="s">
        <v>709</v>
      </c>
      <c r="F252" s="26" t="s">
        <v>1555</v>
      </c>
      <c r="G252" s="22">
        <v>-106.5</v>
      </c>
      <c r="H252" s="22"/>
      <c r="I252" s="22"/>
    </row>
    <row r="253" spans="1:9" x14ac:dyDescent="0.25">
      <c r="A253" s="54"/>
      <c r="B253" s="23">
        <v>44774</v>
      </c>
      <c r="C253" s="24">
        <v>0.44149305555555557</v>
      </c>
      <c r="D253" s="32" t="s">
        <v>719</v>
      </c>
      <c r="E253" s="32" t="s">
        <v>709</v>
      </c>
      <c r="F253" s="26" t="s">
        <v>1557</v>
      </c>
      <c r="G253" s="22">
        <v>-44.5</v>
      </c>
      <c r="H253" s="22"/>
      <c r="I253" s="22"/>
    </row>
    <row r="254" spans="1:9" x14ac:dyDescent="0.25">
      <c r="A254" s="54"/>
      <c r="B254" s="41">
        <v>44774</v>
      </c>
      <c r="C254" s="42">
        <v>0.90219907407407407</v>
      </c>
      <c r="D254" s="50" t="s">
        <v>720</v>
      </c>
      <c r="E254" s="50" t="s">
        <v>709</v>
      </c>
      <c r="F254" s="44" t="s">
        <v>1559</v>
      </c>
      <c r="G254" s="43">
        <f>-209+2.5</f>
        <v>-206.5</v>
      </c>
      <c r="H254" s="22"/>
      <c r="I254" s="22"/>
    </row>
    <row r="255" spans="1:9" x14ac:dyDescent="0.25">
      <c r="A255" s="54"/>
      <c r="B255" s="57" t="s">
        <v>1277</v>
      </c>
      <c r="C255" s="57"/>
      <c r="D255" s="57"/>
      <c r="E255" s="57"/>
      <c r="F255" s="57"/>
      <c r="G255" s="43"/>
      <c r="H255" s="22"/>
      <c r="I255" s="22"/>
    </row>
    <row r="256" spans="1:9" x14ac:dyDescent="0.25">
      <c r="A256" s="54"/>
      <c r="B256" s="23">
        <v>44775</v>
      </c>
      <c r="C256" s="24">
        <v>0.61821759259259257</v>
      </c>
      <c r="D256" s="32" t="s">
        <v>719</v>
      </c>
      <c r="E256" s="32" t="s">
        <v>709</v>
      </c>
      <c r="F256" s="26" t="s">
        <v>772</v>
      </c>
      <c r="G256" s="22">
        <v>-156.5</v>
      </c>
      <c r="H256" s="22"/>
      <c r="I256" s="22"/>
    </row>
    <row r="257" spans="1:9" x14ac:dyDescent="0.25">
      <c r="A257" s="54"/>
      <c r="B257" s="23">
        <v>44775</v>
      </c>
      <c r="C257" s="24">
        <v>0.80480324074074072</v>
      </c>
      <c r="D257" s="32" t="s">
        <v>720</v>
      </c>
      <c r="E257" s="32" t="s">
        <v>709</v>
      </c>
      <c r="F257" s="26" t="s">
        <v>773</v>
      </c>
      <c r="G257" s="22">
        <v>-139.5</v>
      </c>
      <c r="H257" s="22"/>
      <c r="I257" s="22"/>
    </row>
    <row r="258" spans="1:9" x14ac:dyDescent="0.25">
      <c r="A258" s="54"/>
      <c r="B258" s="23">
        <v>44775</v>
      </c>
      <c r="C258" s="24">
        <v>0.89214120370370376</v>
      </c>
      <c r="D258" s="32" t="s">
        <v>720</v>
      </c>
      <c r="E258" s="32" t="s">
        <v>709</v>
      </c>
      <c r="F258" s="26" t="s">
        <v>775</v>
      </c>
      <c r="G258" s="22">
        <v>-152.5</v>
      </c>
      <c r="H258" s="22"/>
      <c r="I258" s="22"/>
    </row>
    <row r="259" spans="1:9" x14ac:dyDescent="0.25">
      <c r="A259" s="54"/>
      <c r="B259" s="23">
        <v>44775</v>
      </c>
      <c r="C259" s="24">
        <v>0.89340277777777777</v>
      </c>
      <c r="D259" s="32" t="s">
        <v>720</v>
      </c>
      <c r="E259" s="32" t="s">
        <v>709</v>
      </c>
      <c r="F259" s="26" t="s">
        <v>777</v>
      </c>
      <c r="G259" s="22">
        <v>-77.5</v>
      </c>
      <c r="H259" s="22"/>
      <c r="I259" s="22"/>
    </row>
    <row r="260" spans="1:9" x14ac:dyDescent="0.25">
      <c r="A260" s="54"/>
      <c r="B260" s="23">
        <v>44775</v>
      </c>
      <c r="C260" s="24">
        <v>0.89513888888888893</v>
      </c>
      <c r="D260" s="32" t="s">
        <v>720</v>
      </c>
      <c r="E260" s="32" t="s">
        <v>709</v>
      </c>
      <c r="F260" s="26" t="s">
        <v>779</v>
      </c>
      <c r="G260" s="22">
        <v>-86.5</v>
      </c>
      <c r="H260" s="22"/>
      <c r="I260" s="22"/>
    </row>
    <row r="261" spans="1:9" x14ac:dyDescent="0.25">
      <c r="A261" s="54"/>
      <c r="B261" s="23">
        <v>44776</v>
      </c>
      <c r="C261" s="24">
        <v>0.35494212962962962</v>
      </c>
      <c r="D261" s="32" t="s">
        <v>719</v>
      </c>
      <c r="E261" s="32" t="s">
        <v>709</v>
      </c>
      <c r="F261" s="26" t="s">
        <v>1376</v>
      </c>
      <c r="G261" s="22">
        <v>-211.5</v>
      </c>
      <c r="H261" s="22"/>
      <c r="I261" s="22"/>
    </row>
    <row r="262" spans="1:9" x14ac:dyDescent="0.25">
      <c r="A262" s="54"/>
      <c r="B262" s="23">
        <v>44776</v>
      </c>
      <c r="C262" s="24">
        <v>0.58299768518518513</v>
      </c>
      <c r="D262" s="32" t="s">
        <v>719</v>
      </c>
      <c r="E262" s="32" t="s">
        <v>709</v>
      </c>
      <c r="F262" s="26" t="s">
        <v>1377</v>
      </c>
      <c r="G262" s="22">
        <v>-166.5</v>
      </c>
      <c r="H262" s="22"/>
      <c r="I262" s="22"/>
    </row>
    <row r="263" spans="1:9" x14ac:dyDescent="0.25">
      <c r="A263" s="54"/>
      <c r="B263" s="23">
        <v>44776</v>
      </c>
      <c r="C263" s="24">
        <v>0.60403935185185187</v>
      </c>
      <c r="D263" s="32" t="s">
        <v>719</v>
      </c>
      <c r="E263" s="32" t="s">
        <v>709</v>
      </c>
      <c r="F263" s="26" t="s">
        <v>1379</v>
      </c>
      <c r="G263" s="22">
        <v>-166.5</v>
      </c>
      <c r="H263" s="22"/>
      <c r="I263" s="22"/>
    </row>
    <row r="264" spans="1:9" x14ac:dyDescent="0.25">
      <c r="A264" s="54"/>
      <c r="B264" s="45">
        <v>44776</v>
      </c>
      <c r="C264" s="46">
        <v>0.70973379629629629</v>
      </c>
      <c r="D264" s="51" t="s">
        <v>719</v>
      </c>
      <c r="E264" s="51" t="s">
        <v>709</v>
      </c>
      <c r="F264" s="48" t="s">
        <v>1266</v>
      </c>
      <c r="G264" s="47">
        <v>-43.5</v>
      </c>
      <c r="H264" s="22"/>
      <c r="I264" s="22"/>
    </row>
    <row r="265" spans="1:9" x14ac:dyDescent="0.25">
      <c r="A265" s="54"/>
      <c r="B265" s="58" t="s">
        <v>1381</v>
      </c>
      <c r="C265" s="58"/>
      <c r="D265" s="58"/>
      <c r="E265" s="58"/>
      <c r="F265" s="58"/>
      <c r="G265" s="47"/>
      <c r="H265" s="22"/>
      <c r="I265" s="22"/>
    </row>
    <row r="266" spans="1:9" x14ac:dyDescent="0.25">
      <c r="A266" s="54"/>
      <c r="B266" s="23">
        <v>44777</v>
      </c>
      <c r="C266" s="24">
        <v>0.30344907407407407</v>
      </c>
      <c r="D266" s="32" t="s">
        <v>719</v>
      </c>
      <c r="E266" s="32" t="s">
        <v>709</v>
      </c>
      <c r="F266" s="26" t="s">
        <v>1102</v>
      </c>
      <c r="G266" s="22">
        <v>-131.5</v>
      </c>
      <c r="H266" s="22"/>
      <c r="I266" s="22"/>
    </row>
    <row r="267" spans="1:9" x14ac:dyDescent="0.25">
      <c r="A267" s="54"/>
      <c r="B267" s="37">
        <v>44777</v>
      </c>
      <c r="C267" s="38">
        <v>0.30680555555555555</v>
      </c>
      <c r="D267" s="49" t="s">
        <v>719</v>
      </c>
      <c r="E267" s="49" t="s">
        <v>709</v>
      </c>
      <c r="F267" s="40" t="s">
        <v>1266</v>
      </c>
      <c r="G267" s="40" t="s">
        <v>1626</v>
      </c>
      <c r="H267" s="22"/>
      <c r="I267" s="22"/>
    </row>
    <row r="268" spans="1:9" x14ac:dyDescent="0.25">
      <c r="A268" s="54"/>
      <c r="B268" s="59" t="s">
        <v>3528</v>
      </c>
      <c r="C268" s="59"/>
      <c r="D268" s="59"/>
      <c r="E268" s="59"/>
      <c r="F268" s="59"/>
      <c r="G268" s="40"/>
      <c r="H268" s="22"/>
      <c r="I268" s="22"/>
    </row>
    <row r="269" spans="1:9" x14ac:dyDescent="0.25">
      <c r="A269" s="54"/>
      <c r="B269" s="23">
        <v>44777</v>
      </c>
      <c r="C269" s="24">
        <v>0.35652777777777778</v>
      </c>
      <c r="D269" s="32" t="s">
        <v>719</v>
      </c>
      <c r="E269" s="32" t="s">
        <v>709</v>
      </c>
      <c r="F269" s="26" t="s">
        <v>1104</v>
      </c>
      <c r="G269" s="22">
        <v>-420.5</v>
      </c>
      <c r="H269" s="22"/>
      <c r="I269" s="22"/>
    </row>
    <row r="270" spans="1:9" x14ac:dyDescent="0.25">
      <c r="A270" s="54"/>
      <c r="B270" s="23">
        <v>44777</v>
      </c>
      <c r="C270" s="24">
        <v>0.38379629629629625</v>
      </c>
      <c r="D270" s="32" t="s">
        <v>719</v>
      </c>
      <c r="E270" s="32" t="s">
        <v>709</v>
      </c>
      <c r="F270" s="26" t="s">
        <v>1106</v>
      </c>
      <c r="G270" s="22">
        <v>-148.5</v>
      </c>
      <c r="H270" s="22"/>
      <c r="I270" s="22"/>
    </row>
    <row r="271" spans="1:9" x14ac:dyDescent="0.25">
      <c r="A271" s="54"/>
      <c r="B271" s="27">
        <v>44777</v>
      </c>
      <c r="C271" s="28">
        <v>0.68471064814814808</v>
      </c>
      <c r="D271" s="33" t="s">
        <v>719</v>
      </c>
      <c r="E271" s="33" t="s">
        <v>709</v>
      </c>
      <c r="F271" s="30" t="s">
        <v>1259</v>
      </c>
      <c r="G271" s="29">
        <v>-637.5</v>
      </c>
      <c r="H271" s="22"/>
      <c r="I271" s="22"/>
    </row>
    <row r="272" spans="1:9" x14ac:dyDescent="0.25">
      <c r="A272" s="54"/>
      <c r="B272" s="23">
        <v>44777</v>
      </c>
      <c r="C272" s="24">
        <v>0.68584490740740733</v>
      </c>
      <c r="D272" s="32" t="s">
        <v>719</v>
      </c>
      <c r="E272" s="32" t="s">
        <v>709</v>
      </c>
      <c r="F272" s="26" t="s">
        <v>1108</v>
      </c>
      <c r="G272" s="22">
        <v>-404.5</v>
      </c>
      <c r="H272" s="22"/>
      <c r="I272" s="22"/>
    </row>
    <row r="273" spans="1:9" x14ac:dyDescent="0.25">
      <c r="A273" s="54"/>
      <c r="B273" s="23">
        <v>44777</v>
      </c>
      <c r="C273" s="24">
        <v>0.72478009259259257</v>
      </c>
      <c r="D273" s="32" t="s">
        <v>901</v>
      </c>
      <c r="E273" s="32" t="s">
        <v>709</v>
      </c>
      <c r="F273" s="26" t="s">
        <v>1109</v>
      </c>
      <c r="G273" s="22">
        <v>-187.5</v>
      </c>
      <c r="H273" s="22"/>
      <c r="I273" s="22"/>
    </row>
    <row r="274" spans="1:9" x14ac:dyDescent="0.25">
      <c r="A274" s="54"/>
      <c r="B274" s="23">
        <v>44777</v>
      </c>
      <c r="C274" s="24">
        <v>0.77488425925925919</v>
      </c>
      <c r="D274" s="32" t="s">
        <v>720</v>
      </c>
      <c r="E274" s="32" t="s">
        <v>709</v>
      </c>
      <c r="F274" s="26" t="s">
        <v>1111</v>
      </c>
      <c r="G274" s="22">
        <v>-110.5</v>
      </c>
      <c r="H274" s="22"/>
      <c r="I274" s="22"/>
    </row>
    <row r="275" spans="1:9" x14ac:dyDescent="0.25">
      <c r="A275" s="54"/>
      <c r="B275" s="23">
        <v>44777</v>
      </c>
      <c r="C275" s="24">
        <v>0.77722222222222215</v>
      </c>
      <c r="D275" s="32" t="s">
        <v>720</v>
      </c>
      <c r="E275" s="32" t="s">
        <v>709</v>
      </c>
      <c r="F275" s="26" t="s">
        <v>1113</v>
      </c>
      <c r="G275" s="22">
        <v>-121.5</v>
      </c>
      <c r="H275" s="22"/>
      <c r="I275" s="22"/>
    </row>
    <row r="276" spans="1:9" x14ac:dyDescent="0.25">
      <c r="A276" s="54"/>
      <c r="B276" s="27">
        <v>44777</v>
      </c>
      <c r="C276" s="28">
        <v>0.78796296296296298</v>
      </c>
      <c r="D276" s="33" t="s">
        <v>720</v>
      </c>
      <c r="E276" s="33" t="s">
        <v>709</v>
      </c>
      <c r="F276" s="30" t="s">
        <v>1260</v>
      </c>
      <c r="G276" s="29">
        <v>-85.5</v>
      </c>
      <c r="H276" s="22"/>
      <c r="I276" s="22"/>
    </row>
    <row r="277" spans="1:9" x14ac:dyDescent="0.25">
      <c r="A277" s="54"/>
      <c r="B277" s="23">
        <v>44777</v>
      </c>
      <c r="C277" s="24">
        <v>0.78976851851851848</v>
      </c>
      <c r="D277" s="32" t="s">
        <v>720</v>
      </c>
      <c r="E277" s="32" t="s">
        <v>709</v>
      </c>
      <c r="F277" s="26" t="s">
        <v>1115</v>
      </c>
      <c r="G277" s="22">
        <v>-102.5</v>
      </c>
      <c r="H277" s="22"/>
      <c r="I277" s="22"/>
    </row>
    <row r="278" spans="1:9" x14ac:dyDescent="0.25">
      <c r="A278" s="54"/>
      <c r="B278" s="23">
        <v>44777</v>
      </c>
      <c r="C278" s="24">
        <v>0.7917939814814815</v>
      </c>
      <c r="D278" s="32" t="s">
        <v>720</v>
      </c>
      <c r="E278" s="32" t="s">
        <v>709</v>
      </c>
      <c r="F278" s="26" t="s">
        <v>1117</v>
      </c>
      <c r="G278" s="22">
        <v>-127.5</v>
      </c>
      <c r="H278" s="22"/>
      <c r="I278" s="22"/>
    </row>
    <row r="279" spans="1:9" x14ac:dyDescent="0.25">
      <c r="A279" s="54"/>
      <c r="B279" s="23">
        <v>44777</v>
      </c>
      <c r="C279" s="24">
        <v>0.8834143518518518</v>
      </c>
      <c r="D279" s="32" t="s">
        <v>720</v>
      </c>
      <c r="E279" s="32" t="s">
        <v>709</v>
      </c>
      <c r="F279" s="26" t="s">
        <v>1119</v>
      </c>
      <c r="G279" s="22">
        <v>-166.5</v>
      </c>
      <c r="H279" s="22"/>
      <c r="I279" s="22"/>
    </row>
    <row r="280" spans="1:9" x14ac:dyDescent="0.25">
      <c r="A280" s="54"/>
      <c r="B280" s="23">
        <v>44777</v>
      </c>
      <c r="C280" s="24">
        <v>0.89354166666666668</v>
      </c>
      <c r="D280" s="32" t="s">
        <v>720</v>
      </c>
      <c r="E280" s="32" t="s">
        <v>709</v>
      </c>
      <c r="F280" s="26" t="s">
        <v>1121</v>
      </c>
      <c r="G280" s="22">
        <v>-408.5</v>
      </c>
      <c r="H280" s="22"/>
      <c r="I280" s="22"/>
    </row>
    <row r="281" spans="1:9" x14ac:dyDescent="0.25">
      <c r="A281" s="54"/>
      <c r="B281" s="41">
        <v>44777</v>
      </c>
      <c r="C281" s="42">
        <v>0.90520833333333339</v>
      </c>
      <c r="D281" s="50" t="s">
        <v>720</v>
      </c>
      <c r="E281" s="50" t="s">
        <v>709</v>
      </c>
      <c r="F281" s="44" t="s">
        <v>1123</v>
      </c>
      <c r="G281" s="43">
        <f>-91+2.5</f>
        <v>-88.5</v>
      </c>
      <c r="H281" s="22"/>
      <c r="I281" s="22"/>
    </row>
    <row r="282" spans="1:9" x14ac:dyDescent="0.25">
      <c r="A282" s="54"/>
      <c r="B282" s="57" t="s">
        <v>1277</v>
      </c>
      <c r="C282" s="57"/>
      <c r="D282" s="57"/>
      <c r="E282" s="57"/>
      <c r="F282" s="57"/>
      <c r="G282" s="43"/>
      <c r="H282" s="22"/>
      <c r="I282" s="22"/>
    </row>
    <row r="283" spans="1:9" x14ac:dyDescent="0.25">
      <c r="A283" s="54"/>
      <c r="B283" s="23">
        <v>44777</v>
      </c>
      <c r="C283" s="24">
        <v>0.90664351851851854</v>
      </c>
      <c r="D283" s="32" t="s">
        <v>720</v>
      </c>
      <c r="E283" s="32" t="s">
        <v>709</v>
      </c>
      <c r="F283" s="26" t="s">
        <v>1125</v>
      </c>
      <c r="G283" s="22">
        <v>-355.5</v>
      </c>
      <c r="H283" s="22"/>
      <c r="I283" s="22"/>
    </row>
    <row r="284" spans="1:9" x14ac:dyDescent="0.25">
      <c r="A284" s="54"/>
      <c r="B284" s="23">
        <v>44777</v>
      </c>
      <c r="C284" s="24">
        <v>0.91106481481481483</v>
      </c>
      <c r="D284" s="32" t="s">
        <v>720</v>
      </c>
      <c r="E284" s="32" t="s">
        <v>709</v>
      </c>
      <c r="F284" s="26" t="s">
        <v>1127</v>
      </c>
      <c r="G284" s="22">
        <v>-184.5</v>
      </c>
      <c r="H284" s="22"/>
      <c r="I284" s="22"/>
    </row>
    <row r="285" spans="1:9" x14ac:dyDescent="0.25">
      <c r="A285" s="54"/>
      <c r="B285" s="23">
        <v>44777</v>
      </c>
      <c r="C285" s="24">
        <v>0.92212962962962963</v>
      </c>
      <c r="D285" s="32" t="s">
        <v>720</v>
      </c>
      <c r="E285" s="32" t="s">
        <v>709</v>
      </c>
      <c r="F285" s="26" t="s">
        <v>1129</v>
      </c>
      <c r="G285" s="22">
        <v>-186.5</v>
      </c>
      <c r="H285" s="22"/>
      <c r="I285" s="22"/>
    </row>
    <row r="286" spans="1:9" x14ac:dyDescent="0.25">
      <c r="A286" s="54"/>
      <c r="B286" s="23">
        <v>44777</v>
      </c>
      <c r="C286" s="24">
        <v>0.95519675925925929</v>
      </c>
      <c r="D286" s="32" t="s">
        <v>720</v>
      </c>
      <c r="E286" s="32" t="s">
        <v>709</v>
      </c>
      <c r="F286" s="26" t="s">
        <v>1131</v>
      </c>
      <c r="G286" s="22">
        <v>-714.5</v>
      </c>
      <c r="H286" s="22"/>
      <c r="I286" s="22"/>
    </row>
    <row r="287" spans="1:9" x14ac:dyDescent="0.25">
      <c r="A287" s="54"/>
      <c r="B287" s="23">
        <v>44778</v>
      </c>
      <c r="C287" s="24">
        <v>0.28479166666666667</v>
      </c>
      <c r="D287" s="32" t="s">
        <v>720</v>
      </c>
      <c r="E287" s="32" t="s">
        <v>709</v>
      </c>
      <c r="F287" s="26" t="s">
        <v>2986</v>
      </c>
      <c r="G287" s="22">
        <v>-109.5</v>
      </c>
      <c r="H287" s="22"/>
      <c r="I287" s="22"/>
    </row>
    <row r="288" spans="1:9" x14ac:dyDescent="0.25">
      <c r="A288" s="54"/>
      <c r="B288" s="27">
        <v>44778</v>
      </c>
      <c r="C288" s="28">
        <v>0.29939814814814814</v>
      </c>
      <c r="D288" s="33" t="s">
        <v>719</v>
      </c>
      <c r="E288" s="33" t="s">
        <v>709</v>
      </c>
      <c r="F288" s="30" t="s">
        <v>3500</v>
      </c>
      <c r="G288" s="29">
        <v>-100.5</v>
      </c>
      <c r="H288" s="22"/>
      <c r="I288" s="22"/>
    </row>
    <row r="289" spans="1:9" x14ac:dyDescent="0.25">
      <c r="A289" s="54"/>
      <c r="B289" s="23">
        <v>44778</v>
      </c>
      <c r="C289" s="24">
        <v>0.31599537037037034</v>
      </c>
      <c r="D289" s="32" t="s">
        <v>719</v>
      </c>
      <c r="E289" s="32" t="s">
        <v>709</v>
      </c>
      <c r="F289" s="26" t="s">
        <v>2987</v>
      </c>
      <c r="G289" s="22">
        <v>-44.5</v>
      </c>
      <c r="H289" s="22"/>
      <c r="I289" s="22"/>
    </row>
    <row r="290" spans="1:9" x14ac:dyDescent="0.25">
      <c r="A290" s="54"/>
      <c r="B290" s="23">
        <v>44778</v>
      </c>
      <c r="C290" s="24">
        <v>0.31693287037037038</v>
      </c>
      <c r="D290" s="32" t="s">
        <v>719</v>
      </c>
      <c r="E290" s="32" t="s">
        <v>709</v>
      </c>
      <c r="F290" s="26" t="s">
        <v>2989</v>
      </c>
      <c r="G290" s="22">
        <v>-114.5</v>
      </c>
      <c r="H290" s="22"/>
      <c r="I290" s="22"/>
    </row>
    <row r="291" spans="1:9" x14ac:dyDescent="0.25">
      <c r="A291" s="54"/>
      <c r="B291" s="23">
        <v>44778</v>
      </c>
      <c r="C291" s="24">
        <v>0.33710648148148148</v>
      </c>
      <c r="D291" s="32" t="s">
        <v>719</v>
      </c>
      <c r="E291" s="32" t="s">
        <v>709</v>
      </c>
      <c r="F291" s="26" t="s">
        <v>2991</v>
      </c>
      <c r="G291" s="22">
        <v>-111.5</v>
      </c>
      <c r="H291" s="22"/>
      <c r="I291" s="22"/>
    </row>
    <row r="292" spans="1:9" x14ac:dyDescent="0.25">
      <c r="A292" s="54"/>
      <c r="B292" s="23">
        <v>44778</v>
      </c>
      <c r="C292" s="24">
        <v>0.37287037037037035</v>
      </c>
      <c r="D292" s="32" t="s">
        <v>719</v>
      </c>
      <c r="E292" s="32" t="s">
        <v>709</v>
      </c>
      <c r="F292" s="26" t="s">
        <v>2993</v>
      </c>
      <c r="G292" s="22">
        <v>-565.5</v>
      </c>
      <c r="H292" s="22"/>
      <c r="I292" s="22"/>
    </row>
    <row r="293" spans="1:9" x14ac:dyDescent="0.25">
      <c r="A293" s="54"/>
      <c r="B293" s="23">
        <v>44778</v>
      </c>
      <c r="C293" s="24">
        <v>0.39704861111111112</v>
      </c>
      <c r="D293" s="32" t="s">
        <v>719</v>
      </c>
      <c r="E293" s="32" t="s">
        <v>709</v>
      </c>
      <c r="F293" s="26" t="s">
        <v>2995</v>
      </c>
      <c r="G293" s="22">
        <v>-149.5</v>
      </c>
      <c r="H293" s="22"/>
      <c r="I293" s="22"/>
    </row>
    <row r="294" spans="1:9" x14ac:dyDescent="0.25">
      <c r="A294" s="54"/>
      <c r="B294" s="23">
        <v>44778</v>
      </c>
      <c r="C294" s="24">
        <v>0.39916666666666667</v>
      </c>
      <c r="D294" s="32" t="s">
        <v>719</v>
      </c>
      <c r="E294" s="32" t="s">
        <v>709</v>
      </c>
      <c r="F294" s="26" t="s">
        <v>2997</v>
      </c>
      <c r="G294" s="22">
        <v>-44.5</v>
      </c>
      <c r="H294" s="22"/>
      <c r="I294" s="22"/>
    </row>
    <row r="295" spans="1:9" x14ac:dyDescent="0.25">
      <c r="A295" s="54"/>
      <c r="B295" s="23">
        <v>44778</v>
      </c>
      <c r="C295" s="24">
        <v>0.40097222222222223</v>
      </c>
      <c r="D295" s="32" t="s">
        <v>719</v>
      </c>
      <c r="E295" s="32" t="s">
        <v>709</v>
      </c>
      <c r="F295" s="26" t="s">
        <v>2998</v>
      </c>
      <c r="G295" s="22">
        <v>-44.5</v>
      </c>
      <c r="H295" s="22"/>
      <c r="I295" s="22"/>
    </row>
    <row r="296" spans="1:9" x14ac:dyDescent="0.25">
      <c r="A296" s="54"/>
      <c r="B296" s="23">
        <v>44778</v>
      </c>
      <c r="C296" s="24">
        <v>0.4029861111111111</v>
      </c>
      <c r="D296" s="32" t="s">
        <v>719</v>
      </c>
      <c r="E296" s="32" t="s">
        <v>709</v>
      </c>
      <c r="F296" s="26" t="s">
        <v>3000</v>
      </c>
      <c r="G296" s="22">
        <v>-85.5</v>
      </c>
      <c r="H296" s="22"/>
      <c r="I296" s="22"/>
    </row>
    <row r="297" spans="1:9" x14ac:dyDescent="0.25">
      <c r="A297" s="54"/>
      <c r="B297" s="23">
        <v>44778</v>
      </c>
      <c r="C297" s="24">
        <v>0.40598379629629627</v>
      </c>
      <c r="D297" s="32" t="s">
        <v>719</v>
      </c>
      <c r="E297" s="32" t="s">
        <v>709</v>
      </c>
      <c r="F297" s="26" t="s">
        <v>3002</v>
      </c>
      <c r="G297" s="22">
        <v>-154.5</v>
      </c>
      <c r="H297" s="22"/>
      <c r="I297" s="22"/>
    </row>
    <row r="298" spans="1:9" x14ac:dyDescent="0.25">
      <c r="A298" s="54"/>
      <c r="B298" s="23">
        <v>44778</v>
      </c>
      <c r="C298" s="24">
        <v>0.40749999999999997</v>
      </c>
      <c r="D298" s="32" t="s">
        <v>719</v>
      </c>
      <c r="E298" s="32" t="s">
        <v>709</v>
      </c>
      <c r="F298" s="26" t="s">
        <v>3004</v>
      </c>
      <c r="G298" s="22">
        <v>-196.5</v>
      </c>
      <c r="H298" s="22"/>
      <c r="I298" s="22"/>
    </row>
    <row r="299" spans="1:9" x14ac:dyDescent="0.25">
      <c r="A299" s="54"/>
      <c r="B299" s="23">
        <v>44778</v>
      </c>
      <c r="C299" s="24">
        <v>0.42103009259259255</v>
      </c>
      <c r="D299" s="32" t="s">
        <v>719</v>
      </c>
      <c r="E299" s="32" t="s">
        <v>709</v>
      </c>
      <c r="F299" s="26" t="s">
        <v>3006</v>
      </c>
      <c r="G299" s="22">
        <v>-135.5</v>
      </c>
      <c r="H299" s="22"/>
      <c r="I299" s="22"/>
    </row>
    <row r="300" spans="1:9" x14ac:dyDescent="0.25">
      <c r="A300" s="54"/>
      <c r="B300" s="23">
        <v>44778</v>
      </c>
      <c r="C300" s="24">
        <v>0.43160879629629628</v>
      </c>
      <c r="D300" s="32" t="s">
        <v>719</v>
      </c>
      <c r="E300" s="32" t="s">
        <v>709</v>
      </c>
      <c r="F300" s="26" t="s">
        <v>3008</v>
      </c>
      <c r="G300" s="22">
        <v>-134.5</v>
      </c>
      <c r="H300" s="22"/>
      <c r="I300" s="22"/>
    </row>
    <row r="301" spans="1:9" x14ac:dyDescent="0.25">
      <c r="A301" s="54"/>
      <c r="B301" s="23">
        <v>44778</v>
      </c>
      <c r="C301" s="24">
        <v>0.45678240740740739</v>
      </c>
      <c r="D301" s="32" t="s">
        <v>719</v>
      </c>
      <c r="E301" s="32" t="s">
        <v>709</v>
      </c>
      <c r="F301" s="26" t="s">
        <v>3009</v>
      </c>
      <c r="G301" s="22">
        <v>-119.5</v>
      </c>
      <c r="H301" s="22"/>
      <c r="I301" s="22"/>
    </row>
    <row r="302" spans="1:9" x14ac:dyDescent="0.25">
      <c r="A302" s="54"/>
      <c r="B302" s="23">
        <v>44778</v>
      </c>
      <c r="C302" s="24">
        <v>0.49996527777777783</v>
      </c>
      <c r="D302" s="32" t="s">
        <v>719</v>
      </c>
      <c r="E302" s="32" t="s">
        <v>709</v>
      </c>
      <c r="F302" s="26" t="s">
        <v>3011</v>
      </c>
      <c r="G302" s="22">
        <v>-364.5</v>
      </c>
      <c r="H302" s="22"/>
      <c r="I302" s="22"/>
    </row>
    <row r="303" spans="1:9" x14ac:dyDescent="0.25">
      <c r="A303" s="54"/>
      <c r="B303" s="23">
        <v>44778</v>
      </c>
      <c r="C303" s="24">
        <v>0.51666666666666672</v>
      </c>
      <c r="D303" s="32" t="s">
        <v>719</v>
      </c>
      <c r="E303" s="32" t="s">
        <v>709</v>
      </c>
      <c r="F303" s="26" t="s">
        <v>3013</v>
      </c>
      <c r="G303" s="22">
        <v>-149.5</v>
      </c>
      <c r="H303" s="22"/>
      <c r="I303" s="22"/>
    </row>
    <row r="304" spans="1:9" x14ac:dyDescent="0.25">
      <c r="A304" s="54"/>
      <c r="B304" s="23">
        <v>44778</v>
      </c>
      <c r="C304" s="24">
        <v>0.53557870370370375</v>
      </c>
      <c r="D304" s="32" t="s">
        <v>719</v>
      </c>
      <c r="E304" s="32" t="s">
        <v>709</v>
      </c>
      <c r="F304" s="26" t="s">
        <v>3015</v>
      </c>
      <c r="G304" s="22">
        <v>-112.5</v>
      </c>
      <c r="H304" s="22"/>
      <c r="I304" s="22"/>
    </row>
    <row r="305" spans="1:9" x14ac:dyDescent="0.25">
      <c r="A305" s="54"/>
      <c r="B305" s="23">
        <v>44778</v>
      </c>
      <c r="C305" s="24">
        <v>0.65414351851851849</v>
      </c>
      <c r="D305" s="32" t="s">
        <v>901</v>
      </c>
      <c r="E305" s="32" t="s">
        <v>709</v>
      </c>
      <c r="F305" s="26" t="s">
        <v>3017</v>
      </c>
      <c r="G305" s="22">
        <v>-115.5</v>
      </c>
      <c r="H305" s="22"/>
      <c r="I305" s="22"/>
    </row>
    <row r="306" spans="1:9" x14ac:dyDescent="0.25">
      <c r="A306" s="54"/>
      <c r="B306" s="23">
        <v>44778</v>
      </c>
      <c r="C306" s="24">
        <v>0.70575231481481471</v>
      </c>
      <c r="D306" s="32" t="s">
        <v>719</v>
      </c>
      <c r="E306" s="32" t="s">
        <v>709</v>
      </c>
      <c r="F306" s="26" t="s">
        <v>3019</v>
      </c>
      <c r="G306" s="22">
        <v>-48.5</v>
      </c>
      <c r="H306" s="22"/>
      <c r="I306" s="22"/>
    </row>
    <row r="307" spans="1:9" x14ac:dyDescent="0.25">
      <c r="A307" s="54"/>
      <c r="B307" s="23">
        <v>44778</v>
      </c>
      <c r="C307" s="24">
        <v>0.8900231481481482</v>
      </c>
      <c r="D307" s="32" t="s">
        <v>720</v>
      </c>
      <c r="E307" s="32" t="s">
        <v>709</v>
      </c>
      <c r="F307" s="26" t="s">
        <v>3021</v>
      </c>
      <c r="G307" s="22">
        <v>-85.5</v>
      </c>
      <c r="H307" s="22"/>
      <c r="I307" s="22"/>
    </row>
    <row r="308" spans="1:9" x14ac:dyDescent="0.25">
      <c r="A308" s="54"/>
      <c r="B308" s="23">
        <v>44778</v>
      </c>
      <c r="C308" s="24">
        <v>0.90212962962962961</v>
      </c>
      <c r="D308" s="32" t="s">
        <v>720</v>
      </c>
      <c r="E308" s="32" t="s">
        <v>709</v>
      </c>
      <c r="F308" s="26" t="s">
        <v>3023</v>
      </c>
      <c r="G308" s="22">
        <v>-215.5</v>
      </c>
      <c r="H308" s="22"/>
      <c r="I308" s="22"/>
    </row>
    <row r="309" spans="1:9" x14ac:dyDescent="0.25">
      <c r="A309" s="54"/>
      <c r="B309" s="23">
        <v>44779</v>
      </c>
      <c r="C309" s="24">
        <v>0.75148148148148142</v>
      </c>
      <c r="D309" s="32" t="s">
        <v>719</v>
      </c>
      <c r="E309" s="32" t="s">
        <v>709</v>
      </c>
      <c r="F309" s="26" t="s">
        <v>3025</v>
      </c>
      <c r="G309" s="22">
        <v>-267.5</v>
      </c>
      <c r="H309" s="22"/>
      <c r="I309" s="22"/>
    </row>
    <row r="310" spans="1:9" x14ac:dyDescent="0.25">
      <c r="A310" s="54"/>
      <c r="B310" s="56"/>
      <c r="C310" s="56"/>
      <c r="D310" s="56"/>
      <c r="E310" s="56"/>
      <c r="F310" s="56"/>
      <c r="G310" s="31">
        <f>SUM(G252:G309)</f>
        <v>-9609.5</v>
      </c>
      <c r="H310" s="25">
        <f>54*4.94</f>
        <v>266.76000000000005</v>
      </c>
      <c r="I310" s="31">
        <f>G310+H310</f>
        <v>-9342.74</v>
      </c>
    </row>
    <row r="311" spans="1:9" x14ac:dyDescent="0.25">
      <c r="A311" s="54" t="s">
        <v>833</v>
      </c>
      <c r="B311" s="53" t="s">
        <v>825</v>
      </c>
      <c r="C311" s="55"/>
      <c r="D311" s="55"/>
      <c r="E311" s="55"/>
      <c r="F311" s="55"/>
      <c r="G311" s="25"/>
      <c r="H311" s="22"/>
      <c r="I311" s="22"/>
    </row>
    <row r="312" spans="1:9" x14ac:dyDescent="0.25">
      <c r="A312" s="54"/>
      <c r="B312" s="23">
        <v>44774</v>
      </c>
      <c r="C312" s="24">
        <v>3.9189814814814809E-2</v>
      </c>
      <c r="D312" s="32" t="s">
        <v>902</v>
      </c>
      <c r="E312" s="32" t="s">
        <v>709</v>
      </c>
      <c r="F312" s="26" t="s">
        <v>1561</v>
      </c>
      <c r="G312" s="22">
        <v>-71.5</v>
      </c>
      <c r="H312" s="22"/>
      <c r="I312" s="22"/>
    </row>
    <row r="313" spans="1:9" x14ac:dyDescent="0.25">
      <c r="A313" s="54"/>
      <c r="B313" s="23">
        <v>44774</v>
      </c>
      <c r="C313" s="24">
        <v>0.48275462962962962</v>
      </c>
      <c r="D313" s="32" t="s">
        <v>721</v>
      </c>
      <c r="E313" s="32" t="s">
        <v>709</v>
      </c>
      <c r="F313" s="26" t="s">
        <v>1562</v>
      </c>
      <c r="G313" s="22">
        <v>-50.5</v>
      </c>
      <c r="H313" s="22"/>
      <c r="I313" s="22"/>
    </row>
    <row r="314" spans="1:9" x14ac:dyDescent="0.25">
      <c r="A314" s="54"/>
      <c r="B314" s="23">
        <v>44774</v>
      </c>
      <c r="C314" s="24">
        <v>0.5567361111111111</v>
      </c>
      <c r="D314" s="32" t="s">
        <v>721</v>
      </c>
      <c r="E314" s="32" t="s">
        <v>709</v>
      </c>
      <c r="F314" s="26" t="s">
        <v>1564</v>
      </c>
      <c r="G314" s="22">
        <v>-69.5</v>
      </c>
      <c r="H314" s="22"/>
      <c r="I314" s="22"/>
    </row>
    <row r="315" spans="1:9" x14ac:dyDescent="0.25">
      <c r="A315" s="54"/>
      <c r="B315" s="23">
        <v>44775</v>
      </c>
      <c r="C315" s="24">
        <v>0.45653935185185185</v>
      </c>
      <c r="D315" s="32" t="s">
        <v>721</v>
      </c>
      <c r="E315" s="32" t="s">
        <v>709</v>
      </c>
      <c r="F315" s="26" t="s">
        <v>781</v>
      </c>
      <c r="G315" s="22">
        <v>-124.5</v>
      </c>
      <c r="H315" s="22"/>
      <c r="I315" s="22"/>
    </row>
    <row r="316" spans="1:9" x14ac:dyDescent="0.25">
      <c r="A316" s="54"/>
      <c r="B316" s="23">
        <v>44775</v>
      </c>
      <c r="C316" s="24">
        <v>0.63880787037037035</v>
      </c>
      <c r="D316" s="32" t="s">
        <v>721</v>
      </c>
      <c r="E316" s="32" t="s">
        <v>709</v>
      </c>
      <c r="F316" s="26" t="s">
        <v>782</v>
      </c>
      <c r="G316" s="22">
        <v>-155.5</v>
      </c>
      <c r="H316" s="22"/>
      <c r="I316" s="22"/>
    </row>
    <row r="317" spans="1:9" x14ac:dyDescent="0.25">
      <c r="A317" s="54"/>
      <c r="B317" s="23">
        <v>44776</v>
      </c>
      <c r="C317" s="24">
        <v>0.72633101851851845</v>
      </c>
      <c r="D317" s="32" t="s">
        <v>902</v>
      </c>
      <c r="E317" s="32" t="s">
        <v>709</v>
      </c>
      <c r="F317" s="26" t="s">
        <v>1383</v>
      </c>
      <c r="G317" s="22">
        <v>-96.5</v>
      </c>
      <c r="H317" s="22"/>
      <c r="I317" s="22"/>
    </row>
    <row r="318" spans="1:9" x14ac:dyDescent="0.25">
      <c r="A318" s="54"/>
      <c r="B318" s="23">
        <v>44777</v>
      </c>
      <c r="C318" s="24">
        <v>0.78405092592592596</v>
      </c>
      <c r="D318" s="32" t="s">
        <v>721</v>
      </c>
      <c r="E318" s="32" t="s">
        <v>709</v>
      </c>
      <c r="F318" s="26" t="s">
        <v>1133</v>
      </c>
      <c r="G318" s="22">
        <v>-100.5</v>
      </c>
      <c r="H318" s="22"/>
      <c r="I318" s="22"/>
    </row>
    <row r="319" spans="1:9" x14ac:dyDescent="0.25">
      <c r="A319" s="54"/>
      <c r="B319" s="23">
        <v>44777</v>
      </c>
      <c r="C319" s="24">
        <v>0.88671296296296298</v>
      </c>
      <c r="D319" s="32" t="s">
        <v>721</v>
      </c>
      <c r="E319" s="32" t="s">
        <v>709</v>
      </c>
      <c r="F319" s="26" t="s">
        <v>1135</v>
      </c>
      <c r="G319" s="22">
        <v>-45.5</v>
      </c>
      <c r="H319" s="22"/>
      <c r="I319" s="22"/>
    </row>
    <row r="320" spans="1:9" x14ac:dyDescent="0.25">
      <c r="A320" s="54"/>
      <c r="B320" s="23">
        <v>44777</v>
      </c>
      <c r="C320" s="24">
        <v>0.96253472222222225</v>
      </c>
      <c r="D320" s="32" t="s">
        <v>721</v>
      </c>
      <c r="E320" s="32" t="s">
        <v>709</v>
      </c>
      <c r="F320" s="26" t="s">
        <v>1137</v>
      </c>
      <c r="G320" s="22">
        <v>-140.5</v>
      </c>
      <c r="H320" s="22"/>
      <c r="I320" s="22"/>
    </row>
    <row r="321" spans="1:9" x14ac:dyDescent="0.25">
      <c r="A321" s="54"/>
      <c r="B321" s="23">
        <v>44778</v>
      </c>
      <c r="C321" s="24">
        <v>0.27785879629629628</v>
      </c>
      <c r="D321" s="32" t="s">
        <v>902</v>
      </c>
      <c r="E321" s="32" t="s">
        <v>709</v>
      </c>
      <c r="F321" s="26" t="s">
        <v>3027</v>
      </c>
      <c r="G321" s="22">
        <v>-384.5</v>
      </c>
      <c r="H321" s="22"/>
      <c r="I321" s="22"/>
    </row>
    <row r="322" spans="1:9" x14ac:dyDescent="0.25">
      <c r="A322" s="54"/>
      <c r="B322" s="23">
        <v>44778</v>
      </c>
      <c r="C322" s="24">
        <v>0.32218750000000002</v>
      </c>
      <c r="D322" s="32" t="s">
        <v>902</v>
      </c>
      <c r="E322" s="32" t="s">
        <v>709</v>
      </c>
      <c r="F322" s="26" t="s">
        <v>3029</v>
      </c>
      <c r="G322" s="22">
        <v>-560.5</v>
      </c>
      <c r="H322" s="22"/>
      <c r="I322" s="22"/>
    </row>
    <row r="323" spans="1:9" x14ac:dyDescent="0.25">
      <c r="A323" s="54"/>
      <c r="B323" s="23">
        <v>44778</v>
      </c>
      <c r="C323" s="24">
        <v>0.33855324074074072</v>
      </c>
      <c r="D323" s="32" t="s">
        <v>902</v>
      </c>
      <c r="E323" s="32" t="s">
        <v>709</v>
      </c>
      <c r="F323" s="26" t="s">
        <v>3031</v>
      </c>
      <c r="G323" s="22">
        <v>-80.5</v>
      </c>
      <c r="H323" s="22"/>
      <c r="I323" s="22"/>
    </row>
    <row r="324" spans="1:9" x14ac:dyDescent="0.25">
      <c r="A324" s="54"/>
      <c r="B324" s="23">
        <v>44778</v>
      </c>
      <c r="C324" s="24">
        <v>0.3399652777777778</v>
      </c>
      <c r="D324" s="32" t="s">
        <v>902</v>
      </c>
      <c r="E324" s="32" t="s">
        <v>709</v>
      </c>
      <c r="F324" s="26" t="s">
        <v>3033</v>
      </c>
      <c r="G324" s="22">
        <v>-44.5</v>
      </c>
      <c r="H324" s="22"/>
      <c r="I324" s="22"/>
    </row>
    <row r="325" spans="1:9" x14ac:dyDescent="0.25">
      <c r="A325" s="54"/>
      <c r="B325" s="23">
        <v>44778</v>
      </c>
      <c r="C325" s="24">
        <v>0.34449074074074071</v>
      </c>
      <c r="D325" s="32" t="s">
        <v>902</v>
      </c>
      <c r="E325" s="32" t="s">
        <v>709</v>
      </c>
      <c r="F325" s="26" t="s">
        <v>3035</v>
      </c>
      <c r="G325" s="22">
        <v>-75.5</v>
      </c>
      <c r="H325" s="22"/>
      <c r="I325" s="22"/>
    </row>
    <row r="326" spans="1:9" x14ac:dyDescent="0.25">
      <c r="A326" s="54"/>
      <c r="B326" s="23">
        <v>44778</v>
      </c>
      <c r="C326" s="24">
        <v>0.34547453703703707</v>
      </c>
      <c r="D326" s="32" t="s">
        <v>902</v>
      </c>
      <c r="E326" s="32" t="s">
        <v>709</v>
      </c>
      <c r="F326" s="26" t="s">
        <v>3037</v>
      </c>
      <c r="G326" s="22">
        <v>-373.5</v>
      </c>
      <c r="H326" s="22"/>
      <c r="I326" s="22"/>
    </row>
    <row r="327" spans="1:9" x14ac:dyDescent="0.25">
      <c r="A327" s="54"/>
      <c r="B327" s="23">
        <v>44778</v>
      </c>
      <c r="C327" s="24">
        <v>0.35160879629629632</v>
      </c>
      <c r="D327" s="32" t="s">
        <v>902</v>
      </c>
      <c r="E327" s="32" t="s">
        <v>709</v>
      </c>
      <c r="F327" s="26" t="s">
        <v>3039</v>
      </c>
      <c r="G327" s="22">
        <v>-87.5</v>
      </c>
      <c r="H327" s="22"/>
      <c r="I327" s="22"/>
    </row>
    <row r="328" spans="1:9" x14ac:dyDescent="0.25">
      <c r="A328" s="54"/>
      <c r="B328" s="23">
        <v>44778</v>
      </c>
      <c r="C328" s="24">
        <v>0.37582175925925926</v>
      </c>
      <c r="D328" s="32" t="s">
        <v>902</v>
      </c>
      <c r="E328" s="32" t="s">
        <v>709</v>
      </c>
      <c r="F328" s="26" t="s">
        <v>3041</v>
      </c>
      <c r="G328" s="22">
        <v>-174.5</v>
      </c>
      <c r="H328" s="22"/>
      <c r="I328" s="22"/>
    </row>
    <row r="329" spans="1:9" x14ac:dyDescent="0.25">
      <c r="A329" s="54"/>
      <c r="B329" s="23">
        <v>44778</v>
      </c>
      <c r="C329" s="24">
        <v>0.37708333333333338</v>
      </c>
      <c r="D329" s="32" t="s">
        <v>902</v>
      </c>
      <c r="E329" s="32" t="s">
        <v>709</v>
      </c>
      <c r="F329" s="26" t="s">
        <v>3043</v>
      </c>
      <c r="G329" s="22">
        <v>-67.5</v>
      </c>
      <c r="H329" s="22"/>
      <c r="I329" s="22"/>
    </row>
    <row r="330" spans="1:9" x14ac:dyDescent="0.25">
      <c r="A330" s="54"/>
      <c r="B330" s="23">
        <v>44778</v>
      </c>
      <c r="C330" s="24">
        <v>0.40310185185185188</v>
      </c>
      <c r="D330" s="32" t="s">
        <v>902</v>
      </c>
      <c r="E330" s="32" t="s">
        <v>709</v>
      </c>
      <c r="F330" s="26" t="s">
        <v>3045</v>
      </c>
      <c r="G330" s="22">
        <v>-2828.5</v>
      </c>
      <c r="H330" s="22"/>
      <c r="I330" s="22"/>
    </row>
    <row r="331" spans="1:9" x14ac:dyDescent="0.25">
      <c r="A331" s="54"/>
      <c r="B331" s="23">
        <v>44778</v>
      </c>
      <c r="C331" s="24">
        <v>0.42231481481481481</v>
      </c>
      <c r="D331" s="32" t="s">
        <v>902</v>
      </c>
      <c r="E331" s="32" t="s">
        <v>709</v>
      </c>
      <c r="F331" s="26" t="s">
        <v>3047</v>
      </c>
      <c r="G331" s="22">
        <v>-44.5</v>
      </c>
      <c r="H331" s="22"/>
      <c r="I331" s="22"/>
    </row>
    <row r="332" spans="1:9" x14ac:dyDescent="0.25">
      <c r="A332" s="54"/>
      <c r="B332" s="23">
        <v>44778</v>
      </c>
      <c r="C332" s="24">
        <v>0.44358796296296293</v>
      </c>
      <c r="D332" s="32" t="s">
        <v>902</v>
      </c>
      <c r="E332" s="32" t="s">
        <v>709</v>
      </c>
      <c r="F332" s="26" t="s">
        <v>3049</v>
      </c>
      <c r="G332" s="22">
        <v>-227.5</v>
      </c>
      <c r="H332" s="22"/>
      <c r="I332" s="22"/>
    </row>
    <row r="333" spans="1:9" x14ac:dyDescent="0.25">
      <c r="A333" s="54"/>
      <c r="B333" s="27">
        <v>44778</v>
      </c>
      <c r="C333" s="28">
        <v>0.4604050925925926</v>
      </c>
      <c r="D333" s="33" t="s">
        <v>902</v>
      </c>
      <c r="E333" s="33" t="s">
        <v>709</v>
      </c>
      <c r="F333" s="30" t="s">
        <v>3502</v>
      </c>
      <c r="G333" s="29">
        <v>-68.5</v>
      </c>
      <c r="H333" s="22"/>
      <c r="I333" s="22"/>
    </row>
    <row r="334" spans="1:9" x14ac:dyDescent="0.25">
      <c r="A334" s="54"/>
      <c r="B334" s="23">
        <v>44778</v>
      </c>
      <c r="C334" s="24">
        <v>0.51410879629629636</v>
      </c>
      <c r="D334" s="32" t="s">
        <v>902</v>
      </c>
      <c r="E334" s="32" t="s">
        <v>709</v>
      </c>
      <c r="F334" s="26" t="s">
        <v>3051</v>
      </c>
      <c r="G334" s="22">
        <v>-183.5</v>
      </c>
      <c r="H334" s="22"/>
      <c r="I334" s="22"/>
    </row>
    <row r="335" spans="1:9" x14ac:dyDescent="0.25">
      <c r="A335" s="54"/>
      <c r="B335" s="23">
        <v>44778</v>
      </c>
      <c r="C335" s="24">
        <v>0.52326388888888886</v>
      </c>
      <c r="D335" s="32" t="s">
        <v>902</v>
      </c>
      <c r="E335" s="32" t="s">
        <v>709</v>
      </c>
      <c r="F335" s="26" t="s">
        <v>3053</v>
      </c>
      <c r="G335" s="22">
        <v>-100.5</v>
      </c>
      <c r="H335" s="22"/>
      <c r="I335" s="22"/>
    </row>
    <row r="336" spans="1:9" x14ac:dyDescent="0.25">
      <c r="A336" s="54"/>
      <c r="B336" s="23">
        <v>44778</v>
      </c>
      <c r="C336" s="24">
        <v>0.63987268518518514</v>
      </c>
      <c r="D336" s="32" t="s">
        <v>902</v>
      </c>
      <c r="E336" s="32" t="s">
        <v>709</v>
      </c>
      <c r="F336" s="26" t="s">
        <v>3055</v>
      </c>
      <c r="G336" s="22">
        <v>-243.5</v>
      </c>
      <c r="H336" s="22"/>
      <c r="I336" s="22"/>
    </row>
    <row r="337" spans="1:9" x14ac:dyDescent="0.25">
      <c r="A337" s="54"/>
      <c r="B337" s="23">
        <v>44780</v>
      </c>
      <c r="C337" s="24">
        <v>0.71234953703703707</v>
      </c>
      <c r="D337" s="32" t="s">
        <v>902</v>
      </c>
      <c r="E337" s="32" t="s">
        <v>709</v>
      </c>
      <c r="F337" s="26" t="s">
        <v>3057</v>
      </c>
      <c r="G337" s="22">
        <v>-63.5</v>
      </c>
      <c r="H337" s="22"/>
      <c r="I337" s="22"/>
    </row>
    <row r="338" spans="1:9" x14ac:dyDescent="0.25">
      <c r="A338" s="54"/>
      <c r="B338" s="56"/>
      <c r="C338" s="56"/>
      <c r="D338" s="56"/>
      <c r="E338" s="56"/>
      <c r="F338" s="56"/>
      <c r="G338" s="31">
        <f>SUM(G312:G337)</f>
        <v>-6463</v>
      </c>
      <c r="H338" s="25">
        <f>26*4.94</f>
        <v>128.44</v>
      </c>
      <c r="I338" s="31">
        <f>G338+H338</f>
        <v>-6334.56</v>
      </c>
    </row>
    <row r="339" spans="1:9" x14ac:dyDescent="0.25">
      <c r="A339" s="54" t="s">
        <v>833</v>
      </c>
      <c r="B339" s="53" t="s">
        <v>826</v>
      </c>
      <c r="C339" s="55"/>
      <c r="D339" s="55"/>
      <c r="E339" s="55"/>
      <c r="F339" s="55"/>
      <c r="G339" s="25"/>
      <c r="H339" s="22"/>
      <c r="I339" s="22"/>
    </row>
    <row r="340" spans="1:9" x14ac:dyDescent="0.25">
      <c r="A340" s="54"/>
      <c r="B340" s="23">
        <v>44774</v>
      </c>
      <c r="C340" s="24">
        <v>0.38043981481481487</v>
      </c>
      <c r="D340" s="32" t="s">
        <v>1465</v>
      </c>
      <c r="E340" s="32" t="s">
        <v>709</v>
      </c>
      <c r="F340" s="26" t="s">
        <v>1566</v>
      </c>
      <c r="G340" s="22">
        <v>-58.5</v>
      </c>
      <c r="H340" s="22"/>
      <c r="I340" s="22"/>
    </row>
    <row r="341" spans="1:9" x14ac:dyDescent="0.25">
      <c r="A341" s="54"/>
      <c r="B341" s="41">
        <v>44774</v>
      </c>
      <c r="C341" s="42">
        <v>0.38232638888888887</v>
      </c>
      <c r="D341" s="50" t="s">
        <v>1465</v>
      </c>
      <c r="E341" s="50" t="s">
        <v>709</v>
      </c>
      <c r="F341" s="44" t="s">
        <v>1619</v>
      </c>
      <c r="G341" s="44" t="s">
        <v>1627</v>
      </c>
      <c r="H341" s="22"/>
      <c r="I341" s="22"/>
    </row>
    <row r="342" spans="1:9" x14ac:dyDescent="0.25">
      <c r="A342" s="54"/>
      <c r="B342" s="57" t="s">
        <v>1459</v>
      </c>
      <c r="C342" s="57"/>
      <c r="D342" s="57"/>
      <c r="E342" s="57"/>
      <c r="F342" s="57"/>
      <c r="G342" s="44"/>
      <c r="H342" s="22"/>
      <c r="I342" s="22"/>
    </row>
    <row r="343" spans="1:9" x14ac:dyDescent="0.25">
      <c r="A343" s="54"/>
      <c r="B343" s="41">
        <v>44774</v>
      </c>
      <c r="C343" s="42">
        <v>0.54355324074074074</v>
      </c>
      <c r="D343" s="50" t="s">
        <v>723</v>
      </c>
      <c r="E343" s="50" t="s">
        <v>709</v>
      </c>
      <c r="F343" s="44" t="s">
        <v>1620</v>
      </c>
      <c r="G343" s="44" t="s">
        <v>1628</v>
      </c>
      <c r="H343" s="22"/>
      <c r="I343" s="22"/>
    </row>
    <row r="344" spans="1:9" x14ac:dyDescent="0.25">
      <c r="A344" s="54"/>
      <c r="B344" s="57" t="s">
        <v>1459</v>
      </c>
      <c r="C344" s="57"/>
      <c r="D344" s="57"/>
      <c r="E344" s="57"/>
      <c r="F344" s="57"/>
      <c r="G344" s="44"/>
      <c r="H344" s="22"/>
      <c r="I344" s="22"/>
    </row>
    <row r="345" spans="1:9" x14ac:dyDescent="0.25">
      <c r="A345" s="54"/>
      <c r="B345" s="23">
        <v>44774</v>
      </c>
      <c r="C345" s="24">
        <v>0.79197916666666668</v>
      </c>
      <c r="D345" s="32" t="s">
        <v>1280</v>
      </c>
      <c r="E345" s="32" t="s">
        <v>709</v>
      </c>
      <c r="F345" s="26" t="s">
        <v>1568</v>
      </c>
      <c r="G345" s="22">
        <v>-108.5</v>
      </c>
      <c r="H345" s="22"/>
      <c r="I345" s="22"/>
    </row>
    <row r="346" spans="1:9" x14ac:dyDescent="0.25">
      <c r="A346" s="54"/>
      <c r="B346" s="23">
        <v>44775</v>
      </c>
      <c r="C346" s="24">
        <v>0.64399305555555553</v>
      </c>
      <c r="D346" s="32" t="s">
        <v>723</v>
      </c>
      <c r="E346" s="32" t="s">
        <v>709</v>
      </c>
      <c r="F346" s="26" t="s">
        <v>783</v>
      </c>
      <c r="G346" s="22">
        <v>-47.5</v>
      </c>
      <c r="H346" s="22"/>
      <c r="I346" s="22"/>
    </row>
    <row r="347" spans="1:9" x14ac:dyDescent="0.25">
      <c r="A347" s="54"/>
      <c r="B347" s="23">
        <v>44776</v>
      </c>
      <c r="C347" s="24">
        <v>0.5564351851851852</v>
      </c>
      <c r="D347" s="32" t="s">
        <v>723</v>
      </c>
      <c r="E347" s="32" t="s">
        <v>709</v>
      </c>
      <c r="F347" s="26" t="s">
        <v>1385</v>
      </c>
      <c r="G347" s="22">
        <v>-44.5</v>
      </c>
      <c r="H347" s="22"/>
      <c r="I347" s="22"/>
    </row>
    <row r="348" spans="1:9" x14ac:dyDescent="0.25">
      <c r="A348" s="54"/>
      <c r="B348" s="23">
        <v>44776</v>
      </c>
      <c r="C348" s="24">
        <v>0.90101851851851855</v>
      </c>
      <c r="D348" s="32" t="s">
        <v>1280</v>
      </c>
      <c r="E348" s="32" t="s">
        <v>709</v>
      </c>
      <c r="F348" s="26" t="s">
        <v>1387</v>
      </c>
      <c r="G348" s="22">
        <v>-355.5</v>
      </c>
      <c r="H348" s="22"/>
      <c r="I348" s="22"/>
    </row>
    <row r="349" spans="1:9" x14ac:dyDescent="0.25">
      <c r="A349" s="54"/>
      <c r="B349" s="23">
        <v>44777</v>
      </c>
      <c r="C349" s="24">
        <v>0.44451388888888888</v>
      </c>
      <c r="D349" s="32" t="s">
        <v>723</v>
      </c>
      <c r="E349" s="32" t="s">
        <v>709</v>
      </c>
      <c r="F349" s="26" t="s">
        <v>1139</v>
      </c>
      <c r="G349" s="22">
        <v>-694.5</v>
      </c>
      <c r="H349" s="22"/>
      <c r="I349" s="22"/>
    </row>
    <row r="350" spans="1:9" x14ac:dyDescent="0.25">
      <c r="A350" s="54"/>
      <c r="B350" s="23">
        <v>44777</v>
      </c>
      <c r="C350" s="24">
        <v>0.54395833333333332</v>
      </c>
      <c r="D350" s="32" t="s">
        <v>723</v>
      </c>
      <c r="E350" s="32" t="s">
        <v>709</v>
      </c>
      <c r="F350" s="26" t="s">
        <v>1141</v>
      </c>
      <c r="G350" s="22">
        <v>-198.5</v>
      </c>
      <c r="H350" s="22"/>
      <c r="I350" s="22"/>
    </row>
    <row r="351" spans="1:9" x14ac:dyDescent="0.25">
      <c r="A351" s="54"/>
      <c r="B351" s="23">
        <v>44777</v>
      </c>
      <c r="C351" s="24">
        <v>0.64937500000000004</v>
      </c>
      <c r="D351" s="32" t="s">
        <v>723</v>
      </c>
      <c r="E351" s="32" t="s">
        <v>709</v>
      </c>
      <c r="F351" s="26" t="s">
        <v>1143</v>
      </c>
      <c r="G351" s="22">
        <v>-87.5</v>
      </c>
      <c r="H351" s="22"/>
      <c r="I351" s="22"/>
    </row>
    <row r="352" spans="1:9" x14ac:dyDescent="0.25">
      <c r="A352" s="54"/>
      <c r="B352" s="23">
        <v>44777</v>
      </c>
      <c r="C352" s="24">
        <v>0.83174768518518516</v>
      </c>
      <c r="D352" s="32" t="s">
        <v>722</v>
      </c>
      <c r="E352" s="32" t="s">
        <v>709</v>
      </c>
      <c r="F352" s="26" t="s">
        <v>1145</v>
      </c>
      <c r="G352" s="22">
        <v>-132.5</v>
      </c>
      <c r="H352" s="22"/>
      <c r="I352" s="22"/>
    </row>
    <row r="353" spans="1:9" x14ac:dyDescent="0.25">
      <c r="A353" s="54"/>
      <c r="B353" s="23">
        <v>44777</v>
      </c>
      <c r="C353" s="24">
        <v>0.83643518518518523</v>
      </c>
      <c r="D353" s="32" t="s">
        <v>722</v>
      </c>
      <c r="E353" s="32" t="s">
        <v>709</v>
      </c>
      <c r="F353" s="26" t="s">
        <v>1147</v>
      </c>
      <c r="G353" s="22">
        <v>-93.5</v>
      </c>
      <c r="H353" s="22"/>
      <c r="I353" s="22"/>
    </row>
    <row r="354" spans="1:9" x14ac:dyDescent="0.25">
      <c r="A354" s="54"/>
      <c r="B354" s="23">
        <v>44777</v>
      </c>
      <c r="C354" s="24">
        <v>0.95068287037037036</v>
      </c>
      <c r="D354" s="32" t="s">
        <v>722</v>
      </c>
      <c r="E354" s="32" t="s">
        <v>709</v>
      </c>
      <c r="F354" s="26" t="s">
        <v>1149</v>
      </c>
      <c r="G354" s="22">
        <v>-132.5</v>
      </c>
      <c r="H354" s="22"/>
      <c r="I354" s="22"/>
    </row>
    <row r="355" spans="1:9" x14ac:dyDescent="0.25">
      <c r="A355" s="54"/>
      <c r="B355" s="23">
        <v>44778</v>
      </c>
      <c r="C355" s="24">
        <v>0.29841435185185183</v>
      </c>
      <c r="D355" s="32" t="s">
        <v>723</v>
      </c>
      <c r="E355" s="32" t="s">
        <v>709</v>
      </c>
      <c r="F355" s="26" t="s">
        <v>3059</v>
      </c>
      <c r="G355" s="22">
        <v>-198.5</v>
      </c>
      <c r="H355" s="22"/>
      <c r="I355" s="22"/>
    </row>
    <row r="356" spans="1:9" x14ac:dyDescent="0.25">
      <c r="A356" s="54"/>
      <c r="B356" s="23">
        <v>44778</v>
      </c>
      <c r="C356" s="24">
        <v>0.31695601851851851</v>
      </c>
      <c r="D356" s="32" t="s">
        <v>723</v>
      </c>
      <c r="E356" s="32" t="s">
        <v>709</v>
      </c>
      <c r="F356" s="26" t="s">
        <v>3061</v>
      </c>
      <c r="G356" s="22">
        <v>-355.5</v>
      </c>
      <c r="H356" s="22"/>
      <c r="I356" s="22"/>
    </row>
    <row r="357" spans="1:9" x14ac:dyDescent="0.25">
      <c r="A357" s="54"/>
      <c r="B357" s="23">
        <v>44778</v>
      </c>
      <c r="C357" s="24">
        <v>0.32814814814814813</v>
      </c>
      <c r="D357" s="32" t="s">
        <v>723</v>
      </c>
      <c r="E357" s="32" t="s">
        <v>709</v>
      </c>
      <c r="F357" s="26" t="s">
        <v>3063</v>
      </c>
      <c r="G357" s="22">
        <v>-125.5</v>
      </c>
      <c r="H357" s="22"/>
      <c r="I357" s="22"/>
    </row>
    <row r="358" spans="1:9" x14ac:dyDescent="0.25">
      <c r="A358" s="54"/>
      <c r="B358" s="23">
        <v>44778</v>
      </c>
      <c r="C358" s="24">
        <v>0.34209490740740739</v>
      </c>
      <c r="D358" s="32" t="s">
        <v>723</v>
      </c>
      <c r="E358" s="32" t="s">
        <v>709</v>
      </c>
      <c r="F358" s="26" t="s">
        <v>3065</v>
      </c>
      <c r="G358" s="22">
        <v>-489.5</v>
      </c>
      <c r="H358" s="22"/>
      <c r="I358" s="22"/>
    </row>
    <row r="359" spans="1:9" x14ac:dyDescent="0.25">
      <c r="A359" s="54"/>
      <c r="B359" s="23">
        <v>44778</v>
      </c>
      <c r="C359" s="24">
        <v>0.3448032407407407</v>
      </c>
      <c r="D359" s="32" t="s">
        <v>723</v>
      </c>
      <c r="E359" s="32" t="s">
        <v>709</v>
      </c>
      <c r="F359" s="26" t="s">
        <v>3067</v>
      </c>
      <c r="G359" s="22">
        <v>-109.5</v>
      </c>
      <c r="H359" s="22"/>
      <c r="I359" s="22"/>
    </row>
    <row r="360" spans="1:9" x14ac:dyDescent="0.25">
      <c r="A360" s="54"/>
      <c r="B360" s="23">
        <v>44778</v>
      </c>
      <c r="C360" s="24">
        <v>0.34721064814814812</v>
      </c>
      <c r="D360" s="32" t="s">
        <v>723</v>
      </c>
      <c r="E360" s="32" t="s">
        <v>709</v>
      </c>
      <c r="F360" s="26" t="s">
        <v>3069</v>
      </c>
      <c r="G360" s="22">
        <v>-262.5</v>
      </c>
      <c r="H360" s="22"/>
      <c r="I360" s="22"/>
    </row>
    <row r="361" spans="1:9" x14ac:dyDescent="0.25">
      <c r="A361" s="54"/>
      <c r="B361" s="23">
        <v>44778</v>
      </c>
      <c r="C361" s="24">
        <v>0.34986111111111112</v>
      </c>
      <c r="D361" s="32" t="s">
        <v>723</v>
      </c>
      <c r="E361" s="32" t="s">
        <v>709</v>
      </c>
      <c r="F361" s="26" t="s">
        <v>3071</v>
      </c>
      <c r="G361" s="22">
        <v>-857.5</v>
      </c>
      <c r="H361" s="22"/>
      <c r="I361" s="22"/>
    </row>
    <row r="362" spans="1:9" x14ac:dyDescent="0.25">
      <c r="A362" s="54"/>
      <c r="B362" s="23">
        <v>44778</v>
      </c>
      <c r="C362" s="24">
        <v>0.3518634259259259</v>
      </c>
      <c r="D362" s="32" t="s">
        <v>723</v>
      </c>
      <c r="E362" s="32" t="s">
        <v>709</v>
      </c>
      <c r="F362" s="26" t="s">
        <v>3073</v>
      </c>
      <c r="G362" s="22">
        <v>-360.5</v>
      </c>
      <c r="H362" s="22"/>
      <c r="I362" s="22"/>
    </row>
    <row r="363" spans="1:9" x14ac:dyDescent="0.25">
      <c r="A363" s="54"/>
      <c r="B363" s="23">
        <v>44778</v>
      </c>
      <c r="C363" s="24">
        <v>0.35392361111111109</v>
      </c>
      <c r="D363" s="32" t="s">
        <v>723</v>
      </c>
      <c r="E363" s="32" t="s">
        <v>709</v>
      </c>
      <c r="F363" s="26" t="s">
        <v>3075</v>
      </c>
      <c r="G363" s="22">
        <v>-105.5</v>
      </c>
      <c r="H363" s="22"/>
      <c r="I363" s="22"/>
    </row>
    <row r="364" spans="1:9" x14ac:dyDescent="0.25">
      <c r="A364" s="54"/>
      <c r="B364" s="23">
        <v>44778</v>
      </c>
      <c r="C364" s="24">
        <v>0.35643518518518519</v>
      </c>
      <c r="D364" s="32" t="s">
        <v>723</v>
      </c>
      <c r="E364" s="32" t="s">
        <v>709</v>
      </c>
      <c r="F364" s="26" t="s">
        <v>3077</v>
      </c>
      <c r="G364" s="22">
        <v>-505.5</v>
      </c>
      <c r="H364" s="22"/>
      <c r="I364" s="22"/>
    </row>
    <row r="365" spans="1:9" x14ac:dyDescent="0.25">
      <c r="A365" s="54"/>
      <c r="B365" s="23">
        <v>44778</v>
      </c>
      <c r="C365" s="24">
        <v>0.35827546296296298</v>
      </c>
      <c r="D365" s="32" t="s">
        <v>723</v>
      </c>
      <c r="E365" s="32" t="s">
        <v>709</v>
      </c>
      <c r="F365" s="26" t="s">
        <v>3079</v>
      </c>
      <c r="G365" s="22">
        <v>-77.5</v>
      </c>
      <c r="H365" s="22"/>
      <c r="I365" s="22"/>
    </row>
    <row r="366" spans="1:9" x14ac:dyDescent="0.25">
      <c r="A366" s="54"/>
      <c r="B366" s="23">
        <v>44778</v>
      </c>
      <c r="C366" s="24">
        <v>0.36268518518518517</v>
      </c>
      <c r="D366" s="32" t="s">
        <v>723</v>
      </c>
      <c r="E366" s="32" t="s">
        <v>709</v>
      </c>
      <c r="F366" s="26" t="s">
        <v>3081</v>
      </c>
      <c r="G366" s="22">
        <v>-215.5</v>
      </c>
      <c r="H366" s="22"/>
      <c r="I366" s="22"/>
    </row>
    <row r="367" spans="1:9" x14ac:dyDescent="0.25">
      <c r="A367" s="54"/>
      <c r="B367" s="23">
        <v>44778</v>
      </c>
      <c r="C367" s="24">
        <v>0.36475694444444445</v>
      </c>
      <c r="D367" s="32" t="s">
        <v>723</v>
      </c>
      <c r="E367" s="32" t="s">
        <v>709</v>
      </c>
      <c r="F367" s="26" t="s">
        <v>3083</v>
      </c>
      <c r="G367" s="22">
        <v>-279.5</v>
      </c>
      <c r="H367" s="22"/>
      <c r="I367" s="22"/>
    </row>
    <row r="368" spans="1:9" x14ac:dyDescent="0.25">
      <c r="A368" s="54"/>
      <c r="B368" s="23">
        <v>44778</v>
      </c>
      <c r="C368" s="24">
        <v>0.36677083333333332</v>
      </c>
      <c r="D368" s="32" t="s">
        <v>723</v>
      </c>
      <c r="E368" s="32" t="s">
        <v>709</v>
      </c>
      <c r="F368" s="26" t="s">
        <v>3085</v>
      </c>
      <c r="G368" s="22">
        <v>-120.5</v>
      </c>
      <c r="H368" s="22"/>
      <c r="I368" s="22"/>
    </row>
    <row r="369" spans="1:9" x14ac:dyDescent="0.25">
      <c r="A369" s="54"/>
      <c r="B369" s="23">
        <v>44778</v>
      </c>
      <c r="C369" s="24">
        <v>0.36925925925925923</v>
      </c>
      <c r="D369" s="32" t="s">
        <v>723</v>
      </c>
      <c r="E369" s="32" t="s">
        <v>709</v>
      </c>
      <c r="F369" s="26" t="s">
        <v>3087</v>
      </c>
      <c r="G369" s="22">
        <v>-189.5</v>
      </c>
      <c r="H369" s="22"/>
      <c r="I369" s="22"/>
    </row>
    <row r="370" spans="1:9" x14ac:dyDescent="0.25">
      <c r="A370" s="54"/>
      <c r="B370" s="23">
        <v>44778</v>
      </c>
      <c r="C370" s="24">
        <v>0.37687500000000002</v>
      </c>
      <c r="D370" s="32" t="s">
        <v>1465</v>
      </c>
      <c r="E370" s="32" t="s">
        <v>709</v>
      </c>
      <c r="F370" s="26" t="s">
        <v>3089</v>
      </c>
      <c r="G370" s="22">
        <v>-171.5</v>
      </c>
      <c r="H370" s="22"/>
      <c r="I370" s="22"/>
    </row>
    <row r="371" spans="1:9" x14ac:dyDescent="0.25">
      <c r="A371" s="54"/>
      <c r="B371" s="23">
        <v>44778</v>
      </c>
      <c r="C371" s="24">
        <v>0.37887731481481479</v>
      </c>
      <c r="D371" s="32" t="s">
        <v>1465</v>
      </c>
      <c r="E371" s="32" t="s">
        <v>709</v>
      </c>
      <c r="F371" s="26" t="s">
        <v>3091</v>
      </c>
      <c r="G371" s="22">
        <v>-90.5</v>
      </c>
      <c r="H371" s="22"/>
      <c r="I371" s="22"/>
    </row>
    <row r="372" spans="1:9" x14ac:dyDescent="0.25">
      <c r="A372" s="54"/>
      <c r="B372" s="23">
        <v>44778</v>
      </c>
      <c r="C372" s="24">
        <v>0.38068287037037035</v>
      </c>
      <c r="D372" s="32" t="s">
        <v>1465</v>
      </c>
      <c r="E372" s="32" t="s">
        <v>709</v>
      </c>
      <c r="F372" s="26" t="s">
        <v>3093</v>
      </c>
      <c r="G372" s="22">
        <v>-167.5</v>
      </c>
      <c r="H372" s="22"/>
      <c r="I372" s="22"/>
    </row>
    <row r="373" spans="1:9" x14ac:dyDescent="0.25">
      <c r="A373" s="54"/>
      <c r="B373" s="23">
        <v>44778</v>
      </c>
      <c r="C373" s="24">
        <v>0.39053240740740741</v>
      </c>
      <c r="D373" s="32" t="s">
        <v>1465</v>
      </c>
      <c r="E373" s="32" t="s">
        <v>709</v>
      </c>
      <c r="F373" s="26" t="s">
        <v>3095</v>
      </c>
      <c r="G373" s="22">
        <v>-145.5</v>
      </c>
      <c r="H373" s="22"/>
      <c r="I373" s="22"/>
    </row>
    <row r="374" spans="1:9" x14ac:dyDescent="0.25">
      <c r="A374" s="54"/>
      <c r="B374" s="23">
        <v>44778</v>
      </c>
      <c r="C374" s="24">
        <v>0.39400462962962962</v>
      </c>
      <c r="D374" s="32" t="s">
        <v>1465</v>
      </c>
      <c r="E374" s="32" t="s">
        <v>709</v>
      </c>
      <c r="F374" s="26" t="s">
        <v>3097</v>
      </c>
      <c r="G374" s="22">
        <v>-190.5</v>
      </c>
      <c r="H374" s="22"/>
      <c r="I374" s="22"/>
    </row>
    <row r="375" spans="1:9" x14ac:dyDescent="0.25">
      <c r="A375" s="54"/>
      <c r="B375" s="23">
        <v>44778</v>
      </c>
      <c r="C375" s="24">
        <v>0.39678240740740739</v>
      </c>
      <c r="D375" s="32" t="s">
        <v>1465</v>
      </c>
      <c r="E375" s="32" t="s">
        <v>709</v>
      </c>
      <c r="F375" s="26" t="s">
        <v>3099</v>
      </c>
      <c r="G375" s="22">
        <v>-68.5</v>
      </c>
      <c r="H375" s="22"/>
      <c r="I375" s="22"/>
    </row>
    <row r="376" spans="1:9" x14ac:dyDescent="0.25">
      <c r="A376" s="54"/>
      <c r="B376" s="37">
        <v>44778</v>
      </c>
      <c r="C376" s="38">
        <v>0.39878472222222222</v>
      </c>
      <c r="D376" s="49" t="s">
        <v>1465</v>
      </c>
      <c r="E376" s="49" t="s">
        <v>1632</v>
      </c>
      <c r="F376" s="40" t="s">
        <v>3101</v>
      </c>
      <c r="G376" s="39">
        <v>0</v>
      </c>
      <c r="H376" s="22"/>
      <c r="I376" s="22"/>
    </row>
    <row r="377" spans="1:9" x14ac:dyDescent="0.25">
      <c r="A377" s="54"/>
      <c r="B377" s="23">
        <v>44778</v>
      </c>
      <c r="C377" s="24">
        <v>0.40509259259259256</v>
      </c>
      <c r="D377" s="32" t="s">
        <v>1465</v>
      </c>
      <c r="E377" s="32" t="s">
        <v>709</v>
      </c>
      <c r="F377" s="26" t="s">
        <v>3103</v>
      </c>
      <c r="G377" s="22">
        <v>-45.5</v>
      </c>
      <c r="H377" s="22"/>
      <c r="I377" s="22"/>
    </row>
    <row r="378" spans="1:9" x14ac:dyDescent="0.25">
      <c r="A378" s="54"/>
      <c r="B378" s="23">
        <v>44778</v>
      </c>
      <c r="C378" s="24">
        <v>0.40759259259259256</v>
      </c>
      <c r="D378" s="32" t="s">
        <v>1465</v>
      </c>
      <c r="E378" s="32" t="s">
        <v>709</v>
      </c>
      <c r="F378" s="26" t="s">
        <v>3105</v>
      </c>
      <c r="G378" s="22">
        <v>-94.5</v>
      </c>
      <c r="H378" s="22"/>
      <c r="I378" s="22"/>
    </row>
    <row r="379" spans="1:9" x14ac:dyDescent="0.25">
      <c r="A379" s="54"/>
      <c r="B379" s="23">
        <v>44778</v>
      </c>
      <c r="C379" s="24">
        <v>0.41012731481481479</v>
      </c>
      <c r="D379" s="32" t="s">
        <v>1465</v>
      </c>
      <c r="E379" s="32" t="s">
        <v>709</v>
      </c>
      <c r="F379" s="26" t="s">
        <v>3107</v>
      </c>
      <c r="G379" s="22">
        <v>-115.5</v>
      </c>
      <c r="H379" s="22"/>
      <c r="I379" s="22"/>
    </row>
    <row r="380" spans="1:9" x14ac:dyDescent="0.25">
      <c r="A380" s="54"/>
      <c r="B380" s="23">
        <v>44778</v>
      </c>
      <c r="C380" s="24">
        <v>0.41363425925925923</v>
      </c>
      <c r="D380" s="32" t="s">
        <v>1465</v>
      </c>
      <c r="E380" s="32" t="s">
        <v>709</v>
      </c>
      <c r="F380" s="26" t="s">
        <v>3109</v>
      </c>
      <c r="G380" s="22">
        <v>-164.5</v>
      </c>
      <c r="H380" s="22"/>
      <c r="I380" s="22"/>
    </row>
    <row r="381" spans="1:9" x14ac:dyDescent="0.25">
      <c r="A381" s="54"/>
      <c r="B381" s="23">
        <v>44778</v>
      </c>
      <c r="C381" s="24">
        <v>0.41690972222222222</v>
      </c>
      <c r="D381" s="32" t="s">
        <v>1465</v>
      </c>
      <c r="E381" s="32" t="s">
        <v>709</v>
      </c>
      <c r="F381" s="26" t="s">
        <v>3111</v>
      </c>
      <c r="G381" s="22">
        <v>-388.5</v>
      </c>
      <c r="H381" s="22"/>
      <c r="I381" s="22"/>
    </row>
    <row r="382" spans="1:9" x14ac:dyDescent="0.25">
      <c r="A382" s="54"/>
      <c r="B382" s="23">
        <v>44778</v>
      </c>
      <c r="C382" s="24">
        <v>0.46667824074074077</v>
      </c>
      <c r="D382" s="32" t="s">
        <v>1465</v>
      </c>
      <c r="E382" s="32" t="s">
        <v>709</v>
      </c>
      <c r="F382" s="26" t="s">
        <v>3113</v>
      </c>
      <c r="G382" s="22">
        <v>-198.5</v>
      </c>
      <c r="H382" s="22"/>
      <c r="I382" s="22"/>
    </row>
    <row r="383" spans="1:9" x14ac:dyDescent="0.25">
      <c r="A383" s="54"/>
      <c r="B383" s="23">
        <v>44778</v>
      </c>
      <c r="C383" s="24">
        <v>0.46892361111111108</v>
      </c>
      <c r="D383" s="32" t="s">
        <v>1465</v>
      </c>
      <c r="E383" s="32" t="s">
        <v>709</v>
      </c>
      <c r="F383" s="26" t="s">
        <v>3115</v>
      </c>
      <c r="G383" s="22">
        <v>-127.5</v>
      </c>
      <c r="H383" s="22"/>
      <c r="I383" s="22"/>
    </row>
    <row r="384" spans="1:9" x14ac:dyDescent="0.25">
      <c r="A384" s="54"/>
      <c r="B384" s="23">
        <v>44778</v>
      </c>
      <c r="C384" s="24">
        <v>0.48829861111111111</v>
      </c>
      <c r="D384" s="32" t="s">
        <v>1465</v>
      </c>
      <c r="E384" s="32" t="s">
        <v>709</v>
      </c>
      <c r="F384" s="26" t="s">
        <v>3117</v>
      </c>
      <c r="G384" s="22">
        <v>-53.5</v>
      </c>
      <c r="H384" s="22"/>
      <c r="I384" s="22"/>
    </row>
    <row r="385" spans="1:9" x14ac:dyDescent="0.25">
      <c r="A385" s="54"/>
      <c r="B385" s="23">
        <v>44778</v>
      </c>
      <c r="C385" s="24">
        <v>0.59106481481481488</v>
      </c>
      <c r="D385" s="32" t="s">
        <v>723</v>
      </c>
      <c r="E385" s="32" t="s">
        <v>709</v>
      </c>
      <c r="F385" s="26" t="s">
        <v>3101</v>
      </c>
      <c r="G385" s="22">
        <v>-88.5</v>
      </c>
      <c r="H385" s="22"/>
      <c r="I385" s="22"/>
    </row>
    <row r="386" spans="1:9" x14ac:dyDescent="0.25">
      <c r="A386" s="54"/>
      <c r="B386" s="23">
        <v>44778</v>
      </c>
      <c r="C386" s="24">
        <v>0.59340277777777783</v>
      </c>
      <c r="D386" s="32" t="s">
        <v>723</v>
      </c>
      <c r="E386" s="32" t="s">
        <v>709</v>
      </c>
      <c r="F386" s="26" t="s">
        <v>3118</v>
      </c>
      <c r="G386" s="22">
        <v>-140.5</v>
      </c>
      <c r="H386" s="22"/>
      <c r="I386" s="22"/>
    </row>
    <row r="387" spans="1:9" x14ac:dyDescent="0.25">
      <c r="A387" s="54"/>
      <c r="B387" s="23">
        <v>44778</v>
      </c>
      <c r="C387" s="24">
        <v>0.60850694444444442</v>
      </c>
      <c r="D387" s="32" t="s">
        <v>723</v>
      </c>
      <c r="E387" s="32" t="s">
        <v>709</v>
      </c>
      <c r="F387" s="26" t="s">
        <v>3120</v>
      </c>
      <c r="G387" s="22">
        <v>-235.5</v>
      </c>
      <c r="H387" s="22"/>
      <c r="I387" s="22"/>
    </row>
    <row r="388" spans="1:9" x14ac:dyDescent="0.25">
      <c r="A388" s="54"/>
      <c r="B388" s="23">
        <v>44778</v>
      </c>
      <c r="C388" s="24">
        <v>0.70030092592592597</v>
      </c>
      <c r="D388" s="32" t="s">
        <v>723</v>
      </c>
      <c r="E388" s="32" t="s">
        <v>709</v>
      </c>
      <c r="F388" s="26" t="s">
        <v>3122</v>
      </c>
      <c r="G388" s="22">
        <v>-185.5</v>
      </c>
      <c r="H388" s="22"/>
      <c r="I388" s="22"/>
    </row>
    <row r="389" spans="1:9" x14ac:dyDescent="0.25">
      <c r="A389" s="54"/>
      <c r="B389" s="23">
        <v>44778</v>
      </c>
      <c r="C389" s="24">
        <v>0.73953703703703699</v>
      </c>
      <c r="D389" s="32" t="s">
        <v>723</v>
      </c>
      <c r="E389" s="32" t="s">
        <v>709</v>
      </c>
      <c r="F389" s="26" t="s">
        <v>3124</v>
      </c>
      <c r="G389" s="22">
        <v>-242.5</v>
      </c>
      <c r="H389" s="22"/>
      <c r="I389" s="22"/>
    </row>
    <row r="390" spans="1:9" x14ac:dyDescent="0.25">
      <c r="A390" s="54"/>
      <c r="B390" s="23">
        <v>44778</v>
      </c>
      <c r="C390" s="24">
        <v>0.80211805555555549</v>
      </c>
      <c r="D390" s="32" t="s">
        <v>722</v>
      </c>
      <c r="E390" s="32" t="s">
        <v>709</v>
      </c>
      <c r="F390" s="26" t="s">
        <v>3126</v>
      </c>
      <c r="G390" s="22">
        <v>-553.5</v>
      </c>
      <c r="H390" s="22"/>
      <c r="I390" s="22"/>
    </row>
    <row r="391" spans="1:9" x14ac:dyDescent="0.25">
      <c r="A391" s="54"/>
      <c r="B391" s="23">
        <v>44778</v>
      </c>
      <c r="C391" s="24">
        <v>0.81395833333333334</v>
      </c>
      <c r="D391" s="32" t="s">
        <v>722</v>
      </c>
      <c r="E391" s="32" t="s">
        <v>709</v>
      </c>
      <c r="F391" s="26" t="s">
        <v>3128</v>
      </c>
      <c r="G391" s="22">
        <v>-98.5</v>
      </c>
      <c r="H391" s="22"/>
      <c r="I391" s="22"/>
    </row>
    <row r="392" spans="1:9" x14ac:dyDescent="0.25">
      <c r="A392" s="54"/>
      <c r="B392" s="23">
        <v>44778</v>
      </c>
      <c r="C392" s="24">
        <v>0.8556597222222222</v>
      </c>
      <c r="D392" s="32" t="s">
        <v>722</v>
      </c>
      <c r="E392" s="32" t="s">
        <v>709</v>
      </c>
      <c r="F392" s="26" t="s">
        <v>3130</v>
      </c>
      <c r="G392" s="22">
        <v>-88.5</v>
      </c>
      <c r="H392" s="22"/>
      <c r="I392" s="22"/>
    </row>
    <row r="393" spans="1:9" x14ac:dyDescent="0.25">
      <c r="A393" s="54"/>
      <c r="B393" s="23">
        <v>44778</v>
      </c>
      <c r="C393" s="24">
        <v>0.88467592592592592</v>
      </c>
      <c r="D393" s="32" t="s">
        <v>722</v>
      </c>
      <c r="E393" s="32" t="s">
        <v>709</v>
      </c>
      <c r="F393" s="26" t="s">
        <v>3132</v>
      </c>
      <c r="G393" s="22">
        <v>-45.5</v>
      </c>
      <c r="H393" s="22"/>
      <c r="I393" s="22"/>
    </row>
    <row r="394" spans="1:9" x14ac:dyDescent="0.25">
      <c r="A394" s="54"/>
      <c r="B394" s="23">
        <v>44778</v>
      </c>
      <c r="C394" s="24">
        <v>0.97803240740740749</v>
      </c>
      <c r="D394" s="32" t="s">
        <v>722</v>
      </c>
      <c r="E394" s="32" t="s">
        <v>709</v>
      </c>
      <c r="F394" s="26" t="s">
        <v>3134</v>
      </c>
      <c r="G394" s="22">
        <v>-82.5</v>
      </c>
      <c r="H394" s="22"/>
      <c r="I394" s="22"/>
    </row>
    <row r="395" spans="1:9" x14ac:dyDescent="0.25">
      <c r="A395" s="54"/>
      <c r="B395" s="23">
        <v>44779</v>
      </c>
      <c r="C395" s="24">
        <v>0.56793981481481481</v>
      </c>
      <c r="D395" s="32" t="s">
        <v>1465</v>
      </c>
      <c r="E395" s="32" t="s">
        <v>709</v>
      </c>
      <c r="F395" s="26" t="s">
        <v>3136</v>
      </c>
      <c r="G395" s="22">
        <v>-319.5</v>
      </c>
      <c r="H395" s="22"/>
      <c r="I395" s="22"/>
    </row>
    <row r="396" spans="1:9" x14ac:dyDescent="0.25">
      <c r="A396" s="54"/>
      <c r="B396" s="23">
        <v>44779</v>
      </c>
      <c r="C396" s="24">
        <v>0.6548842592592593</v>
      </c>
      <c r="D396" s="32" t="s">
        <v>901</v>
      </c>
      <c r="E396" s="32" t="s">
        <v>709</v>
      </c>
      <c r="F396" s="26" t="s">
        <v>3138</v>
      </c>
      <c r="G396" s="22">
        <v>-102.5</v>
      </c>
      <c r="H396" s="22"/>
      <c r="I396" s="22"/>
    </row>
    <row r="397" spans="1:9" x14ac:dyDescent="0.25">
      <c r="A397" s="54"/>
      <c r="B397" s="23">
        <v>44780</v>
      </c>
      <c r="C397" s="24">
        <v>0.40756944444444443</v>
      </c>
      <c r="D397" s="32" t="s">
        <v>1465</v>
      </c>
      <c r="E397" s="32" t="s">
        <v>709</v>
      </c>
      <c r="F397" s="26" t="s">
        <v>3140</v>
      </c>
      <c r="G397" s="22">
        <v>-59.5</v>
      </c>
      <c r="H397" s="22"/>
      <c r="I397" s="22"/>
    </row>
    <row r="398" spans="1:9" x14ac:dyDescent="0.25">
      <c r="A398" s="54"/>
      <c r="B398" s="23">
        <v>44780</v>
      </c>
      <c r="C398" s="24">
        <v>0.52180555555555552</v>
      </c>
      <c r="D398" s="32" t="s">
        <v>1465</v>
      </c>
      <c r="E398" s="32" t="s">
        <v>709</v>
      </c>
      <c r="F398" s="26" t="s">
        <v>3142</v>
      </c>
      <c r="G398" s="22">
        <v>-182.5</v>
      </c>
      <c r="H398" s="22"/>
      <c r="I398" s="22"/>
    </row>
    <row r="399" spans="1:9" x14ac:dyDescent="0.25">
      <c r="A399" s="54"/>
      <c r="B399" s="23">
        <v>44780</v>
      </c>
      <c r="C399" s="24">
        <v>0.81130787037037033</v>
      </c>
      <c r="D399" s="32" t="s">
        <v>1280</v>
      </c>
      <c r="E399" s="32" t="s">
        <v>709</v>
      </c>
      <c r="F399" s="26" t="s">
        <v>3144</v>
      </c>
      <c r="G399" s="22">
        <v>-72.5</v>
      </c>
      <c r="H399" s="22"/>
      <c r="I399" s="22"/>
    </row>
    <row r="400" spans="1:9" x14ac:dyDescent="0.25">
      <c r="A400" s="54"/>
      <c r="B400" s="56"/>
      <c r="C400" s="56"/>
      <c r="D400" s="56"/>
      <c r="E400" s="56"/>
      <c r="F400" s="56"/>
      <c r="G400" s="31">
        <f>SUM(G340:G399)</f>
        <v>-10725.5</v>
      </c>
      <c r="H400" s="25">
        <f>58*4.94</f>
        <v>286.52000000000004</v>
      </c>
      <c r="I400" s="31">
        <f>G400+H400</f>
        <v>-10438.98</v>
      </c>
    </row>
    <row r="401" spans="1:9" x14ac:dyDescent="0.25">
      <c r="A401" s="54" t="s">
        <v>833</v>
      </c>
      <c r="B401" s="53" t="s">
        <v>827</v>
      </c>
      <c r="C401" s="55"/>
      <c r="D401" s="55"/>
      <c r="E401" s="55"/>
      <c r="F401" s="55"/>
      <c r="G401" s="25"/>
      <c r="H401" s="22"/>
      <c r="I401" s="22"/>
    </row>
    <row r="402" spans="1:9" x14ac:dyDescent="0.25">
      <c r="A402" s="54"/>
      <c r="B402" s="23">
        <v>44774</v>
      </c>
      <c r="C402" s="24">
        <v>0.49523148148148149</v>
      </c>
      <c r="D402" s="32" t="s">
        <v>724</v>
      </c>
      <c r="E402" s="32" t="s">
        <v>709</v>
      </c>
      <c r="F402" s="26" t="s">
        <v>1569</v>
      </c>
      <c r="G402" s="22">
        <v>-79.5</v>
      </c>
      <c r="H402" s="22"/>
      <c r="I402" s="22"/>
    </row>
    <row r="403" spans="1:9" x14ac:dyDescent="0.25">
      <c r="A403" s="54"/>
      <c r="B403" s="23">
        <v>44774</v>
      </c>
      <c r="C403" s="24">
        <v>0.58888888888888891</v>
      </c>
      <c r="D403" s="32" t="s">
        <v>724</v>
      </c>
      <c r="E403" s="32" t="s">
        <v>709</v>
      </c>
      <c r="F403" s="26" t="s">
        <v>1571</v>
      </c>
      <c r="G403" s="22">
        <v>-44.5</v>
      </c>
      <c r="H403" s="22"/>
      <c r="I403" s="22"/>
    </row>
    <row r="404" spans="1:9" x14ac:dyDescent="0.25">
      <c r="A404" s="54"/>
      <c r="B404" s="23">
        <v>44775</v>
      </c>
      <c r="C404" s="24">
        <v>0.47609953703703706</v>
      </c>
      <c r="D404" s="32" t="s">
        <v>724</v>
      </c>
      <c r="E404" s="32" t="s">
        <v>709</v>
      </c>
      <c r="F404" s="26" t="s">
        <v>785</v>
      </c>
      <c r="G404" s="22">
        <v>-95.5</v>
      </c>
      <c r="H404" s="22"/>
      <c r="I404" s="22"/>
    </row>
    <row r="405" spans="1:9" x14ac:dyDescent="0.25">
      <c r="A405" s="54"/>
      <c r="B405" s="23">
        <v>44775</v>
      </c>
      <c r="C405" s="24">
        <v>0.75760416666666675</v>
      </c>
      <c r="D405" s="32" t="s">
        <v>724</v>
      </c>
      <c r="E405" s="32" t="s">
        <v>709</v>
      </c>
      <c r="F405" s="26" t="s">
        <v>787</v>
      </c>
      <c r="G405" s="22">
        <v>-79.5</v>
      </c>
      <c r="H405" s="22"/>
      <c r="I405" s="22"/>
    </row>
    <row r="406" spans="1:9" x14ac:dyDescent="0.25">
      <c r="A406" s="54"/>
      <c r="B406" s="23">
        <v>44775</v>
      </c>
      <c r="C406" s="24">
        <v>0.81077546296296299</v>
      </c>
      <c r="D406" s="32" t="s">
        <v>725</v>
      </c>
      <c r="E406" s="32" t="s">
        <v>709</v>
      </c>
      <c r="F406" s="26" t="s">
        <v>788</v>
      </c>
      <c r="G406" s="22">
        <v>-339.5</v>
      </c>
      <c r="H406" s="22"/>
      <c r="I406" s="22"/>
    </row>
    <row r="407" spans="1:9" x14ac:dyDescent="0.25">
      <c r="A407" s="54"/>
      <c r="B407" s="23">
        <v>44776</v>
      </c>
      <c r="C407" s="24">
        <v>0.3756944444444445</v>
      </c>
      <c r="D407" s="32" t="s">
        <v>724</v>
      </c>
      <c r="E407" s="32" t="s">
        <v>709</v>
      </c>
      <c r="F407" s="26" t="s">
        <v>1388</v>
      </c>
      <c r="G407" s="22">
        <v>-509.5</v>
      </c>
      <c r="H407" s="22"/>
      <c r="I407" s="22"/>
    </row>
    <row r="408" spans="1:9" x14ac:dyDescent="0.25">
      <c r="A408" s="54"/>
      <c r="B408" s="23">
        <v>44776</v>
      </c>
      <c r="C408" s="24">
        <v>0.44133101851851847</v>
      </c>
      <c r="D408" s="32" t="s">
        <v>724</v>
      </c>
      <c r="E408" s="32" t="s">
        <v>709</v>
      </c>
      <c r="F408" s="26" t="s">
        <v>1390</v>
      </c>
      <c r="G408" s="22">
        <v>-62.5</v>
      </c>
      <c r="H408" s="22"/>
      <c r="I408" s="22"/>
    </row>
    <row r="409" spans="1:9" x14ac:dyDescent="0.25">
      <c r="A409" s="54"/>
      <c r="B409" s="23">
        <v>44776</v>
      </c>
      <c r="C409" s="24">
        <v>0.49863425925925925</v>
      </c>
      <c r="D409" s="32" t="s">
        <v>724</v>
      </c>
      <c r="E409" s="32" t="s">
        <v>709</v>
      </c>
      <c r="F409" s="26" t="s">
        <v>1392</v>
      </c>
      <c r="G409" s="22">
        <v>-339.5</v>
      </c>
      <c r="H409" s="22"/>
      <c r="I409" s="22"/>
    </row>
    <row r="410" spans="1:9" x14ac:dyDescent="0.25">
      <c r="A410" s="54"/>
      <c r="B410" s="23">
        <v>44776</v>
      </c>
      <c r="C410" s="24">
        <v>0.59201388888888895</v>
      </c>
      <c r="D410" s="32" t="s">
        <v>724</v>
      </c>
      <c r="E410" s="32" t="s">
        <v>709</v>
      </c>
      <c r="F410" s="26" t="s">
        <v>1394</v>
      </c>
      <c r="G410" s="22">
        <v>-169.5</v>
      </c>
      <c r="H410" s="22"/>
      <c r="I410" s="22"/>
    </row>
    <row r="411" spans="1:9" x14ac:dyDescent="0.25">
      <c r="A411" s="54"/>
      <c r="B411" s="23">
        <v>44776</v>
      </c>
      <c r="C411" s="24">
        <v>0.63266203703703705</v>
      </c>
      <c r="D411" s="32" t="s">
        <v>724</v>
      </c>
      <c r="E411" s="32" t="s">
        <v>709</v>
      </c>
      <c r="F411" s="26" t="s">
        <v>1396</v>
      </c>
      <c r="G411" s="22">
        <v>-149.5</v>
      </c>
      <c r="H411" s="22"/>
      <c r="I411" s="22"/>
    </row>
    <row r="412" spans="1:9" x14ac:dyDescent="0.25">
      <c r="A412" s="54"/>
      <c r="B412" s="23">
        <v>44777</v>
      </c>
      <c r="C412" s="24">
        <v>0.43623842592592593</v>
      </c>
      <c r="D412" s="32" t="s">
        <v>724</v>
      </c>
      <c r="E412" s="32" t="s">
        <v>709</v>
      </c>
      <c r="F412" s="26" t="s">
        <v>1151</v>
      </c>
      <c r="G412" s="22">
        <v>-107.5</v>
      </c>
      <c r="H412" s="22"/>
      <c r="I412" s="22"/>
    </row>
    <row r="413" spans="1:9" x14ac:dyDescent="0.25">
      <c r="A413" s="54"/>
      <c r="B413" s="23">
        <v>44777</v>
      </c>
      <c r="C413" s="24">
        <v>0.45975694444444443</v>
      </c>
      <c r="D413" s="32" t="s">
        <v>724</v>
      </c>
      <c r="E413" s="32" t="s">
        <v>709</v>
      </c>
      <c r="F413" s="26" t="s">
        <v>1153</v>
      </c>
      <c r="G413" s="22">
        <v>-400.5</v>
      </c>
      <c r="H413" s="22"/>
      <c r="I413" s="22"/>
    </row>
    <row r="414" spans="1:9" x14ac:dyDescent="0.25">
      <c r="A414" s="54"/>
      <c r="B414" s="23">
        <v>44777</v>
      </c>
      <c r="C414" s="24">
        <v>0.47317129629629634</v>
      </c>
      <c r="D414" s="32" t="s">
        <v>724</v>
      </c>
      <c r="E414" s="32" t="s">
        <v>709</v>
      </c>
      <c r="F414" s="26" t="s">
        <v>1155</v>
      </c>
      <c r="G414" s="22">
        <v>-247.5</v>
      </c>
      <c r="H414" s="22"/>
      <c r="I414" s="22"/>
    </row>
    <row r="415" spans="1:9" x14ac:dyDescent="0.25">
      <c r="A415" s="54"/>
      <c r="B415" s="23">
        <v>44777</v>
      </c>
      <c r="C415" s="24">
        <v>0.54694444444444446</v>
      </c>
      <c r="D415" s="32" t="s">
        <v>724</v>
      </c>
      <c r="E415" s="32" t="s">
        <v>709</v>
      </c>
      <c r="F415" s="26" t="s">
        <v>1157</v>
      </c>
      <c r="G415" s="22">
        <v>-134.5</v>
      </c>
      <c r="H415" s="22"/>
      <c r="I415" s="22"/>
    </row>
    <row r="416" spans="1:9" x14ac:dyDescent="0.25">
      <c r="A416" s="54"/>
      <c r="B416" s="23">
        <v>44777</v>
      </c>
      <c r="C416" s="24">
        <v>0.66917824074074073</v>
      </c>
      <c r="D416" s="32" t="s">
        <v>724</v>
      </c>
      <c r="E416" s="32" t="s">
        <v>709</v>
      </c>
      <c r="F416" s="26" t="s">
        <v>1159</v>
      </c>
      <c r="G416" s="22">
        <v>-317.5</v>
      </c>
      <c r="H416" s="22"/>
      <c r="I416" s="22"/>
    </row>
    <row r="417" spans="1:9" x14ac:dyDescent="0.25">
      <c r="A417" s="54"/>
      <c r="B417" s="23">
        <v>44777</v>
      </c>
      <c r="C417" s="24">
        <v>0.73466435185185175</v>
      </c>
      <c r="D417" s="32" t="s">
        <v>724</v>
      </c>
      <c r="E417" s="32" t="s">
        <v>709</v>
      </c>
      <c r="F417" s="26" t="s">
        <v>1161</v>
      </c>
      <c r="G417" s="22">
        <v>-174.5</v>
      </c>
      <c r="H417" s="22"/>
      <c r="I417" s="22"/>
    </row>
    <row r="418" spans="1:9" x14ac:dyDescent="0.25">
      <c r="A418" s="54"/>
      <c r="B418" s="23">
        <v>44777</v>
      </c>
      <c r="C418" s="24">
        <v>0.74481481481481471</v>
      </c>
      <c r="D418" s="32" t="s">
        <v>724</v>
      </c>
      <c r="E418" s="32" t="s">
        <v>709</v>
      </c>
      <c r="F418" s="26" t="s">
        <v>1163</v>
      </c>
      <c r="G418" s="22">
        <v>-457.5</v>
      </c>
      <c r="H418" s="22"/>
      <c r="I418" s="22"/>
    </row>
    <row r="419" spans="1:9" x14ac:dyDescent="0.25">
      <c r="A419" s="54"/>
      <c r="B419" s="23">
        <v>44777</v>
      </c>
      <c r="C419" s="24">
        <v>0.74745370370370379</v>
      </c>
      <c r="D419" s="32" t="s">
        <v>724</v>
      </c>
      <c r="E419" s="32" t="s">
        <v>709</v>
      </c>
      <c r="F419" s="26" t="s">
        <v>1165</v>
      </c>
      <c r="G419" s="22">
        <v>-227.5</v>
      </c>
      <c r="H419" s="22"/>
      <c r="I419" s="22"/>
    </row>
    <row r="420" spans="1:9" x14ac:dyDescent="0.25">
      <c r="A420" s="54"/>
      <c r="B420" s="23">
        <v>44777</v>
      </c>
      <c r="C420" s="24">
        <v>0.75031250000000005</v>
      </c>
      <c r="D420" s="32" t="s">
        <v>724</v>
      </c>
      <c r="E420" s="32" t="s">
        <v>709</v>
      </c>
      <c r="F420" s="26" t="s">
        <v>1167</v>
      </c>
      <c r="G420" s="22">
        <v>-420.5</v>
      </c>
      <c r="H420" s="22"/>
      <c r="I420" s="22"/>
    </row>
    <row r="421" spans="1:9" x14ac:dyDescent="0.25">
      <c r="A421" s="54"/>
      <c r="B421" s="23">
        <v>44777</v>
      </c>
      <c r="C421" s="24">
        <v>0.76312500000000005</v>
      </c>
      <c r="D421" s="32" t="s">
        <v>725</v>
      </c>
      <c r="E421" s="32" t="s">
        <v>709</v>
      </c>
      <c r="F421" s="26" t="s">
        <v>1169</v>
      </c>
      <c r="G421" s="22">
        <v>-63.5</v>
      </c>
      <c r="H421" s="22"/>
      <c r="I421" s="22"/>
    </row>
    <row r="422" spans="1:9" x14ac:dyDescent="0.25">
      <c r="A422" s="54"/>
      <c r="B422" s="23">
        <v>44777</v>
      </c>
      <c r="C422" s="24">
        <v>0.83163194444444455</v>
      </c>
      <c r="D422" s="32" t="s">
        <v>725</v>
      </c>
      <c r="E422" s="32" t="s">
        <v>709</v>
      </c>
      <c r="F422" s="26" t="s">
        <v>1171</v>
      </c>
      <c r="G422" s="22">
        <v>-96.5</v>
      </c>
      <c r="H422" s="22"/>
      <c r="I422" s="22"/>
    </row>
    <row r="423" spans="1:9" x14ac:dyDescent="0.25">
      <c r="A423" s="54"/>
      <c r="B423" s="23">
        <v>44777</v>
      </c>
      <c r="C423" s="24">
        <v>0.8548958333333333</v>
      </c>
      <c r="D423" s="32" t="s">
        <v>725</v>
      </c>
      <c r="E423" s="32" t="s">
        <v>709</v>
      </c>
      <c r="F423" s="26" t="s">
        <v>1173</v>
      </c>
      <c r="G423" s="22">
        <v>-383.5</v>
      </c>
      <c r="H423" s="22"/>
      <c r="I423" s="22"/>
    </row>
    <row r="424" spans="1:9" x14ac:dyDescent="0.25">
      <c r="A424" s="54"/>
      <c r="B424" s="23">
        <v>44777</v>
      </c>
      <c r="C424" s="24">
        <v>0.87284722222222222</v>
      </c>
      <c r="D424" s="32" t="s">
        <v>725</v>
      </c>
      <c r="E424" s="32" t="s">
        <v>709</v>
      </c>
      <c r="F424" s="26" t="s">
        <v>1175</v>
      </c>
      <c r="G424" s="22">
        <v>-65.5</v>
      </c>
      <c r="H424" s="22"/>
      <c r="I424" s="22"/>
    </row>
    <row r="425" spans="1:9" x14ac:dyDescent="0.25">
      <c r="A425" s="54"/>
      <c r="B425" s="23">
        <v>44777</v>
      </c>
      <c r="C425" s="24">
        <v>0.87611111111111117</v>
      </c>
      <c r="D425" s="32" t="s">
        <v>725</v>
      </c>
      <c r="E425" s="32" t="s">
        <v>709</v>
      </c>
      <c r="F425" s="26" t="s">
        <v>1177</v>
      </c>
      <c r="G425" s="22">
        <v>-84.5</v>
      </c>
      <c r="H425" s="22"/>
      <c r="I425" s="22"/>
    </row>
    <row r="426" spans="1:9" x14ac:dyDescent="0.25">
      <c r="A426" s="54"/>
      <c r="B426" s="23">
        <v>44777</v>
      </c>
      <c r="C426" s="24">
        <v>0.89748842592592604</v>
      </c>
      <c r="D426" s="32" t="s">
        <v>725</v>
      </c>
      <c r="E426" s="32" t="s">
        <v>709</v>
      </c>
      <c r="F426" s="26" t="s">
        <v>1179</v>
      </c>
      <c r="G426" s="22">
        <v>-239.5</v>
      </c>
      <c r="H426" s="22"/>
      <c r="I426" s="22"/>
    </row>
    <row r="427" spans="1:9" x14ac:dyDescent="0.25">
      <c r="A427" s="54"/>
      <c r="B427" s="23">
        <v>44777</v>
      </c>
      <c r="C427" s="24">
        <v>0.90196759259259263</v>
      </c>
      <c r="D427" s="32" t="s">
        <v>725</v>
      </c>
      <c r="E427" s="32" t="s">
        <v>709</v>
      </c>
      <c r="F427" s="26" t="s">
        <v>1181</v>
      </c>
      <c r="G427" s="22">
        <v>-156.5</v>
      </c>
      <c r="H427" s="22"/>
      <c r="I427" s="22"/>
    </row>
    <row r="428" spans="1:9" x14ac:dyDescent="0.25">
      <c r="A428" s="54"/>
      <c r="B428" s="23">
        <v>44777</v>
      </c>
      <c r="C428" s="24">
        <v>0.90767361111111111</v>
      </c>
      <c r="D428" s="32" t="s">
        <v>725</v>
      </c>
      <c r="E428" s="32" t="s">
        <v>709</v>
      </c>
      <c r="F428" s="26" t="s">
        <v>1183</v>
      </c>
      <c r="G428" s="22">
        <v>-109.5</v>
      </c>
      <c r="H428" s="22"/>
      <c r="I428" s="22"/>
    </row>
    <row r="429" spans="1:9" x14ac:dyDescent="0.25">
      <c r="A429" s="54"/>
      <c r="B429" s="27">
        <v>44777</v>
      </c>
      <c r="C429" s="28">
        <v>0.91634259259259254</v>
      </c>
      <c r="D429" s="33" t="s">
        <v>725</v>
      </c>
      <c r="E429" s="33" t="s">
        <v>709</v>
      </c>
      <c r="F429" s="30" t="s">
        <v>1262</v>
      </c>
      <c r="G429" s="29">
        <v>-174.5</v>
      </c>
      <c r="H429" s="22"/>
      <c r="I429" s="22"/>
    </row>
    <row r="430" spans="1:9" x14ac:dyDescent="0.25">
      <c r="A430" s="54"/>
      <c r="B430" s="23">
        <v>44777</v>
      </c>
      <c r="C430" s="24">
        <v>0.95599537037037041</v>
      </c>
      <c r="D430" s="32" t="s">
        <v>725</v>
      </c>
      <c r="E430" s="32" t="s">
        <v>709</v>
      </c>
      <c r="F430" s="26" t="s">
        <v>1185</v>
      </c>
      <c r="G430" s="22">
        <v>-136.5</v>
      </c>
      <c r="H430" s="22"/>
      <c r="I430" s="22"/>
    </row>
    <row r="431" spans="1:9" x14ac:dyDescent="0.25">
      <c r="A431" s="54"/>
      <c r="B431" s="23">
        <v>44777</v>
      </c>
      <c r="C431" s="24">
        <v>0.95888888888888879</v>
      </c>
      <c r="D431" s="32" t="s">
        <v>725</v>
      </c>
      <c r="E431" s="32" t="s">
        <v>709</v>
      </c>
      <c r="F431" s="26" t="s">
        <v>1187</v>
      </c>
      <c r="G431" s="22">
        <v>-127.5</v>
      </c>
      <c r="H431" s="22"/>
      <c r="I431" s="22"/>
    </row>
    <row r="432" spans="1:9" x14ac:dyDescent="0.25">
      <c r="A432" s="54"/>
      <c r="B432" s="23">
        <v>44778</v>
      </c>
      <c r="C432" s="24">
        <v>0.31008101851851849</v>
      </c>
      <c r="D432" s="32" t="s">
        <v>724</v>
      </c>
      <c r="E432" s="32" t="s">
        <v>709</v>
      </c>
      <c r="F432" s="26" t="s">
        <v>3146</v>
      </c>
      <c r="G432" s="22">
        <v>-161.5</v>
      </c>
      <c r="H432" s="22"/>
      <c r="I432" s="22"/>
    </row>
    <row r="433" spans="1:9" x14ac:dyDescent="0.25">
      <c r="A433" s="54"/>
      <c r="B433" s="23">
        <v>44778</v>
      </c>
      <c r="C433" s="24">
        <v>0.31160879629629629</v>
      </c>
      <c r="D433" s="32" t="s">
        <v>724</v>
      </c>
      <c r="E433" s="32" t="s">
        <v>709</v>
      </c>
      <c r="F433" s="26" t="s">
        <v>3148</v>
      </c>
      <c r="G433" s="22">
        <v>-505.5</v>
      </c>
      <c r="H433" s="22"/>
      <c r="I433" s="22"/>
    </row>
    <row r="434" spans="1:9" x14ac:dyDescent="0.25">
      <c r="A434" s="54"/>
      <c r="B434" s="23">
        <v>44778</v>
      </c>
      <c r="C434" s="24">
        <v>0.31552083333333331</v>
      </c>
      <c r="D434" s="32" t="s">
        <v>724</v>
      </c>
      <c r="E434" s="32" t="s">
        <v>709</v>
      </c>
      <c r="F434" s="26" t="s">
        <v>3150</v>
      </c>
      <c r="G434" s="22">
        <v>-171.5</v>
      </c>
      <c r="H434" s="22"/>
      <c r="I434" s="22"/>
    </row>
    <row r="435" spans="1:9" x14ac:dyDescent="0.25">
      <c r="A435" s="54"/>
      <c r="B435" s="23">
        <v>44778</v>
      </c>
      <c r="C435" s="24">
        <v>0.32300925925925927</v>
      </c>
      <c r="D435" s="32" t="s">
        <v>724</v>
      </c>
      <c r="E435" s="32" t="s">
        <v>709</v>
      </c>
      <c r="F435" s="26" t="s">
        <v>3152</v>
      </c>
      <c r="G435" s="22">
        <v>-461.5</v>
      </c>
      <c r="H435" s="22"/>
      <c r="I435" s="22"/>
    </row>
    <row r="436" spans="1:9" x14ac:dyDescent="0.25">
      <c r="A436" s="54"/>
      <c r="B436" s="23">
        <v>44778</v>
      </c>
      <c r="C436" s="24">
        <v>0.32476851851851851</v>
      </c>
      <c r="D436" s="32" t="s">
        <v>724</v>
      </c>
      <c r="E436" s="32" t="s">
        <v>709</v>
      </c>
      <c r="F436" s="26" t="s">
        <v>3154</v>
      </c>
      <c r="G436" s="22">
        <v>-802.5</v>
      </c>
      <c r="H436" s="22"/>
      <c r="I436" s="22"/>
    </row>
    <row r="437" spans="1:9" x14ac:dyDescent="0.25">
      <c r="A437" s="54"/>
      <c r="B437" s="23">
        <v>44778</v>
      </c>
      <c r="C437" s="24">
        <v>0.32722222222222225</v>
      </c>
      <c r="D437" s="32" t="s">
        <v>724</v>
      </c>
      <c r="E437" s="32" t="s">
        <v>709</v>
      </c>
      <c r="F437" s="26" t="s">
        <v>3156</v>
      </c>
      <c r="G437" s="22">
        <v>-187.5</v>
      </c>
      <c r="H437" s="22"/>
      <c r="I437" s="22"/>
    </row>
    <row r="438" spans="1:9" x14ac:dyDescent="0.25">
      <c r="A438" s="54"/>
      <c r="B438" s="23">
        <v>44778</v>
      </c>
      <c r="C438" s="24">
        <v>0.33012731481481478</v>
      </c>
      <c r="D438" s="32" t="s">
        <v>724</v>
      </c>
      <c r="E438" s="32" t="s">
        <v>709</v>
      </c>
      <c r="F438" s="26" t="s">
        <v>3158</v>
      </c>
      <c r="G438" s="22">
        <v>-88.5</v>
      </c>
      <c r="H438" s="22"/>
      <c r="I438" s="22"/>
    </row>
    <row r="439" spans="1:9" x14ac:dyDescent="0.25">
      <c r="A439" s="54"/>
      <c r="B439" s="23">
        <v>44778</v>
      </c>
      <c r="C439" s="24">
        <v>0.3329050925925926</v>
      </c>
      <c r="D439" s="32" t="s">
        <v>724</v>
      </c>
      <c r="E439" s="32" t="s">
        <v>709</v>
      </c>
      <c r="F439" s="26" t="s">
        <v>3160</v>
      </c>
      <c r="G439" s="22">
        <v>-113.5</v>
      </c>
      <c r="H439" s="22"/>
      <c r="I439" s="22"/>
    </row>
    <row r="440" spans="1:9" x14ac:dyDescent="0.25">
      <c r="A440" s="54"/>
      <c r="B440" s="23">
        <v>44778</v>
      </c>
      <c r="C440" s="24">
        <v>0.33384259259259258</v>
      </c>
      <c r="D440" s="32" t="s">
        <v>724</v>
      </c>
      <c r="E440" s="32" t="s">
        <v>709</v>
      </c>
      <c r="F440" s="26" t="s">
        <v>3162</v>
      </c>
      <c r="G440" s="22">
        <v>-137.5</v>
      </c>
      <c r="H440" s="22"/>
      <c r="I440" s="22"/>
    </row>
    <row r="441" spans="1:9" x14ac:dyDescent="0.25">
      <c r="A441" s="54"/>
      <c r="B441" s="23">
        <v>44778</v>
      </c>
      <c r="C441" s="24">
        <v>0.34164351851851849</v>
      </c>
      <c r="D441" s="32" t="s">
        <v>724</v>
      </c>
      <c r="E441" s="32" t="s">
        <v>709</v>
      </c>
      <c r="F441" s="26" t="s">
        <v>3164</v>
      </c>
      <c r="G441" s="22">
        <v>-44.5</v>
      </c>
      <c r="H441" s="22"/>
      <c r="I441" s="22"/>
    </row>
    <row r="442" spans="1:9" x14ac:dyDescent="0.25">
      <c r="A442" s="54"/>
      <c r="B442" s="23">
        <v>44778</v>
      </c>
      <c r="C442" s="24">
        <v>0.34490740740740744</v>
      </c>
      <c r="D442" s="32" t="s">
        <v>724</v>
      </c>
      <c r="E442" s="32" t="s">
        <v>709</v>
      </c>
      <c r="F442" s="26" t="s">
        <v>3166</v>
      </c>
      <c r="G442" s="22">
        <v>-110.5</v>
      </c>
      <c r="H442" s="22"/>
      <c r="I442" s="22"/>
    </row>
    <row r="443" spans="1:9" x14ac:dyDescent="0.25">
      <c r="A443" s="54"/>
      <c r="B443" s="23">
        <v>44778</v>
      </c>
      <c r="C443" s="24">
        <v>0.3464930555555556</v>
      </c>
      <c r="D443" s="32" t="s">
        <v>724</v>
      </c>
      <c r="E443" s="32" t="s">
        <v>709</v>
      </c>
      <c r="F443" s="26" t="s">
        <v>3168</v>
      </c>
      <c r="G443" s="22">
        <v>-234.5</v>
      </c>
      <c r="H443" s="22"/>
      <c r="I443" s="22"/>
    </row>
    <row r="444" spans="1:9" x14ac:dyDescent="0.25">
      <c r="A444" s="54"/>
      <c r="B444" s="23">
        <v>44778</v>
      </c>
      <c r="C444" s="24">
        <v>0.34800925925925924</v>
      </c>
      <c r="D444" s="32" t="s">
        <v>724</v>
      </c>
      <c r="E444" s="32" t="s">
        <v>709</v>
      </c>
      <c r="F444" s="26" t="s">
        <v>3170</v>
      </c>
      <c r="G444" s="22">
        <v>-307.5</v>
      </c>
      <c r="H444" s="22"/>
      <c r="I444" s="22"/>
    </row>
    <row r="445" spans="1:9" x14ac:dyDescent="0.25">
      <c r="A445" s="54"/>
      <c r="B445" s="23">
        <v>44778</v>
      </c>
      <c r="C445" s="24">
        <v>0.34915509259259259</v>
      </c>
      <c r="D445" s="32" t="s">
        <v>724</v>
      </c>
      <c r="E445" s="32" t="s">
        <v>709</v>
      </c>
      <c r="F445" s="26" t="s">
        <v>3172</v>
      </c>
      <c r="G445" s="22">
        <v>-121.5</v>
      </c>
      <c r="H445" s="22"/>
      <c r="I445" s="22"/>
    </row>
    <row r="446" spans="1:9" x14ac:dyDescent="0.25">
      <c r="A446" s="54"/>
      <c r="B446" s="23">
        <v>44778</v>
      </c>
      <c r="C446" s="24">
        <v>0.35153935185185187</v>
      </c>
      <c r="D446" s="32" t="s">
        <v>724</v>
      </c>
      <c r="E446" s="32" t="s">
        <v>709</v>
      </c>
      <c r="F446" s="26" t="s">
        <v>3174</v>
      </c>
      <c r="G446" s="22">
        <v>-166.5</v>
      </c>
      <c r="H446" s="22"/>
      <c r="I446" s="22"/>
    </row>
    <row r="447" spans="1:9" x14ac:dyDescent="0.25">
      <c r="A447" s="54"/>
      <c r="B447" s="23">
        <v>44778</v>
      </c>
      <c r="C447" s="24">
        <v>0.35320601851851857</v>
      </c>
      <c r="D447" s="32" t="s">
        <v>724</v>
      </c>
      <c r="E447" s="32" t="s">
        <v>709</v>
      </c>
      <c r="F447" s="26" t="s">
        <v>3176</v>
      </c>
      <c r="G447" s="22">
        <v>-143.5</v>
      </c>
      <c r="H447" s="22"/>
      <c r="I447" s="22"/>
    </row>
    <row r="448" spans="1:9" x14ac:dyDescent="0.25">
      <c r="A448" s="54"/>
      <c r="B448" s="23">
        <v>44778</v>
      </c>
      <c r="C448" s="24">
        <v>0.35461805555555559</v>
      </c>
      <c r="D448" s="32" t="s">
        <v>724</v>
      </c>
      <c r="E448" s="32" t="s">
        <v>709</v>
      </c>
      <c r="F448" s="26" t="s">
        <v>3178</v>
      </c>
      <c r="G448" s="22">
        <v>-70.5</v>
      </c>
      <c r="H448" s="22"/>
      <c r="I448" s="22"/>
    </row>
    <row r="449" spans="1:9" x14ac:dyDescent="0.25">
      <c r="A449" s="54"/>
      <c r="B449" s="23">
        <v>44778</v>
      </c>
      <c r="C449" s="24">
        <v>0.35950231481481482</v>
      </c>
      <c r="D449" s="32" t="s">
        <v>724</v>
      </c>
      <c r="E449" s="32" t="s">
        <v>709</v>
      </c>
      <c r="F449" s="26" t="s">
        <v>3180</v>
      </c>
      <c r="G449" s="22">
        <v>-670.5</v>
      </c>
      <c r="H449" s="22"/>
      <c r="I449" s="22"/>
    </row>
    <row r="450" spans="1:9" x14ac:dyDescent="0.25">
      <c r="A450" s="54"/>
      <c r="B450" s="23">
        <v>44778</v>
      </c>
      <c r="C450" s="24">
        <v>0.36114583333333333</v>
      </c>
      <c r="D450" s="32" t="s">
        <v>724</v>
      </c>
      <c r="E450" s="32" t="s">
        <v>709</v>
      </c>
      <c r="F450" s="26" t="s">
        <v>3182</v>
      </c>
      <c r="G450" s="22">
        <v>-116.5</v>
      </c>
      <c r="H450" s="22"/>
      <c r="I450" s="22"/>
    </row>
    <row r="451" spans="1:9" x14ac:dyDescent="0.25">
      <c r="A451" s="54"/>
      <c r="B451" s="23">
        <v>44778</v>
      </c>
      <c r="C451" s="24">
        <v>0.36641203703703701</v>
      </c>
      <c r="D451" s="32" t="s">
        <v>724</v>
      </c>
      <c r="E451" s="32" t="s">
        <v>709</v>
      </c>
      <c r="F451" s="26" t="s">
        <v>3184</v>
      </c>
      <c r="G451" s="22">
        <v>-131.5</v>
      </c>
      <c r="H451" s="22"/>
      <c r="I451" s="22"/>
    </row>
    <row r="452" spans="1:9" x14ac:dyDescent="0.25">
      <c r="A452" s="54"/>
      <c r="B452" s="23">
        <v>44778</v>
      </c>
      <c r="C452" s="24">
        <v>0.36821759259259257</v>
      </c>
      <c r="D452" s="32" t="s">
        <v>724</v>
      </c>
      <c r="E452" s="32" t="s">
        <v>709</v>
      </c>
      <c r="F452" s="26" t="s">
        <v>3186</v>
      </c>
      <c r="G452" s="22">
        <v>-146.5</v>
      </c>
      <c r="H452" s="22"/>
      <c r="I452" s="22"/>
    </row>
    <row r="453" spans="1:9" x14ac:dyDescent="0.25">
      <c r="A453" s="54"/>
      <c r="B453" s="23">
        <v>44778</v>
      </c>
      <c r="C453" s="24">
        <v>0.36981481481481482</v>
      </c>
      <c r="D453" s="32" t="s">
        <v>724</v>
      </c>
      <c r="E453" s="32" t="s">
        <v>709</v>
      </c>
      <c r="F453" s="26" t="s">
        <v>3187</v>
      </c>
      <c r="G453" s="22">
        <v>-63.5</v>
      </c>
      <c r="H453" s="22"/>
      <c r="I453" s="22"/>
    </row>
    <row r="454" spans="1:9" x14ac:dyDescent="0.25">
      <c r="A454" s="54"/>
      <c r="B454" s="23">
        <v>44778</v>
      </c>
      <c r="C454" s="24">
        <v>0.37423611111111116</v>
      </c>
      <c r="D454" s="32" t="s">
        <v>724</v>
      </c>
      <c r="E454" s="32" t="s">
        <v>709</v>
      </c>
      <c r="F454" s="26" t="s">
        <v>3189</v>
      </c>
      <c r="G454" s="22">
        <v>-45.5</v>
      </c>
      <c r="H454" s="22"/>
      <c r="I454" s="22"/>
    </row>
    <row r="455" spans="1:9" x14ac:dyDescent="0.25">
      <c r="A455" s="54"/>
      <c r="B455" s="23">
        <v>44778</v>
      </c>
      <c r="C455" s="24">
        <v>0.37641203703703702</v>
      </c>
      <c r="D455" s="32" t="s">
        <v>724</v>
      </c>
      <c r="E455" s="32" t="s">
        <v>709</v>
      </c>
      <c r="F455" s="26" t="s">
        <v>3191</v>
      </c>
      <c r="G455" s="22">
        <v>-536.5</v>
      </c>
      <c r="H455" s="22"/>
      <c r="I455" s="22"/>
    </row>
    <row r="456" spans="1:9" x14ac:dyDescent="0.25">
      <c r="A456" s="54"/>
      <c r="B456" s="23">
        <v>44778</v>
      </c>
      <c r="C456" s="24">
        <v>0.37913194444444448</v>
      </c>
      <c r="D456" s="32" t="s">
        <v>724</v>
      </c>
      <c r="E456" s="32" t="s">
        <v>709</v>
      </c>
      <c r="F456" s="26" t="s">
        <v>3193</v>
      </c>
      <c r="G456" s="22">
        <v>-89.5</v>
      </c>
      <c r="H456" s="22"/>
      <c r="I456" s="22"/>
    </row>
    <row r="457" spans="1:9" x14ac:dyDescent="0.25">
      <c r="A457" s="54"/>
      <c r="B457" s="23">
        <v>44778</v>
      </c>
      <c r="C457" s="24">
        <v>0.38162037037037039</v>
      </c>
      <c r="D457" s="32" t="s">
        <v>724</v>
      </c>
      <c r="E457" s="32" t="s">
        <v>709</v>
      </c>
      <c r="F457" s="26" t="s">
        <v>3195</v>
      </c>
      <c r="G457" s="22">
        <v>-44.5</v>
      </c>
      <c r="H457" s="22"/>
      <c r="I457" s="22"/>
    </row>
    <row r="458" spans="1:9" x14ac:dyDescent="0.25">
      <c r="A458" s="54"/>
      <c r="B458" s="23">
        <v>44778</v>
      </c>
      <c r="C458" s="24">
        <v>0.38321759259259264</v>
      </c>
      <c r="D458" s="32" t="s">
        <v>724</v>
      </c>
      <c r="E458" s="32" t="s">
        <v>709</v>
      </c>
      <c r="F458" s="26" t="s">
        <v>3197</v>
      </c>
      <c r="G458" s="22">
        <v>-352.5</v>
      </c>
      <c r="H458" s="22"/>
      <c r="I458" s="22"/>
    </row>
    <row r="459" spans="1:9" x14ac:dyDescent="0.25">
      <c r="A459" s="54"/>
      <c r="B459" s="23">
        <v>44778</v>
      </c>
      <c r="C459" s="24">
        <v>0.3845601851851852</v>
      </c>
      <c r="D459" s="32" t="s">
        <v>724</v>
      </c>
      <c r="E459" s="32" t="s">
        <v>709</v>
      </c>
      <c r="F459" s="26" t="s">
        <v>3199</v>
      </c>
      <c r="G459" s="22">
        <v>-94.5</v>
      </c>
      <c r="H459" s="22"/>
      <c r="I459" s="22"/>
    </row>
    <row r="460" spans="1:9" x14ac:dyDescent="0.25">
      <c r="A460" s="54"/>
      <c r="B460" s="23">
        <v>44778</v>
      </c>
      <c r="C460" s="24">
        <v>0.38641203703703703</v>
      </c>
      <c r="D460" s="32" t="s">
        <v>724</v>
      </c>
      <c r="E460" s="32" t="s">
        <v>709</v>
      </c>
      <c r="F460" s="26" t="s">
        <v>3201</v>
      </c>
      <c r="G460" s="22">
        <v>-706.5</v>
      </c>
      <c r="H460" s="22"/>
      <c r="I460" s="22"/>
    </row>
    <row r="461" spans="1:9" x14ac:dyDescent="0.25">
      <c r="A461" s="54"/>
      <c r="B461" s="23">
        <v>44778</v>
      </c>
      <c r="C461" s="24">
        <v>0.38795138888888886</v>
      </c>
      <c r="D461" s="32" t="s">
        <v>724</v>
      </c>
      <c r="E461" s="32" t="s">
        <v>709</v>
      </c>
      <c r="F461" s="26" t="s">
        <v>3203</v>
      </c>
      <c r="G461" s="22">
        <v>-67.5</v>
      </c>
      <c r="H461" s="22"/>
      <c r="I461" s="22"/>
    </row>
    <row r="462" spans="1:9" x14ac:dyDescent="0.25">
      <c r="A462" s="54"/>
      <c r="B462" s="23">
        <v>44778</v>
      </c>
      <c r="C462" s="24">
        <v>0.41072916666666665</v>
      </c>
      <c r="D462" s="32" t="s">
        <v>724</v>
      </c>
      <c r="E462" s="32" t="s">
        <v>709</v>
      </c>
      <c r="F462" s="26" t="s">
        <v>3205</v>
      </c>
      <c r="G462" s="22">
        <v>-140.5</v>
      </c>
      <c r="H462" s="22"/>
      <c r="I462" s="22"/>
    </row>
    <row r="463" spans="1:9" x14ac:dyDescent="0.25">
      <c r="A463" s="54"/>
      <c r="B463" s="23">
        <v>44778</v>
      </c>
      <c r="C463" s="24">
        <v>0.41533564814814811</v>
      </c>
      <c r="D463" s="32" t="s">
        <v>724</v>
      </c>
      <c r="E463" s="32" t="s">
        <v>709</v>
      </c>
      <c r="F463" s="26" t="s">
        <v>3207</v>
      </c>
      <c r="G463" s="22">
        <v>-182.5</v>
      </c>
      <c r="H463" s="22"/>
      <c r="I463" s="22"/>
    </row>
    <row r="464" spans="1:9" x14ac:dyDescent="0.25">
      <c r="A464" s="54"/>
      <c r="B464" s="23">
        <v>44778</v>
      </c>
      <c r="C464" s="24">
        <v>0.43968750000000001</v>
      </c>
      <c r="D464" s="32" t="s">
        <v>724</v>
      </c>
      <c r="E464" s="32" t="s">
        <v>709</v>
      </c>
      <c r="F464" s="26" t="s">
        <v>3209</v>
      </c>
      <c r="G464" s="22">
        <v>-129.5</v>
      </c>
      <c r="H464" s="22"/>
      <c r="I464" s="22"/>
    </row>
    <row r="465" spans="1:9" x14ac:dyDescent="0.25">
      <c r="A465" s="54"/>
      <c r="B465" s="23">
        <v>44778</v>
      </c>
      <c r="C465" s="24">
        <v>0.45430555555555557</v>
      </c>
      <c r="D465" s="32" t="s">
        <v>724</v>
      </c>
      <c r="E465" s="32" t="s">
        <v>709</v>
      </c>
      <c r="F465" s="26" t="s">
        <v>3211</v>
      </c>
      <c r="G465" s="22">
        <v>-104.5</v>
      </c>
      <c r="H465" s="22"/>
      <c r="I465" s="22"/>
    </row>
    <row r="466" spans="1:9" x14ac:dyDescent="0.25">
      <c r="A466" s="54"/>
      <c r="B466" s="23">
        <v>44778</v>
      </c>
      <c r="C466" s="24">
        <v>0.4748263888888889</v>
      </c>
      <c r="D466" s="32" t="s">
        <v>724</v>
      </c>
      <c r="E466" s="32" t="s">
        <v>709</v>
      </c>
      <c r="F466" s="26" t="s">
        <v>3213</v>
      </c>
      <c r="G466" s="22">
        <v>-65.5</v>
      </c>
      <c r="H466" s="22"/>
      <c r="I466" s="22"/>
    </row>
    <row r="467" spans="1:9" x14ac:dyDescent="0.25">
      <c r="A467" s="54"/>
      <c r="B467" s="23">
        <v>44778</v>
      </c>
      <c r="C467" s="24">
        <v>0.48399305555555555</v>
      </c>
      <c r="D467" s="32" t="s">
        <v>724</v>
      </c>
      <c r="E467" s="32" t="s">
        <v>709</v>
      </c>
      <c r="F467" s="26" t="s">
        <v>3215</v>
      </c>
      <c r="G467" s="22">
        <v>-122.5</v>
      </c>
      <c r="H467" s="22"/>
      <c r="I467" s="22"/>
    </row>
    <row r="468" spans="1:9" x14ac:dyDescent="0.25">
      <c r="A468" s="54"/>
      <c r="B468" s="23">
        <v>44778</v>
      </c>
      <c r="C468" s="24">
        <v>0.48709490740740741</v>
      </c>
      <c r="D468" s="32" t="s">
        <v>724</v>
      </c>
      <c r="E468" s="32" t="s">
        <v>709</v>
      </c>
      <c r="F468" s="26" t="s">
        <v>3217</v>
      </c>
      <c r="G468" s="22">
        <v>-164.5</v>
      </c>
      <c r="H468" s="22"/>
      <c r="I468" s="22"/>
    </row>
    <row r="469" spans="1:9" x14ac:dyDescent="0.25">
      <c r="A469" s="54"/>
      <c r="B469" s="23">
        <v>44778</v>
      </c>
      <c r="C469" s="24">
        <v>0.50539351851851855</v>
      </c>
      <c r="D469" s="32" t="s">
        <v>724</v>
      </c>
      <c r="E469" s="32" t="s">
        <v>709</v>
      </c>
      <c r="F469" s="26" t="s">
        <v>3219</v>
      </c>
      <c r="G469" s="22">
        <v>-112.5</v>
      </c>
      <c r="H469" s="22"/>
      <c r="I469" s="22"/>
    </row>
    <row r="470" spans="1:9" x14ac:dyDescent="0.25">
      <c r="A470" s="54"/>
      <c r="B470" s="23">
        <v>44778</v>
      </c>
      <c r="C470" s="24">
        <v>0.51244212962962965</v>
      </c>
      <c r="D470" s="32" t="s">
        <v>724</v>
      </c>
      <c r="E470" s="32" t="s">
        <v>709</v>
      </c>
      <c r="F470" s="26" t="s">
        <v>3221</v>
      </c>
      <c r="G470" s="22">
        <v>-127.5</v>
      </c>
      <c r="H470" s="22"/>
      <c r="I470" s="22"/>
    </row>
    <row r="471" spans="1:9" x14ac:dyDescent="0.25">
      <c r="A471" s="54"/>
      <c r="B471" s="23">
        <v>44778</v>
      </c>
      <c r="C471" s="24">
        <v>0.5458912037037037</v>
      </c>
      <c r="D471" s="32" t="s">
        <v>724</v>
      </c>
      <c r="E471" s="32" t="s">
        <v>709</v>
      </c>
      <c r="F471" s="26" t="s">
        <v>3223</v>
      </c>
      <c r="G471" s="22">
        <v>-94.5</v>
      </c>
      <c r="H471" s="22"/>
      <c r="I471" s="22"/>
    </row>
    <row r="472" spans="1:9" x14ac:dyDescent="0.25">
      <c r="A472" s="54"/>
      <c r="B472" s="23">
        <v>44778</v>
      </c>
      <c r="C472" s="24">
        <v>0.54910879629629628</v>
      </c>
      <c r="D472" s="32" t="s">
        <v>724</v>
      </c>
      <c r="E472" s="32" t="s">
        <v>709</v>
      </c>
      <c r="F472" s="26" t="s">
        <v>3225</v>
      </c>
      <c r="G472" s="22">
        <v>-139.5</v>
      </c>
      <c r="H472" s="22"/>
      <c r="I472" s="22"/>
    </row>
    <row r="473" spans="1:9" x14ac:dyDescent="0.25">
      <c r="A473" s="54"/>
      <c r="B473" s="23">
        <v>44778</v>
      </c>
      <c r="C473" s="24">
        <v>0.5718981481481481</v>
      </c>
      <c r="D473" s="32" t="s">
        <v>724</v>
      </c>
      <c r="E473" s="32" t="s">
        <v>709</v>
      </c>
      <c r="F473" s="26" t="s">
        <v>3227</v>
      </c>
      <c r="G473" s="22">
        <v>-94.5</v>
      </c>
      <c r="H473" s="22"/>
      <c r="I473" s="22"/>
    </row>
    <row r="474" spans="1:9" x14ac:dyDescent="0.25">
      <c r="A474" s="54"/>
      <c r="B474" s="23">
        <v>44778</v>
      </c>
      <c r="C474" s="24">
        <v>0.57337962962962963</v>
      </c>
      <c r="D474" s="32" t="s">
        <v>724</v>
      </c>
      <c r="E474" s="32" t="s">
        <v>709</v>
      </c>
      <c r="F474" s="26" t="s">
        <v>3229</v>
      </c>
      <c r="G474" s="22">
        <v>-127.5</v>
      </c>
      <c r="H474" s="22"/>
      <c r="I474" s="22"/>
    </row>
    <row r="475" spans="1:9" x14ac:dyDescent="0.25">
      <c r="A475" s="54"/>
      <c r="B475" s="23">
        <v>44778</v>
      </c>
      <c r="C475" s="24">
        <v>0.58859953703703705</v>
      </c>
      <c r="D475" s="32" t="s">
        <v>724</v>
      </c>
      <c r="E475" s="32" t="s">
        <v>709</v>
      </c>
      <c r="F475" s="26" t="s">
        <v>3231</v>
      </c>
      <c r="G475" s="22">
        <v>-74.5</v>
      </c>
      <c r="H475" s="22"/>
      <c r="I475" s="22"/>
    </row>
    <row r="476" spans="1:9" x14ac:dyDescent="0.25">
      <c r="A476" s="54"/>
      <c r="B476" s="23">
        <v>44778</v>
      </c>
      <c r="C476" s="24">
        <v>0.60759259259259257</v>
      </c>
      <c r="D476" s="32" t="s">
        <v>724</v>
      </c>
      <c r="E476" s="32" t="s">
        <v>709</v>
      </c>
      <c r="F476" s="26" t="s">
        <v>3233</v>
      </c>
      <c r="G476" s="22">
        <v>-96.5</v>
      </c>
      <c r="H476" s="22"/>
      <c r="I476" s="22"/>
    </row>
    <row r="477" spans="1:9" x14ac:dyDescent="0.25">
      <c r="A477" s="54"/>
      <c r="B477" s="23">
        <v>44778</v>
      </c>
      <c r="C477" s="24">
        <v>0.65119212962962958</v>
      </c>
      <c r="D477" s="32" t="s">
        <v>724</v>
      </c>
      <c r="E477" s="32" t="s">
        <v>709</v>
      </c>
      <c r="F477" s="26" t="s">
        <v>3235</v>
      </c>
      <c r="G477" s="22">
        <v>-101.5</v>
      </c>
      <c r="H477" s="22"/>
      <c r="I477" s="22"/>
    </row>
    <row r="478" spans="1:9" x14ac:dyDescent="0.25">
      <c r="A478" s="54"/>
      <c r="B478" s="23">
        <v>44778</v>
      </c>
      <c r="C478" s="24">
        <v>0.71501157407407412</v>
      </c>
      <c r="D478" s="32" t="s">
        <v>724</v>
      </c>
      <c r="E478" s="32" t="s">
        <v>709</v>
      </c>
      <c r="F478" s="26" t="s">
        <v>3237</v>
      </c>
      <c r="G478" s="22">
        <v>-64.5</v>
      </c>
      <c r="H478" s="22"/>
      <c r="I478" s="22"/>
    </row>
    <row r="479" spans="1:9" x14ac:dyDescent="0.25">
      <c r="A479" s="54"/>
      <c r="B479" s="23">
        <v>44778</v>
      </c>
      <c r="C479" s="24">
        <v>0.72694444444444439</v>
      </c>
      <c r="D479" s="32" t="s">
        <v>724</v>
      </c>
      <c r="E479" s="32" t="s">
        <v>709</v>
      </c>
      <c r="F479" s="26" t="s">
        <v>3239</v>
      </c>
      <c r="G479" s="22">
        <v>-83.5</v>
      </c>
      <c r="H479" s="22"/>
      <c r="I479" s="22"/>
    </row>
    <row r="480" spans="1:9" x14ac:dyDescent="0.25">
      <c r="A480" s="54"/>
      <c r="B480" s="23">
        <v>44778</v>
      </c>
      <c r="C480" s="24">
        <v>0.79518518518518511</v>
      </c>
      <c r="D480" s="32" t="s">
        <v>725</v>
      </c>
      <c r="E480" s="32" t="s">
        <v>709</v>
      </c>
      <c r="F480" s="26" t="s">
        <v>3241</v>
      </c>
      <c r="G480" s="22">
        <v>-97.5</v>
      </c>
      <c r="H480" s="22"/>
      <c r="I480" s="22"/>
    </row>
    <row r="481" spans="1:9" x14ac:dyDescent="0.25">
      <c r="A481" s="54"/>
      <c r="B481" s="23">
        <v>44778</v>
      </c>
      <c r="C481" s="24">
        <v>0.81230324074074067</v>
      </c>
      <c r="D481" s="32" t="s">
        <v>725</v>
      </c>
      <c r="E481" s="32" t="s">
        <v>709</v>
      </c>
      <c r="F481" s="26" t="s">
        <v>3243</v>
      </c>
      <c r="G481" s="22">
        <v>-686.5</v>
      </c>
      <c r="H481" s="22"/>
      <c r="I481" s="22"/>
    </row>
    <row r="482" spans="1:9" x14ac:dyDescent="0.25">
      <c r="A482" s="54"/>
      <c r="B482" s="23">
        <v>44778</v>
      </c>
      <c r="C482" s="24">
        <v>0.83516203703703706</v>
      </c>
      <c r="D482" s="32" t="s">
        <v>725</v>
      </c>
      <c r="E482" s="32" t="s">
        <v>709</v>
      </c>
      <c r="F482" s="26" t="s">
        <v>3245</v>
      </c>
      <c r="G482" s="22">
        <v>-60.5</v>
      </c>
      <c r="H482" s="22"/>
      <c r="I482" s="22"/>
    </row>
    <row r="483" spans="1:9" x14ac:dyDescent="0.25">
      <c r="A483" s="54"/>
      <c r="B483" s="23">
        <v>44778</v>
      </c>
      <c r="C483" s="24">
        <v>0.83798611111111121</v>
      </c>
      <c r="D483" s="32" t="s">
        <v>725</v>
      </c>
      <c r="E483" s="32" t="s">
        <v>709</v>
      </c>
      <c r="F483" s="26" t="s">
        <v>3247</v>
      </c>
      <c r="G483" s="22">
        <v>-230.5</v>
      </c>
      <c r="H483" s="22"/>
      <c r="I483" s="22"/>
    </row>
    <row r="484" spans="1:9" x14ac:dyDescent="0.25">
      <c r="A484" s="54"/>
      <c r="B484" s="23">
        <v>44778</v>
      </c>
      <c r="C484" s="24">
        <v>0.92819444444444443</v>
      </c>
      <c r="D484" s="32" t="s">
        <v>725</v>
      </c>
      <c r="E484" s="32" t="s">
        <v>709</v>
      </c>
      <c r="F484" s="26" t="s">
        <v>3249</v>
      </c>
      <c r="G484" s="22">
        <v>-65.5</v>
      </c>
      <c r="H484" s="22"/>
      <c r="I484" s="22"/>
    </row>
    <row r="485" spans="1:9" x14ac:dyDescent="0.25">
      <c r="A485" s="54"/>
      <c r="B485" s="23">
        <v>44778</v>
      </c>
      <c r="C485" s="24">
        <v>0.96099537037037042</v>
      </c>
      <c r="D485" s="32" t="s">
        <v>725</v>
      </c>
      <c r="E485" s="32" t="s">
        <v>709</v>
      </c>
      <c r="F485" s="26" t="s">
        <v>3251</v>
      </c>
      <c r="G485" s="22">
        <v>-186.5</v>
      </c>
      <c r="H485" s="22"/>
      <c r="I485" s="22"/>
    </row>
    <row r="486" spans="1:9" x14ac:dyDescent="0.25">
      <c r="A486" s="54"/>
      <c r="B486" s="41">
        <v>44778</v>
      </c>
      <c r="C486" s="42">
        <v>0.98299768518518515</v>
      </c>
      <c r="D486" s="50" t="s">
        <v>725</v>
      </c>
      <c r="E486" s="50" t="s">
        <v>709</v>
      </c>
      <c r="F486" s="44" t="s">
        <v>3253</v>
      </c>
      <c r="G486" s="43">
        <f>-185+2.5</f>
        <v>-182.5</v>
      </c>
      <c r="H486" s="22"/>
      <c r="I486" s="22"/>
    </row>
    <row r="487" spans="1:9" x14ac:dyDescent="0.25">
      <c r="A487" s="54"/>
      <c r="B487" s="57" t="s">
        <v>1277</v>
      </c>
      <c r="C487" s="57"/>
      <c r="D487" s="57"/>
      <c r="E487" s="57"/>
      <c r="F487" s="57"/>
      <c r="G487" s="43"/>
      <c r="H487" s="22"/>
      <c r="I487" s="22"/>
    </row>
    <row r="488" spans="1:9" x14ac:dyDescent="0.25">
      <c r="A488" s="54"/>
      <c r="B488" s="23">
        <v>44780</v>
      </c>
      <c r="C488" s="24">
        <v>0.62668981481481478</v>
      </c>
      <c r="D488" s="32" t="s">
        <v>724</v>
      </c>
      <c r="E488" s="32" t="s">
        <v>709</v>
      </c>
      <c r="F488" s="26" t="s">
        <v>3255</v>
      </c>
      <c r="G488" s="22">
        <v>-118.5</v>
      </c>
      <c r="H488" s="22"/>
      <c r="I488" s="22"/>
    </row>
    <row r="489" spans="1:9" x14ac:dyDescent="0.25">
      <c r="A489" s="54"/>
      <c r="B489" s="23">
        <v>44780</v>
      </c>
      <c r="C489" s="24">
        <v>0.80731481481481471</v>
      </c>
      <c r="D489" s="32" t="s">
        <v>725</v>
      </c>
      <c r="E489" s="32" t="s">
        <v>709</v>
      </c>
      <c r="F489" s="26" t="s">
        <v>3257</v>
      </c>
      <c r="G489" s="22">
        <v>-98.5</v>
      </c>
      <c r="H489" s="22"/>
      <c r="I489" s="22"/>
    </row>
    <row r="490" spans="1:9" x14ac:dyDescent="0.25">
      <c r="A490" s="54"/>
      <c r="B490" s="23">
        <v>44780</v>
      </c>
      <c r="C490" s="24">
        <v>0.84390046296296306</v>
      </c>
      <c r="D490" s="32" t="s">
        <v>725</v>
      </c>
      <c r="E490" s="32" t="s">
        <v>709</v>
      </c>
      <c r="F490" s="26" t="s">
        <v>3259</v>
      </c>
      <c r="G490" s="22">
        <v>-44.5</v>
      </c>
      <c r="H490" s="22"/>
      <c r="I490" s="22"/>
    </row>
    <row r="491" spans="1:9" x14ac:dyDescent="0.25">
      <c r="A491" s="54"/>
      <c r="B491" s="56"/>
      <c r="C491" s="56"/>
      <c r="D491" s="56"/>
      <c r="E491" s="56"/>
      <c r="F491" s="56"/>
      <c r="G491" s="31">
        <f>SUM(G402:G490)</f>
        <v>-16685</v>
      </c>
      <c r="H491" s="25">
        <f>88*4.94</f>
        <v>434.72</v>
      </c>
      <c r="I491" s="31">
        <f>G491+H491</f>
        <v>-16250.28</v>
      </c>
    </row>
    <row r="492" spans="1:9" x14ac:dyDescent="0.25">
      <c r="A492" s="54" t="s">
        <v>833</v>
      </c>
      <c r="B492" s="53" t="s">
        <v>828</v>
      </c>
      <c r="C492" s="55"/>
      <c r="D492" s="55"/>
      <c r="E492" s="55"/>
      <c r="F492" s="55"/>
      <c r="G492" s="25"/>
      <c r="H492" s="22"/>
      <c r="I492" s="22"/>
    </row>
    <row r="493" spans="1:9" x14ac:dyDescent="0.25">
      <c r="A493" s="54"/>
      <c r="B493" s="23">
        <v>44774</v>
      </c>
      <c r="C493" s="24">
        <v>0.3946527777777778</v>
      </c>
      <c r="D493" s="32" t="s">
        <v>726</v>
      </c>
      <c r="E493" s="32" t="s">
        <v>709</v>
      </c>
      <c r="F493" s="26" t="s">
        <v>1573</v>
      </c>
      <c r="G493" s="22">
        <v>-445.5</v>
      </c>
      <c r="H493" s="22"/>
      <c r="I493" s="22"/>
    </row>
    <row r="494" spans="1:9" x14ac:dyDescent="0.25">
      <c r="A494" s="54"/>
      <c r="B494" s="23">
        <v>44774</v>
      </c>
      <c r="C494" s="24">
        <v>0.39694444444444449</v>
      </c>
      <c r="D494" s="32" t="s">
        <v>726</v>
      </c>
      <c r="E494" s="32" t="s">
        <v>709</v>
      </c>
      <c r="F494" s="26" t="s">
        <v>1575</v>
      </c>
      <c r="G494" s="22">
        <v>-689.5</v>
      </c>
      <c r="H494" s="22"/>
      <c r="I494" s="22"/>
    </row>
    <row r="495" spans="1:9" x14ac:dyDescent="0.25">
      <c r="A495" s="54"/>
      <c r="B495" s="27">
        <v>44774</v>
      </c>
      <c r="C495" s="28">
        <v>0.41500000000000004</v>
      </c>
      <c r="D495" s="33" t="s">
        <v>726</v>
      </c>
      <c r="E495" s="33" t="s">
        <v>709</v>
      </c>
      <c r="F495" s="30" t="s">
        <v>1612</v>
      </c>
      <c r="G495" s="29">
        <v>-120.5</v>
      </c>
      <c r="H495" s="22"/>
      <c r="I495" s="22"/>
    </row>
    <row r="496" spans="1:9" x14ac:dyDescent="0.25">
      <c r="A496" s="54"/>
      <c r="B496" s="23">
        <v>44774</v>
      </c>
      <c r="C496" s="24">
        <v>0.41615740740740742</v>
      </c>
      <c r="D496" s="32" t="s">
        <v>726</v>
      </c>
      <c r="E496" s="32" t="s">
        <v>709</v>
      </c>
      <c r="F496" s="26" t="s">
        <v>1576</v>
      </c>
      <c r="G496" s="22">
        <v>-129.5</v>
      </c>
      <c r="H496" s="22"/>
      <c r="I496" s="22"/>
    </row>
    <row r="497" spans="1:9" x14ac:dyDescent="0.25">
      <c r="A497" s="54"/>
      <c r="B497" s="23">
        <v>44774</v>
      </c>
      <c r="C497" s="24">
        <v>0.4230902777777778</v>
      </c>
      <c r="D497" s="32" t="s">
        <v>726</v>
      </c>
      <c r="E497" s="32" t="s">
        <v>709</v>
      </c>
      <c r="F497" s="26" t="s">
        <v>1577</v>
      </c>
      <c r="G497" s="22">
        <v>-135.5</v>
      </c>
      <c r="H497" s="22"/>
      <c r="I497" s="22"/>
    </row>
    <row r="498" spans="1:9" x14ac:dyDescent="0.25">
      <c r="A498" s="54"/>
      <c r="B498" s="23">
        <v>44774</v>
      </c>
      <c r="C498" s="24">
        <v>0.55296296296296299</v>
      </c>
      <c r="D498" s="32" t="s">
        <v>715</v>
      </c>
      <c r="E498" s="32" t="s">
        <v>709</v>
      </c>
      <c r="F498" s="26" t="s">
        <v>1579</v>
      </c>
      <c r="G498" s="22">
        <v>-304.5</v>
      </c>
      <c r="H498" s="22"/>
      <c r="I498" s="22"/>
    </row>
    <row r="499" spans="1:9" x14ac:dyDescent="0.25">
      <c r="A499" s="54"/>
      <c r="B499" s="27">
        <v>44774</v>
      </c>
      <c r="C499" s="28">
        <v>0.66849537037037043</v>
      </c>
      <c r="D499" s="33" t="s">
        <v>726</v>
      </c>
      <c r="E499" s="33" t="s">
        <v>709</v>
      </c>
      <c r="F499" s="30" t="s">
        <v>1613</v>
      </c>
      <c r="G499" s="29">
        <v>-98.5</v>
      </c>
      <c r="H499" s="22"/>
      <c r="I499" s="22"/>
    </row>
    <row r="500" spans="1:9" x14ac:dyDescent="0.25">
      <c r="A500" s="54"/>
      <c r="B500" s="27">
        <v>44774</v>
      </c>
      <c r="C500" s="28">
        <v>0.76611111111111108</v>
      </c>
      <c r="D500" s="33" t="s">
        <v>726</v>
      </c>
      <c r="E500" s="33" t="s">
        <v>709</v>
      </c>
      <c r="F500" s="30" t="s">
        <v>1614</v>
      </c>
      <c r="G500" s="29">
        <v>-189.5</v>
      </c>
      <c r="H500" s="22"/>
      <c r="I500" s="22"/>
    </row>
    <row r="501" spans="1:9" x14ac:dyDescent="0.25">
      <c r="A501" s="54"/>
      <c r="B501" s="23">
        <v>44775</v>
      </c>
      <c r="C501" s="24">
        <v>0.44637731481481485</v>
      </c>
      <c r="D501" s="32" t="s">
        <v>726</v>
      </c>
      <c r="E501" s="32" t="s">
        <v>709</v>
      </c>
      <c r="F501" s="26" t="s">
        <v>790</v>
      </c>
      <c r="G501" s="22">
        <v>-131.5</v>
      </c>
      <c r="H501" s="22"/>
      <c r="I501" s="22"/>
    </row>
    <row r="502" spans="1:9" x14ac:dyDescent="0.25">
      <c r="A502" s="54"/>
      <c r="B502" s="23">
        <v>44775</v>
      </c>
      <c r="C502" s="24">
        <v>0.75474537037037026</v>
      </c>
      <c r="D502" s="32" t="s">
        <v>727</v>
      </c>
      <c r="E502" s="32" t="s">
        <v>709</v>
      </c>
      <c r="F502" s="26" t="s">
        <v>791</v>
      </c>
      <c r="G502" s="22">
        <v>-56.5</v>
      </c>
      <c r="H502" s="22"/>
      <c r="I502" s="22"/>
    </row>
    <row r="503" spans="1:9" x14ac:dyDescent="0.25">
      <c r="A503" s="54"/>
      <c r="B503" s="23">
        <v>44775</v>
      </c>
      <c r="C503" s="24">
        <v>0.82521990740740747</v>
      </c>
      <c r="D503" s="32" t="s">
        <v>727</v>
      </c>
      <c r="E503" s="32" t="s">
        <v>709</v>
      </c>
      <c r="F503" s="26" t="s">
        <v>793</v>
      </c>
      <c r="G503" s="22">
        <v>-85.5</v>
      </c>
      <c r="H503" s="22"/>
      <c r="I503" s="22"/>
    </row>
    <row r="504" spans="1:9" x14ac:dyDescent="0.25">
      <c r="A504" s="54"/>
      <c r="B504" s="23">
        <v>44775</v>
      </c>
      <c r="C504" s="24">
        <v>0.82614583333333336</v>
      </c>
      <c r="D504" s="32" t="s">
        <v>727</v>
      </c>
      <c r="E504" s="32" t="s">
        <v>709</v>
      </c>
      <c r="F504" s="26" t="s">
        <v>794</v>
      </c>
      <c r="G504" s="22">
        <v>-45.5</v>
      </c>
      <c r="H504" s="22"/>
      <c r="I504" s="22"/>
    </row>
    <row r="505" spans="1:9" x14ac:dyDescent="0.25">
      <c r="A505" s="54"/>
      <c r="B505" s="27">
        <v>44776</v>
      </c>
      <c r="C505" s="28">
        <v>0.48501157407407408</v>
      </c>
      <c r="D505" s="33" t="s">
        <v>726</v>
      </c>
      <c r="E505" s="33" t="s">
        <v>709</v>
      </c>
      <c r="F505" s="30" t="s">
        <v>1452</v>
      </c>
      <c r="G505" s="29">
        <v>-165.5</v>
      </c>
      <c r="H505" s="22"/>
      <c r="I505" s="22"/>
    </row>
    <row r="506" spans="1:9" x14ac:dyDescent="0.25">
      <c r="A506" s="54"/>
      <c r="B506" s="23">
        <v>44776</v>
      </c>
      <c r="C506" s="24">
        <v>0.50049768518518511</v>
      </c>
      <c r="D506" s="32" t="s">
        <v>726</v>
      </c>
      <c r="E506" s="32" t="s">
        <v>709</v>
      </c>
      <c r="F506" s="26" t="s">
        <v>1398</v>
      </c>
      <c r="G506" s="22">
        <v>-189.5</v>
      </c>
      <c r="H506" s="22"/>
      <c r="I506" s="22"/>
    </row>
    <row r="507" spans="1:9" x14ac:dyDescent="0.25">
      <c r="A507" s="54"/>
      <c r="B507" s="27">
        <v>44776</v>
      </c>
      <c r="C507" s="28">
        <v>0.57690972222222225</v>
      </c>
      <c r="D507" s="33" t="s">
        <v>726</v>
      </c>
      <c r="E507" s="33" t="s">
        <v>709</v>
      </c>
      <c r="F507" s="30" t="s">
        <v>1453</v>
      </c>
      <c r="G507" s="29">
        <v>-93.5</v>
      </c>
      <c r="H507" s="22"/>
      <c r="I507" s="22"/>
    </row>
    <row r="508" spans="1:9" x14ac:dyDescent="0.25">
      <c r="A508" s="54"/>
      <c r="B508" s="23">
        <v>44776</v>
      </c>
      <c r="C508" s="24">
        <v>0.61689814814814814</v>
      </c>
      <c r="D508" s="32" t="s">
        <v>726</v>
      </c>
      <c r="E508" s="32" t="s">
        <v>709</v>
      </c>
      <c r="F508" s="26" t="s">
        <v>1400</v>
      </c>
      <c r="G508" s="22">
        <v>-130.5</v>
      </c>
      <c r="H508" s="22"/>
      <c r="I508" s="22"/>
    </row>
    <row r="509" spans="1:9" x14ac:dyDescent="0.25">
      <c r="A509" s="54"/>
      <c r="B509" s="27">
        <v>44776</v>
      </c>
      <c r="C509" s="28">
        <v>0.83616898148148155</v>
      </c>
      <c r="D509" s="33" t="s">
        <v>903</v>
      </c>
      <c r="E509" s="33" t="s">
        <v>709</v>
      </c>
      <c r="F509" s="30" t="s">
        <v>1455</v>
      </c>
      <c r="G509" s="29">
        <v>-44.5</v>
      </c>
      <c r="H509" s="22"/>
      <c r="I509" s="22"/>
    </row>
    <row r="510" spans="1:9" x14ac:dyDescent="0.25">
      <c r="A510" s="54"/>
      <c r="B510" s="23">
        <v>44777</v>
      </c>
      <c r="C510" s="24">
        <v>0.30152777777777778</v>
      </c>
      <c r="D510" s="32" t="s">
        <v>727</v>
      </c>
      <c r="E510" s="32" t="s">
        <v>709</v>
      </c>
      <c r="F510" s="26" t="s">
        <v>1189</v>
      </c>
      <c r="G510" s="22">
        <v>-106.5</v>
      </c>
      <c r="H510" s="22"/>
      <c r="I510" s="22"/>
    </row>
    <row r="511" spans="1:9" x14ac:dyDescent="0.25">
      <c r="A511" s="54"/>
      <c r="B511" s="23">
        <v>44777</v>
      </c>
      <c r="C511" s="24">
        <v>0.38696759259259261</v>
      </c>
      <c r="D511" s="32" t="s">
        <v>726</v>
      </c>
      <c r="E511" s="32" t="s">
        <v>709</v>
      </c>
      <c r="F511" s="26" t="s">
        <v>1191</v>
      </c>
      <c r="G511" s="22">
        <v>-151.5</v>
      </c>
      <c r="H511" s="22"/>
      <c r="I511" s="22"/>
    </row>
    <row r="512" spans="1:9" x14ac:dyDescent="0.25">
      <c r="A512" s="54"/>
      <c r="B512" s="27">
        <v>44777</v>
      </c>
      <c r="C512" s="28">
        <v>0.39739583333333334</v>
      </c>
      <c r="D512" s="33" t="s">
        <v>726</v>
      </c>
      <c r="E512" s="33" t="s">
        <v>709</v>
      </c>
      <c r="F512" s="30" t="s">
        <v>1264</v>
      </c>
      <c r="G512" s="29">
        <v>-160.5</v>
      </c>
      <c r="H512" s="22"/>
      <c r="I512" s="22"/>
    </row>
    <row r="513" spans="1:9" x14ac:dyDescent="0.25">
      <c r="A513" s="54"/>
      <c r="B513" s="23">
        <v>44777</v>
      </c>
      <c r="C513" s="24">
        <v>0.41379629629629627</v>
      </c>
      <c r="D513" s="32" t="s">
        <v>726</v>
      </c>
      <c r="E513" s="32" t="s">
        <v>709</v>
      </c>
      <c r="F513" s="26" t="s">
        <v>1193</v>
      </c>
      <c r="G513" s="22">
        <v>-44.5</v>
      </c>
      <c r="H513" s="22"/>
      <c r="I513" s="22"/>
    </row>
    <row r="514" spans="1:9" x14ac:dyDescent="0.25">
      <c r="A514" s="54"/>
      <c r="B514" s="41">
        <v>44777</v>
      </c>
      <c r="C514" s="42">
        <v>0.54331018518518526</v>
      </c>
      <c r="D514" s="50" t="s">
        <v>726</v>
      </c>
      <c r="E514" s="50" t="s">
        <v>709</v>
      </c>
      <c r="F514" s="44" t="s">
        <v>1195</v>
      </c>
      <c r="G514" s="43">
        <f>-711.5+1</f>
        <v>-710.5</v>
      </c>
      <c r="H514" s="22"/>
      <c r="I514" s="22"/>
    </row>
    <row r="515" spans="1:9" x14ac:dyDescent="0.25">
      <c r="A515" s="54"/>
      <c r="B515" s="57" t="s">
        <v>1278</v>
      </c>
      <c r="C515" s="57"/>
      <c r="D515" s="57"/>
      <c r="E515" s="57"/>
      <c r="F515" s="57"/>
      <c r="G515" s="43"/>
      <c r="H515" s="22"/>
      <c r="I515" s="22"/>
    </row>
    <row r="516" spans="1:9" x14ac:dyDescent="0.25">
      <c r="A516" s="54"/>
      <c r="B516" s="23">
        <v>44777</v>
      </c>
      <c r="C516" s="24">
        <v>0.54607638888888888</v>
      </c>
      <c r="D516" s="32" t="s">
        <v>726</v>
      </c>
      <c r="E516" s="32" t="s">
        <v>709</v>
      </c>
      <c r="F516" s="26" t="s">
        <v>1197</v>
      </c>
      <c r="G516" s="22">
        <v>-53.5</v>
      </c>
      <c r="H516" s="22"/>
      <c r="I516" s="22"/>
    </row>
    <row r="517" spans="1:9" x14ac:dyDescent="0.25">
      <c r="A517" s="54"/>
      <c r="B517" s="23">
        <v>44777</v>
      </c>
      <c r="C517" s="24">
        <v>0.63260416666666663</v>
      </c>
      <c r="D517" s="32" t="s">
        <v>726</v>
      </c>
      <c r="E517" s="32" t="s">
        <v>709</v>
      </c>
      <c r="F517" s="26" t="s">
        <v>1199</v>
      </c>
      <c r="G517" s="22">
        <v>-137.5</v>
      </c>
      <c r="H517" s="22"/>
      <c r="I517" s="22"/>
    </row>
    <row r="518" spans="1:9" x14ac:dyDescent="0.25">
      <c r="A518" s="54"/>
      <c r="B518" s="23">
        <v>44777</v>
      </c>
      <c r="C518" s="24">
        <v>0.63569444444444445</v>
      </c>
      <c r="D518" s="32" t="s">
        <v>726</v>
      </c>
      <c r="E518" s="32" t="s">
        <v>709</v>
      </c>
      <c r="F518" s="26" t="s">
        <v>1201</v>
      </c>
      <c r="G518" s="22">
        <v>-95.5</v>
      </c>
      <c r="H518" s="22"/>
      <c r="I518" s="22"/>
    </row>
    <row r="519" spans="1:9" x14ac:dyDescent="0.25">
      <c r="A519" s="54"/>
      <c r="B519" s="23">
        <v>44777</v>
      </c>
      <c r="C519" s="24">
        <v>0.66092592592592592</v>
      </c>
      <c r="D519" s="32" t="s">
        <v>726</v>
      </c>
      <c r="E519" s="32" t="s">
        <v>709</v>
      </c>
      <c r="F519" s="26" t="s">
        <v>1203</v>
      </c>
      <c r="G519" s="22">
        <v>-167.5</v>
      </c>
      <c r="H519" s="22"/>
      <c r="I519" s="22"/>
    </row>
    <row r="520" spans="1:9" x14ac:dyDescent="0.25">
      <c r="A520" s="54"/>
      <c r="B520" s="23">
        <v>44778</v>
      </c>
      <c r="C520" s="24">
        <v>0.31472222222222224</v>
      </c>
      <c r="D520" s="32" t="s">
        <v>727</v>
      </c>
      <c r="E520" s="32" t="s">
        <v>709</v>
      </c>
      <c r="F520" s="26" t="s">
        <v>3261</v>
      </c>
      <c r="G520" s="22">
        <v>-372.5</v>
      </c>
      <c r="H520" s="22"/>
      <c r="I520" s="22"/>
    </row>
    <row r="521" spans="1:9" x14ac:dyDescent="0.25">
      <c r="A521" s="54"/>
      <c r="B521" s="27">
        <v>44778</v>
      </c>
      <c r="C521" s="28">
        <v>0.35517361111111106</v>
      </c>
      <c r="D521" s="33" t="s">
        <v>726</v>
      </c>
      <c r="E521" s="33" t="s">
        <v>709</v>
      </c>
      <c r="F521" s="30" t="s">
        <v>3504</v>
      </c>
      <c r="G521" s="29">
        <v>-103.5</v>
      </c>
      <c r="H521" s="22"/>
      <c r="I521" s="22"/>
    </row>
    <row r="522" spans="1:9" x14ac:dyDescent="0.25">
      <c r="A522" s="54"/>
      <c r="B522" s="23">
        <v>44778</v>
      </c>
      <c r="C522" s="24">
        <v>0.37175925925925929</v>
      </c>
      <c r="D522" s="32" t="s">
        <v>726</v>
      </c>
      <c r="E522" s="32" t="s">
        <v>709</v>
      </c>
      <c r="F522" s="26" t="s">
        <v>3263</v>
      </c>
      <c r="G522" s="22">
        <v>-177.5</v>
      </c>
      <c r="H522" s="22"/>
      <c r="I522" s="22"/>
    </row>
    <row r="523" spans="1:9" x14ac:dyDescent="0.25">
      <c r="A523" s="54"/>
      <c r="B523" s="23">
        <v>44778</v>
      </c>
      <c r="C523" s="24">
        <v>0.40159722222222222</v>
      </c>
      <c r="D523" s="32" t="s">
        <v>715</v>
      </c>
      <c r="E523" s="32" t="s">
        <v>709</v>
      </c>
      <c r="F523" s="26" t="s">
        <v>3265</v>
      </c>
      <c r="G523" s="22">
        <v>-77.5</v>
      </c>
      <c r="H523" s="22"/>
      <c r="I523" s="22"/>
    </row>
    <row r="524" spans="1:9" x14ac:dyDescent="0.25">
      <c r="A524" s="54"/>
      <c r="B524" s="23">
        <v>44778</v>
      </c>
      <c r="C524" s="24">
        <v>0.4128472222222222</v>
      </c>
      <c r="D524" s="32" t="s">
        <v>715</v>
      </c>
      <c r="E524" s="32" t="s">
        <v>709</v>
      </c>
      <c r="F524" s="26" t="s">
        <v>3267</v>
      </c>
      <c r="G524" s="22">
        <v>-186.5</v>
      </c>
      <c r="H524" s="22"/>
      <c r="I524" s="22"/>
    </row>
    <row r="525" spans="1:9" x14ac:dyDescent="0.25">
      <c r="A525" s="54"/>
      <c r="B525" s="23">
        <v>44778</v>
      </c>
      <c r="C525" s="24">
        <v>0.48546296296296299</v>
      </c>
      <c r="D525" s="32" t="s">
        <v>715</v>
      </c>
      <c r="E525" s="32" t="s">
        <v>709</v>
      </c>
      <c r="F525" s="26" t="s">
        <v>3269</v>
      </c>
      <c r="G525" s="22">
        <v>-336.5</v>
      </c>
      <c r="H525" s="22"/>
      <c r="I525" s="22"/>
    </row>
    <row r="526" spans="1:9" x14ac:dyDescent="0.25">
      <c r="A526" s="54"/>
      <c r="B526" s="23">
        <v>44778</v>
      </c>
      <c r="C526" s="24">
        <v>0.49225694444444446</v>
      </c>
      <c r="D526" s="32" t="s">
        <v>715</v>
      </c>
      <c r="E526" s="32" t="s">
        <v>709</v>
      </c>
      <c r="F526" s="26" t="s">
        <v>3271</v>
      </c>
      <c r="G526" s="22">
        <v>-2062.5</v>
      </c>
      <c r="H526" s="22"/>
      <c r="I526" s="22"/>
    </row>
    <row r="527" spans="1:9" x14ac:dyDescent="0.25">
      <c r="A527" s="54"/>
      <c r="B527" s="23">
        <v>44778</v>
      </c>
      <c r="C527" s="24">
        <v>0.51241898148148146</v>
      </c>
      <c r="D527" s="32" t="s">
        <v>715</v>
      </c>
      <c r="E527" s="32" t="s">
        <v>709</v>
      </c>
      <c r="F527" s="26" t="s">
        <v>3273</v>
      </c>
      <c r="G527" s="22">
        <v>-623.5</v>
      </c>
      <c r="H527" s="22"/>
      <c r="I527" s="22"/>
    </row>
    <row r="528" spans="1:9" x14ac:dyDescent="0.25">
      <c r="A528" s="54"/>
      <c r="B528" s="27">
        <v>44778</v>
      </c>
      <c r="C528" s="28">
        <v>0.53034722222222219</v>
      </c>
      <c r="D528" s="33" t="s">
        <v>903</v>
      </c>
      <c r="E528" s="33" t="s">
        <v>709</v>
      </c>
      <c r="F528" s="30" t="s">
        <v>3506</v>
      </c>
      <c r="G528" s="29">
        <v>-106.5</v>
      </c>
      <c r="H528" s="22"/>
      <c r="I528" s="22"/>
    </row>
    <row r="529" spans="1:9" x14ac:dyDescent="0.25">
      <c r="A529" s="54"/>
      <c r="B529" s="23">
        <v>44778</v>
      </c>
      <c r="C529" s="24">
        <v>0.53866898148148146</v>
      </c>
      <c r="D529" s="32" t="s">
        <v>903</v>
      </c>
      <c r="E529" s="32" t="s">
        <v>709</v>
      </c>
      <c r="F529" s="26" t="s">
        <v>3275</v>
      </c>
      <c r="G529" s="22">
        <v>-101.5</v>
      </c>
      <c r="H529" s="22"/>
      <c r="I529" s="22"/>
    </row>
    <row r="530" spans="1:9" x14ac:dyDescent="0.25">
      <c r="A530" s="54"/>
      <c r="B530" s="23">
        <v>44778</v>
      </c>
      <c r="C530" s="24">
        <v>0.57042824074074072</v>
      </c>
      <c r="D530" s="32" t="s">
        <v>903</v>
      </c>
      <c r="E530" s="32" t="s">
        <v>709</v>
      </c>
      <c r="F530" s="26" t="s">
        <v>3276</v>
      </c>
      <c r="G530" s="22">
        <v>-152.5</v>
      </c>
      <c r="H530" s="22"/>
      <c r="I530" s="22"/>
    </row>
    <row r="531" spans="1:9" x14ac:dyDescent="0.25">
      <c r="A531" s="54"/>
      <c r="B531" s="23">
        <v>44778</v>
      </c>
      <c r="C531" s="24">
        <v>0.58479166666666671</v>
      </c>
      <c r="D531" s="32" t="s">
        <v>903</v>
      </c>
      <c r="E531" s="32" t="s">
        <v>709</v>
      </c>
      <c r="F531" s="26" t="s">
        <v>3278</v>
      </c>
      <c r="G531" s="22">
        <v>-287.5</v>
      </c>
      <c r="H531" s="22"/>
      <c r="I531" s="22"/>
    </row>
    <row r="532" spans="1:9" x14ac:dyDescent="0.25">
      <c r="A532" s="54"/>
      <c r="B532" s="23">
        <v>44779</v>
      </c>
      <c r="C532" s="24">
        <v>0.34865740740740742</v>
      </c>
      <c r="D532" s="32" t="s">
        <v>726</v>
      </c>
      <c r="E532" s="32" t="s">
        <v>709</v>
      </c>
      <c r="F532" s="26" t="s">
        <v>3280</v>
      </c>
      <c r="G532" s="22">
        <v>-495.5</v>
      </c>
      <c r="H532" s="22"/>
      <c r="I532" s="22"/>
    </row>
    <row r="533" spans="1:9" x14ac:dyDescent="0.25">
      <c r="A533" s="54"/>
      <c r="B533" s="23">
        <v>44779</v>
      </c>
      <c r="C533" s="24">
        <v>0.41002314814814816</v>
      </c>
      <c r="D533" s="32" t="s">
        <v>726</v>
      </c>
      <c r="E533" s="32" t="s">
        <v>709</v>
      </c>
      <c r="F533" s="26" t="s">
        <v>3282</v>
      </c>
      <c r="G533" s="22">
        <v>-75.5</v>
      </c>
      <c r="H533" s="22"/>
      <c r="I533" s="22"/>
    </row>
    <row r="534" spans="1:9" x14ac:dyDescent="0.25">
      <c r="A534" s="54"/>
      <c r="B534" s="27">
        <v>44779</v>
      </c>
      <c r="C534" s="28">
        <v>0.47112268518518513</v>
      </c>
      <c r="D534" s="33" t="s">
        <v>726</v>
      </c>
      <c r="E534" s="33" t="s">
        <v>709</v>
      </c>
      <c r="F534" s="30" t="s">
        <v>3508</v>
      </c>
      <c r="G534" s="29">
        <v>-165.5</v>
      </c>
      <c r="H534" s="22"/>
      <c r="I534" s="22"/>
    </row>
    <row r="535" spans="1:9" x14ac:dyDescent="0.25">
      <c r="A535" s="54"/>
      <c r="B535" s="23">
        <v>44779</v>
      </c>
      <c r="C535" s="24">
        <v>0.59716435185185179</v>
      </c>
      <c r="D535" s="32" t="s">
        <v>903</v>
      </c>
      <c r="E535" s="32" t="s">
        <v>709</v>
      </c>
      <c r="F535" s="26" t="s">
        <v>3284</v>
      </c>
      <c r="G535" s="22">
        <v>-58.5</v>
      </c>
      <c r="H535" s="22"/>
      <c r="I535" s="22"/>
    </row>
    <row r="536" spans="1:9" x14ac:dyDescent="0.25">
      <c r="A536" s="54"/>
      <c r="B536" s="56"/>
      <c r="C536" s="56"/>
      <c r="D536" s="56"/>
      <c r="E536" s="56"/>
      <c r="F536" s="56"/>
      <c r="G536" s="31">
        <f>SUM(G493:G535)</f>
        <v>-10066</v>
      </c>
      <c r="H536" s="25">
        <f>42*4.94</f>
        <v>207.48000000000002</v>
      </c>
      <c r="I536" s="31">
        <f>G536+H536</f>
        <v>-9858.52</v>
      </c>
    </row>
    <row r="537" spans="1:9" x14ac:dyDescent="0.25">
      <c r="A537" s="54" t="s">
        <v>833</v>
      </c>
      <c r="B537" s="53" t="s">
        <v>829</v>
      </c>
      <c r="C537" s="55"/>
      <c r="D537" s="55"/>
      <c r="E537" s="55"/>
      <c r="F537" s="55"/>
      <c r="G537" s="25"/>
      <c r="H537" s="22"/>
      <c r="I537" s="22"/>
    </row>
    <row r="538" spans="1:9" x14ac:dyDescent="0.25">
      <c r="A538" s="54"/>
      <c r="B538" s="23">
        <v>44774</v>
      </c>
      <c r="C538" s="24">
        <v>0.35770833333333335</v>
      </c>
      <c r="D538" s="32" t="s">
        <v>728</v>
      </c>
      <c r="E538" s="32" t="s">
        <v>709</v>
      </c>
      <c r="F538" s="26" t="s">
        <v>1580</v>
      </c>
      <c r="G538" s="22">
        <v>-55.5</v>
      </c>
      <c r="H538" s="22"/>
      <c r="I538" s="22"/>
    </row>
    <row r="539" spans="1:9" x14ac:dyDescent="0.25">
      <c r="A539" s="54"/>
      <c r="B539" s="23">
        <v>44774</v>
      </c>
      <c r="C539" s="24">
        <v>0.46875</v>
      </c>
      <c r="D539" s="32" t="s">
        <v>728</v>
      </c>
      <c r="E539" s="32" t="s">
        <v>709</v>
      </c>
      <c r="F539" s="26" t="s">
        <v>1581</v>
      </c>
      <c r="G539" s="22">
        <v>-116.5</v>
      </c>
      <c r="H539" s="22"/>
      <c r="I539" s="22"/>
    </row>
    <row r="540" spans="1:9" x14ac:dyDescent="0.25">
      <c r="A540" s="54"/>
      <c r="B540" s="23">
        <v>44774</v>
      </c>
      <c r="C540" s="24">
        <v>0.50885416666666672</v>
      </c>
      <c r="D540" s="32" t="s">
        <v>728</v>
      </c>
      <c r="E540" s="32" t="s">
        <v>709</v>
      </c>
      <c r="F540" s="26" t="s">
        <v>1582</v>
      </c>
      <c r="G540" s="22">
        <v>-239.5</v>
      </c>
      <c r="H540" s="22"/>
      <c r="I540" s="22"/>
    </row>
    <row r="541" spans="1:9" x14ac:dyDescent="0.25">
      <c r="A541" s="54"/>
      <c r="B541" s="23">
        <v>44774</v>
      </c>
      <c r="C541" s="24">
        <v>0.51026620370370368</v>
      </c>
      <c r="D541" s="32" t="s">
        <v>728</v>
      </c>
      <c r="E541" s="32" t="s">
        <v>709</v>
      </c>
      <c r="F541" s="26" t="s">
        <v>1583</v>
      </c>
      <c r="G541" s="22">
        <v>-44.5</v>
      </c>
      <c r="H541" s="22"/>
      <c r="I541" s="22"/>
    </row>
    <row r="542" spans="1:9" x14ac:dyDescent="0.25">
      <c r="A542" s="54"/>
      <c r="B542" s="37">
        <v>44774</v>
      </c>
      <c r="C542" s="38">
        <v>0.53531249999999997</v>
      </c>
      <c r="D542" s="49" t="s">
        <v>728</v>
      </c>
      <c r="E542" s="49" t="s">
        <v>709</v>
      </c>
      <c r="F542" s="40" t="s">
        <v>1621</v>
      </c>
      <c r="G542" s="39">
        <v>-120.5</v>
      </c>
      <c r="H542" s="22"/>
      <c r="I542" s="22"/>
    </row>
    <row r="543" spans="1:9" x14ac:dyDescent="0.25">
      <c r="A543" s="54"/>
      <c r="B543" s="23">
        <v>44774</v>
      </c>
      <c r="C543" s="24">
        <v>0.61515046296296294</v>
      </c>
      <c r="D543" s="32" t="s">
        <v>728</v>
      </c>
      <c r="E543" s="32" t="s">
        <v>709</v>
      </c>
      <c r="F543" s="26" t="s">
        <v>1584</v>
      </c>
      <c r="G543" s="22">
        <v>-308.5</v>
      </c>
      <c r="H543" s="22"/>
      <c r="I543" s="22"/>
    </row>
    <row r="544" spans="1:9" x14ac:dyDescent="0.25">
      <c r="A544" s="54"/>
      <c r="B544" s="23">
        <v>44774</v>
      </c>
      <c r="C544" s="24">
        <v>0.78513888888888894</v>
      </c>
      <c r="D544" s="32" t="s">
        <v>728</v>
      </c>
      <c r="E544" s="32" t="s">
        <v>709</v>
      </c>
      <c r="F544" s="26" t="s">
        <v>1585</v>
      </c>
      <c r="G544" s="22">
        <v>-51.5</v>
      </c>
      <c r="H544" s="22"/>
      <c r="I544" s="22"/>
    </row>
    <row r="545" spans="1:9" x14ac:dyDescent="0.25">
      <c r="A545" s="54"/>
      <c r="B545" s="23">
        <v>44774</v>
      </c>
      <c r="C545" s="24">
        <v>0.84273148148148147</v>
      </c>
      <c r="D545" s="32" t="s">
        <v>728</v>
      </c>
      <c r="E545" s="32" t="s">
        <v>709</v>
      </c>
      <c r="F545" s="26" t="s">
        <v>1586</v>
      </c>
      <c r="G545" s="22">
        <v>-45.5</v>
      </c>
      <c r="H545" s="22"/>
      <c r="I545" s="22"/>
    </row>
    <row r="546" spans="1:9" x14ac:dyDescent="0.25">
      <c r="A546" s="54"/>
      <c r="B546" s="23">
        <v>44775</v>
      </c>
      <c r="C546" s="24">
        <v>0.41362268518518519</v>
      </c>
      <c r="D546" s="32" t="s">
        <v>728</v>
      </c>
      <c r="E546" s="32" t="s">
        <v>709</v>
      </c>
      <c r="F546" s="26" t="s">
        <v>795</v>
      </c>
      <c r="G546" s="22">
        <v>-44.5</v>
      </c>
      <c r="H546" s="22"/>
      <c r="I546" s="22"/>
    </row>
    <row r="547" spans="1:9" x14ac:dyDescent="0.25">
      <c r="A547" s="54"/>
      <c r="B547" s="23">
        <v>44775</v>
      </c>
      <c r="C547" s="24">
        <v>0.44527777777777783</v>
      </c>
      <c r="D547" s="32" t="s">
        <v>728</v>
      </c>
      <c r="E547" s="32" t="s">
        <v>709</v>
      </c>
      <c r="F547" s="26" t="s">
        <v>797</v>
      </c>
      <c r="G547" s="22">
        <v>-74.5</v>
      </c>
      <c r="H547" s="22"/>
      <c r="I547" s="22"/>
    </row>
    <row r="548" spans="1:9" x14ac:dyDescent="0.25">
      <c r="A548" s="54"/>
      <c r="B548" s="23">
        <v>44775</v>
      </c>
      <c r="C548" s="24">
        <v>0.55356481481481479</v>
      </c>
      <c r="D548" s="32" t="s">
        <v>728</v>
      </c>
      <c r="E548" s="32" t="s">
        <v>709</v>
      </c>
      <c r="F548" s="26" t="s">
        <v>799</v>
      </c>
      <c r="G548" s="22">
        <v>-212.5</v>
      </c>
      <c r="H548" s="22"/>
      <c r="I548" s="22"/>
    </row>
    <row r="549" spans="1:9" x14ac:dyDescent="0.25">
      <c r="A549" s="54"/>
      <c r="B549" s="23">
        <v>44775</v>
      </c>
      <c r="C549" s="24">
        <v>0.7007175925925927</v>
      </c>
      <c r="D549" s="32" t="s">
        <v>729</v>
      </c>
      <c r="E549" s="32" t="s">
        <v>709</v>
      </c>
      <c r="F549" s="26" t="s">
        <v>801</v>
      </c>
      <c r="G549" s="22">
        <v>-404.5</v>
      </c>
      <c r="H549" s="22"/>
      <c r="I549" s="22"/>
    </row>
    <row r="550" spans="1:9" x14ac:dyDescent="0.25">
      <c r="A550" s="54"/>
      <c r="B550" s="23">
        <v>44775</v>
      </c>
      <c r="C550" s="24">
        <v>0.7117592592592592</v>
      </c>
      <c r="D550" s="32" t="s">
        <v>729</v>
      </c>
      <c r="E550" s="32" t="s">
        <v>709</v>
      </c>
      <c r="F550" s="26" t="s">
        <v>803</v>
      </c>
      <c r="G550" s="22">
        <v>-44.5</v>
      </c>
      <c r="H550" s="22"/>
      <c r="I550" s="22"/>
    </row>
    <row r="551" spans="1:9" x14ac:dyDescent="0.25">
      <c r="A551" s="54"/>
      <c r="B551" s="23">
        <v>44776</v>
      </c>
      <c r="C551" s="24">
        <v>0.25349537037037034</v>
      </c>
      <c r="D551" s="32" t="s">
        <v>728</v>
      </c>
      <c r="E551" s="32" t="s">
        <v>709</v>
      </c>
      <c r="F551" s="26" t="s">
        <v>1402</v>
      </c>
      <c r="G551" s="22">
        <v>-94.5</v>
      </c>
      <c r="H551" s="22"/>
      <c r="I551" s="22"/>
    </row>
    <row r="552" spans="1:9" x14ac:dyDescent="0.25">
      <c r="A552" s="54"/>
      <c r="B552" s="23">
        <v>44776</v>
      </c>
      <c r="C552" s="24">
        <v>0.38557870370370373</v>
      </c>
      <c r="D552" s="32" t="s">
        <v>715</v>
      </c>
      <c r="E552" s="32" t="s">
        <v>709</v>
      </c>
      <c r="F552" s="26" t="s">
        <v>1404</v>
      </c>
      <c r="G552" s="22">
        <v>-88.5</v>
      </c>
      <c r="H552" s="22"/>
      <c r="I552" s="22"/>
    </row>
    <row r="553" spans="1:9" x14ac:dyDescent="0.25">
      <c r="A553" s="54"/>
      <c r="B553" s="23">
        <v>44776</v>
      </c>
      <c r="C553" s="24">
        <v>0.40064814814814814</v>
      </c>
      <c r="D553" s="32" t="s">
        <v>715</v>
      </c>
      <c r="E553" s="32" t="s">
        <v>709</v>
      </c>
      <c r="F553" s="26" t="s">
        <v>1406</v>
      </c>
      <c r="G553" s="22">
        <v>-143.5</v>
      </c>
      <c r="H553" s="22"/>
      <c r="I553" s="22"/>
    </row>
    <row r="554" spans="1:9" x14ac:dyDescent="0.25">
      <c r="A554" s="54"/>
      <c r="B554" s="23">
        <v>44776</v>
      </c>
      <c r="C554" s="24">
        <v>0.4288541666666667</v>
      </c>
      <c r="D554" s="32" t="s">
        <v>728</v>
      </c>
      <c r="E554" s="32" t="s">
        <v>709</v>
      </c>
      <c r="F554" s="26" t="s">
        <v>1408</v>
      </c>
      <c r="G554" s="22">
        <v>-153.5</v>
      </c>
      <c r="H554" s="22"/>
      <c r="I554" s="22"/>
    </row>
    <row r="555" spans="1:9" x14ac:dyDescent="0.25">
      <c r="A555" s="54"/>
      <c r="B555" s="23">
        <v>44776</v>
      </c>
      <c r="C555" s="24">
        <v>0.56589120370370372</v>
      </c>
      <c r="D555" s="32" t="s">
        <v>728</v>
      </c>
      <c r="E555" s="32" t="s">
        <v>709</v>
      </c>
      <c r="F555" s="26" t="s">
        <v>1410</v>
      </c>
      <c r="G555" s="22">
        <v>-86.5</v>
      </c>
      <c r="H555" s="22"/>
      <c r="I555" s="22"/>
    </row>
    <row r="556" spans="1:9" x14ac:dyDescent="0.25">
      <c r="A556" s="54"/>
      <c r="B556" s="23">
        <v>44776</v>
      </c>
      <c r="C556" s="24">
        <v>0.59048611111111116</v>
      </c>
      <c r="D556" s="32" t="s">
        <v>728</v>
      </c>
      <c r="E556" s="32" t="s">
        <v>709</v>
      </c>
      <c r="F556" s="26" t="s">
        <v>1412</v>
      </c>
      <c r="G556" s="22">
        <v>-144.5</v>
      </c>
      <c r="H556" s="22"/>
      <c r="I556" s="22"/>
    </row>
    <row r="557" spans="1:9" x14ac:dyDescent="0.25">
      <c r="A557" s="54"/>
      <c r="B557" s="23">
        <v>44776</v>
      </c>
      <c r="C557" s="24">
        <v>0.59902777777777783</v>
      </c>
      <c r="D557" s="32" t="s">
        <v>729</v>
      </c>
      <c r="E557" s="32" t="s">
        <v>709</v>
      </c>
      <c r="F557" s="26" t="s">
        <v>1414</v>
      </c>
      <c r="G557" s="22">
        <v>-44.5</v>
      </c>
      <c r="H557" s="22"/>
      <c r="I557" s="22"/>
    </row>
    <row r="558" spans="1:9" x14ac:dyDescent="0.25">
      <c r="A558" s="54"/>
      <c r="B558" s="23">
        <v>44776</v>
      </c>
      <c r="C558" s="24">
        <v>0.60108796296296296</v>
      </c>
      <c r="D558" s="32" t="s">
        <v>729</v>
      </c>
      <c r="E558" s="32" t="s">
        <v>709</v>
      </c>
      <c r="F558" s="26" t="s">
        <v>1415</v>
      </c>
      <c r="G558" s="22">
        <v>-299.5</v>
      </c>
      <c r="H558" s="22"/>
      <c r="I558" s="22"/>
    </row>
    <row r="559" spans="1:9" x14ac:dyDescent="0.25">
      <c r="A559" s="54"/>
      <c r="B559" s="23">
        <v>44776</v>
      </c>
      <c r="C559" s="24">
        <v>0.65587962962962965</v>
      </c>
      <c r="D559" s="32" t="s">
        <v>729</v>
      </c>
      <c r="E559" s="32" t="s">
        <v>709</v>
      </c>
      <c r="F559" s="26" t="s">
        <v>1416</v>
      </c>
      <c r="G559" s="22">
        <v>-143.5</v>
      </c>
      <c r="H559" s="22"/>
      <c r="I559" s="22"/>
    </row>
    <row r="560" spans="1:9" x14ac:dyDescent="0.25">
      <c r="A560" s="54"/>
      <c r="B560" s="23">
        <v>44777</v>
      </c>
      <c r="C560" s="24">
        <v>0.35342592592592598</v>
      </c>
      <c r="D560" s="32" t="s">
        <v>728</v>
      </c>
      <c r="E560" s="32" t="s">
        <v>709</v>
      </c>
      <c r="F560" s="26" t="s">
        <v>1205</v>
      </c>
      <c r="G560" s="22">
        <v>-44.5</v>
      </c>
      <c r="H560" s="22"/>
      <c r="I560" s="22"/>
    </row>
    <row r="561" spans="1:9" x14ac:dyDescent="0.25">
      <c r="A561" s="54"/>
      <c r="B561" s="23">
        <v>44777</v>
      </c>
      <c r="C561" s="24">
        <v>0.48708333333333331</v>
      </c>
      <c r="D561" s="32" t="s">
        <v>728</v>
      </c>
      <c r="E561" s="32" t="s">
        <v>709</v>
      </c>
      <c r="F561" s="26" t="s">
        <v>1207</v>
      </c>
      <c r="G561" s="22">
        <v>-179.5</v>
      </c>
      <c r="H561" s="22"/>
      <c r="I561" s="22"/>
    </row>
    <row r="562" spans="1:9" x14ac:dyDescent="0.25">
      <c r="A562" s="54"/>
      <c r="B562" s="23">
        <v>44777</v>
      </c>
      <c r="C562" s="24">
        <v>0.56686342592592587</v>
      </c>
      <c r="D562" s="32" t="s">
        <v>728</v>
      </c>
      <c r="E562" s="32" t="s">
        <v>709</v>
      </c>
      <c r="F562" s="26" t="s">
        <v>1208</v>
      </c>
      <c r="G562" s="22">
        <v>-68.5</v>
      </c>
      <c r="H562" s="22"/>
      <c r="I562" s="22"/>
    </row>
    <row r="563" spans="1:9" x14ac:dyDescent="0.25">
      <c r="A563" s="54"/>
      <c r="B563" s="23">
        <v>44777</v>
      </c>
      <c r="C563" s="24">
        <v>0.71709490740740733</v>
      </c>
      <c r="D563" s="32" t="s">
        <v>729</v>
      </c>
      <c r="E563" s="32" t="s">
        <v>709</v>
      </c>
      <c r="F563" s="26" t="s">
        <v>1210</v>
      </c>
      <c r="G563" s="22">
        <v>-150.5</v>
      </c>
      <c r="H563" s="22"/>
      <c r="I563" s="22"/>
    </row>
    <row r="564" spans="1:9" x14ac:dyDescent="0.25">
      <c r="A564" s="54"/>
      <c r="B564" s="23">
        <v>44777</v>
      </c>
      <c r="C564" s="24">
        <v>0.86640046296296302</v>
      </c>
      <c r="D564" s="32" t="s">
        <v>729</v>
      </c>
      <c r="E564" s="32" t="s">
        <v>709</v>
      </c>
      <c r="F564" s="26" t="s">
        <v>1212</v>
      </c>
      <c r="G564" s="22">
        <v>-356.5</v>
      </c>
      <c r="H564" s="22"/>
      <c r="I564" s="22"/>
    </row>
    <row r="565" spans="1:9" x14ac:dyDescent="0.25">
      <c r="A565" s="54"/>
      <c r="B565" s="23">
        <v>44778</v>
      </c>
      <c r="C565" s="24">
        <v>0.33167824074074076</v>
      </c>
      <c r="D565" s="32" t="s">
        <v>729</v>
      </c>
      <c r="E565" s="32" t="s">
        <v>709</v>
      </c>
      <c r="F565" s="26" t="s">
        <v>3286</v>
      </c>
      <c r="G565" s="22">
        <v>-126.5</v>
      </c>
      <c r="H565" s="22"/>
      <c r="I565" s="22"/>
    </row>
    <row r="566" spans="1:9" x14ac:dyDescent="0.25">
      <c r="A566" s="54"/>
      <c r="B566" s="23">
        <v>44778</v>
      </c>
      <c r="C566" s="24">
        <v>0.35428240740740741</v>
      </c>
      <c r="D566" s="32" t="s">
        <v>729</v>
      </c>
      <c r="E566" s="32" t="s">
        <v>709</v>
      </c>
      <c r="F566" s="26" t="s">
        <v>3288</v>
      </c>
      <c r="G566" s="22">
        <v>-527.5</v>
      </c>
      <c r="H566" s="22"/>
      <c r="I566" s="22"/>
    </row>
    <row r="567" spans="1:9" x14ac:dyDescent="0.25">
      <c r="A567" s="54"/>
      <c r="B567" s="23">
        <v>44778</v>
      </c>
      <c r="C567" s="24">
        <v>0.35758101851851848</v>
      </c>
      <c r="D567" s="32" t="s">
        <v>729</v>
      </c>
      <c r="E567" s="32" t="s">
        <v>709</v>
      </c>
      <c r="F567" s="26" t="s">
        <v>3290</v>
      </c>
      <c r="G567" s="22">
        <v>-142.5</v>
      </c>
      <c r="H567" s="22"/>
      <c r="I567" s="22"/>
    </row>
    <row r="568" spans="1:9" x14ac:dyDescent="0.25">
      <c r="A568" s="54"/>
      <c r="B568" s="23">
        <v>44778</v>
      </c>
      <c r="C568" s="24">
        <v>0.36047453703703702</v>
      </c>
      <c r="D568" s="32" t="s">
        <v>729</v>
      </c>
      <c r="E568" s="32" t="s">
        <v>709</v>
      </c>
      <c r="F568" s="26" t="s">
        <v>3292</v>
      </c>
      <c r="G568" s="22">
        <v>-159.5</v>
      </c>
      <c r="H568" s="22"/>
      <c r="I568" s="22"/>
    </row>
    <row r="569" spans="1:9" x14ac:dyDescent="0.25">
      <c r="A569" s="54"/>
      <c r="B569" s="23">
        <v>44778</v>
      </c>
      <c r="C569" s="24">
        <v>0.39929398148148149</v>
      </c>
      <c r="D569" s="32" t="s">
        <v>729</v>
      </c>
      <c r="E569" s="32" t="s">
        <v>709</v>
      </c>
      <c r="F569" s="26" t="s">
        <v>3294</v>
      </c>
      <c r="G569" s="22">
        <v>-119.5</v>
      </c>
      <c r="H569" s="22"/>
      <c r="I569" s="22"/>
    </row>
    <row r="570" spans="1:9" x14ac:dyDescent="0.25">
      <c r="A570" s="54"/>
      <c r="B570" s="23">
        <v>44778</v>
      </c>
      <c r="C570" s="24">
        <v>0.40589120370370368</v>
      </c>
      <c r="D570" s="32" t="s">
        <v>729</v>
      </c>
      <c r="E570" s="32" t="s">
        <v>709</v>
      </c>
      <c r="F570" s="26" t="s">
        <v>3296</v>
      </c>
      <c r="G570" s="22">
        <v>-123.5</v>
      </c>
      <c r="H570" s="22"/>
      <c r="I570" s="22"/>
    </row>
    <row r="571" spans="1:9" x14ac:dyDescent="0.25">
      <c r="A571" s="54"/>
      <c r="B571" s="23">
        <v>44778</v>
      </c>
      <c r="C571" s="24">
        <v>0.41574074074074074</v>
      </c>
      <c r="D571" s="32" t="s">
        <v>729</v>
      </c>
      <c r="E571" s="32" t="s">
        <v>709</v>
      </c>
      <c r="F571" s="26" t="s">
        <v>3298</v>
      </c>
      <c r="G571" s="22">
        <v>-1199.5</v>
      </c>
      <c r="H571" s="22"/>
      <c r="I571" s="22"/>
    </row>
    <row r="572" spans="1:9" x14ac:dyDescent="0.25">
      <c r="A572" s="54"/>
      <c r="B572" s="23">
        <v>44778</v>
      </c>
      <c r="C572" s="24">
        <v>0.41994212962962968</v>
      </c>
      <c r="D572" s="32" t="s">
        <v>729</v>
      </c>
      <c r="E572" s="32" t="s">
        <v>709</v>
      </c>
      <c r="F572" s="26" t="s">
        <v>3300</v>
      </c>
      <c r="G572" s="22">
        <v>-290.5</v>
      </c>
      <c r="H572" s="22"/>
      <c r="I572" s="22"/>
    </row>
    <row r="573" spans="1:9" x14ac:dyDescent="0.25">
      <c r="A573" s="54"/>
      <c r="B573" s="23">
        <v>44778</v>
      </c>
      <c r="C573" s="24">
        <v>0.45041666666666669</v>
      </c>
      <c r="D573" s="32" t="s">
        <v>729</v>
      </c>
      <c r="E573" s="32" t="s">
        <v>709</v>
      </c>
      <c r="F573" s="26" t="s">
        <v>3302</v>
      </c>
      <c r="G573" s="22">
        <v>-104.5</v>
      </c>
      <c r="H573" s="22"/>
      <c r="I573" s="22"/>
    </row>
    <row r="574" spans="1:9" x14ac:dyDescent="0.25">
      <c r="A574" s="54"/>
      <c r="B574" s="23">
        <v>44778</v>
      </c>
      <c r="C574" s="24">
        <v>0.45526620370370369</v>
      </c>
      <c r="D574" s="32" t="s">
        <v>729</v>
      </c>
      <c r="E574" s="32" t="s">
        <v>709</v>
      </c>
      <c r="F574" s="26" t="s">
        <v>3304</v>
      </c>
      <c r="G574" s="22">
        <v>-94.5</v>
      </c>
      <c r="H574" s="22"/>
      <c r="I574" s="22"/>
    </row>
    <row r="575" spans="1:9" x14ac:dyDescent="0.25">
      <c r="A575" s="54"/>
      <c r="B575" s="23">
        <v>44778</v>
      </c>
      <c r="C575" s="24">
        <v>0.46422453703703703</v>
      </c>
      <c r="D575" s="32" t="s">
        <v>729</v>
      </c>
      <c r="E575" s="32" t="s">
        <v>709</v>
      </c>
      <c r="F575" s="26" t="s">
        <v>3306</v>
      </c>
      <c r="G575" s="22">
        <v>-87.5</v>
      </c>
      <c r="H575" s="22"/>
      <c r="I575" s="22"/>
    </row>
    <row r="576" spans="1:9" x14ac:dyDescent="0.25">
      <c r="A576" s="54"/>
      <c r="B576" s="23">
        <v>44778</v>
      </c>
      <c r="C576" s="24">
        <v>0.48896990740740742</v>
      </c>
      <c r="D576" s="32" t="s">
        <v>729</v>
      </c>
      <c r="E576" s="32" t="s">
        <v>709</v>
      </c>
      <c r="F576" s="26" t="s">
        <v>3308</v>
      </c>
      <c r="G576" s="22">
        <v>-1016.5</v>
      </c>
      <c r="H576" s="22"/>
      <c r="I576" s="22"/>
    </row>
    <row r="577" spans="1:9" x14ac:dyDescent="0.25">
      <c r="A577" s="54"/>
      <c r="B577" s="23">
        <v>44778</v>
      </c>
      <c r="C577" s="24">
        <v>0.54400462962962959</v>
      </c>
      <c r="D577" s="32" t="s">
        <v>729</v>
      </c>
      <c r="E577" s="32" t="s">
        <v>709</v>
      </c>
      <c r="F577" s="26" t="s">
        <v>3310</v>
      </c>
      <c r="G577" s="22">
        <v>-74.5</v>
      </c>
      <c r="H577" s="22"/>
      <c r="I577" s="22"/>
    </row>
    <row r="578" spans="1:9" x14ac:dyDescent="0.25">
      <c r="A578" s="54"/>
      <c r="B578" s="23">
        <v>44778</v>
      </c>
      <c r="C578" s="24">
        <v>0.5839699074074074</v>
      </c>
      <c r="D578" s="32" t="s">
        <v>729</v>
      </c>
      <c r="E578" s="32" t="s">
        <v>709</v>
      </c>
      <c r="F578" s="26" t="s">
        <v>3312</v>
      </c>
      <c r="G578" s="22">
        <v>-52.5</v>
      </c>
      <c r="H578" s="22"/>
      <c r="I578" s="22"/>
    </row>
    <row r="579" spans="1:9" x14ac:dyDescent="0.25">
      <c r="A579" s="54"/>
      <c r="B579" s="23">
        <v>44778</v>
      </c>
      <c r="C579" s="24">
        <v>0.77561342592592597</v>
      </c>
      <c r="D579" s="32" t="s">
        <v>728</v>
      </c>
      <c r="E579" s="32" t="s">
        <v>709</v>
      </c>
      <c r="F579" s="26" t="s">
        <v>3314</v>
      </c>
      <c r="G579" s="22">
        <v>-115.5</v>
      </c>
      <c r="H579" s="22"/>
      <c r="I579" s="22"/>
    </row>
    <row r="580" spans="1:9" x14ac:dyDescent="0.25">
      <c r="A580" s="54"/>
      <c r="B580" s="23">
        <v>44778</v>
      </c>
      <c r="C580" s="24">
        <v>0.77771990740740737</v>
      </c>
      <c r="D580" s="32" t="s">
        <v>728</v>
      </c>
      <c r="E580" s="32" t="s">
        <v>709</v>
      </c>
      <c r="F580" s="26" t="s">
        <v>3316</v>
      </c>
      <c r="G580" s="22">
        <v>-622.5</v>
      </c>
      <c r="H580" s="22"/>
      <c r="I580" s="22"/>
    </row>
    <row r="581" spans="1:9" x14ac:dyDescent="0.25">
      <c r="A581" s="54"/>
      <c r="B581" s="23">
        <v>44778</v>
      </c>
      <c r="C581" s="24">
        <v>0.78380787037037036</v>
      </c>
      <c r="D581" s="32" t="s">
        <v>728</v>
      </c>
      <c r="E581" s="32" t="s">
        <v>709</v>
      </c>
      <c r="F581" s="26" t="s">
        <v>3318</v>
      </c>
      <c r="G581" s="22">
        <v>-73.5</v>
      </c>
      <c r="H581" s="22"/>
      <c r="I581" s="22"/>
    </row>
    <row r="582" spans="1:9" x14ac:dyDescent="0.25">
      <c r="A582" s="54"/>
      <c r="B582" s="23">
        <v>44779</v>
      </c>
      <c r="C582" s="24">
        <v>0.52422453703703698</v>
      </c>
      <c r="D582" s="32" t="s">
        <v>728</v>
      </c>
      <c r="E582" s="32" t="s">
        <v>709</v>
      </c>
      <c r="F582" s="26" t="s">
        <v>3320</v>
      </c>
      <c r="G582" s="22">
        <v>-51.5</v>
      </c>
      <c r="H582" s="22"/>
      <c r="I582" s="22"/>
    </row>
    <row r="583" spans="1:9" x14ac:dyDescent="0.25">
      <c r="A583" s="54"/>
      <c r="B583" s="56"/>
      <c r="C583" s="56"/>
      <c r="D583" s="56"/>
      <c r="E583" s="56"/>
      <c r="F583" s="56"/>
      <c r="G583" s="31">
        <f>SUM(G538:G582)</f>
        <v>-8742.5</v>
      </c>
      <c r="H583" s="25">
        <f>45*4.94</f>
        <v>222.3</v>
      </c>
      <c r="I583" s="31">
        <f>G583+H583</f>
        <v>-8520.2000000000007</v>
      </c>
    </row>
    <row r="584" spans="1:9" x14ac:dyDescent="0.25">
      <c r="A584" s="54" t="s">
        <v>833</v>
      </c>
      <c r="B584" s="53" t="s">
        <v>830</v>
      </c>
      <c r="C584" s="55"/>
      <c r="D584" s="55"/>
      <c r="E584" s="55"/>
      <c r="F584" s="55"/>
      <c r="G584" s="25"/>
      <c r="H584" s="22"/>
      <c r="I584" s="22"/>
    </row>
    <row r="585" spans="1:9" x14ac:dyDescent="0.25">
      <c r="A585" s="54"/>
      <c r="B585" s="37">
        <v>44774</v>
      </c>
      <c r="C585" s="38">
        <v>0.53681712962962969</v>
      </c>
      <c r="D585" s="49" t="s">
        <v>730</v>
      </c>
      <c r="E585" s="49" t="s">
        <v>709</v>
      </c>
      <c r="F585" s="40" t="s">
        <v>1622</v>
      </c>
      <c r="G585" s="39">
        <v>-0.5</v>
      </c>
      <c r="H585" s="22"/>
      <c r="I585" s="22"/>
    </row>
    <row r="586" spans="1:9" x14ac:dyDescent="0.25">
      <c r="A586" s="54"/>
      <c r="B586" s="23">
        <v>44774</v>
      </c>
      <c r="C586" s="24">
        <v>0.62105324074074075</v>
      </c>
      <c r="D586" s="32" t="s">
        <v>730</v>
      </c>
      <c r="E586" s="32" t="s">
        <v>709</v>
      </c>
      <c r="F586" s="26" t="s">
        <v>1587</v>
      </c>
      <c r="G586" s="22">
        <v>-111.5</v>
      </c>
      <c r="H586" s="22"/>
      <c r="I586" s="22"/>
    </row>
    <row r="587" spans="1:9" x14ac:dyDescent="0.25">
      <c r="A587" s="54"/>
      <c r="B587" s="23">
        <v>44774</v>
      </c>
      <c r="C587" s="24">
        <v>0.67182870370370373</v>
      </c>
      <c r="D587" s="32" t="s">
        <v>730</v>
      </c>
      <c r="E587" s="32" t="s">
        <v>709</v>
      </c>
      <c r="F587" s="26" t="s">
        <v>1589</v>
      </c>
      <c r="G587" s="22">
        <v>-152.5</v>
      </c>
      <c r="H587" s="22"/>
      <c r="I587" s="22"/>
    </row>
    <row r="588" spans="1:9" x14ac:dyDescent="0.25">
      <c r="A588" s="54"/>
      <c r="B588" s="23">
        <v>44774</v>
      </c>
      <c r="C588" s="24">
        <v>0.88215277777777779</v>
      </c>
      <c r="D588" s="32" t="s">
        <v>904</v>
      </c>
      <c r="E588" s="32" t="s">
        <v>709</v>
      </c>
      <c r="F588" s="26" t="s">
        <v>1591</v>
      </c>
      <c r="G588" s="22">
        <v>-57.5</v>
      </c>
      <c r="H588" s="22"/>
      <c r="I588" s="22"/>
    </row>
    <row r="589" spans="1:9" x14ac:dyDescent="0.25">
      <c r="A589" s="54"/>
      <c r="B589" s="23">
        <v>44775</v>
      </c>
      <c r="C589" s="24">
        <v>0.45315972222222217</v>
      </c>
      <c r="D589" s="32" t="s">
        <v>730</v>
      </c>
      <c r="E589" s="32" t="s">
        <v>709</v>
      </c>
      <c r="F589" s="26" t="s">
        <v>805</v>
      </c>
      <c r="G589" s="22">
        <v>-299.5</v>
      </c>
      <c r="H589" s="22"/>
      <c r="I589" s="22"/>
    </row>
    <row r="590" spans="1:9" x14ac:dyDescent="0.25">
      <c r="A590" s="54"/>
      <c r="B590" s="23">
        <v>44775</v>
      </c>
      <c r="C590" s="24">
        <v>0.45454861111111106</v>
      </c>
      <c r="D590" s="32" t="s">
        <v>730</v>
      </c>
      <c r="E590" s="32" t="s">
        <v>709</v>
      </c>
      <c r="F590" s="26" t="s">
        <v>807</v>
      </c>
      <c r="G590" s="22">
        <v>-135.5</v>
      </c>
      <c r="H590" s="22"/>
      <c r="I590" s="22"/>
    </row>
    <row r="591" spans="1:9" x14ac:dyDescent="0.25">
      <c r="A591" s="54"/>
      <c r="B591" s="23">
        <v>44776</v>
      </c>
      <c r="C591" s="24">
        <v>0.62361111111111112</v>
      </c>
      <c r="D591" s="32" t="s">
        <v>904</v>
      </c>
      <c r="E591" s="32" t="s">
        <v>709</v>
      </c>
      <c r="F591" s="26" t="s">
        <v>1417</v>
      </c>
      <c r="G591" s="22">
        <v>-45.5</v>
      </c>
      <c r="H591" s="22"/>
      <c r="I591" s="22"/>
    </row>
    <row r="592" spans="1:9" x14ac:dyDescent="0.25">
      <c r="A592" s="54"/>
      <c r="B592" s="23">
        <v>44776</v>
      </c>
      <c r="C592" s="24">
        <v>0.81033564814814818</v>
      </c>
      <c r="D592" s="32" t="s">
        <v>722</v>
      </c>
      <c r="E592" s="32" t="s">
        <v>709</v>
      </c>
      <c r="F592" s="26" t="s">
        <v>1419</v>
      </c>
      <c r="G592" s="22">
        <v>-142.5</v>
      </c>
      <c r="H592" s="22"/>
      <c r="I592" s="22"/>
    </row>
    <row r="593" spans="1:9" x14ac:dyDescent="0.25">
      <c r="A593" s="54"/>
      <c r="B593" s="27">
        <v>44776</v>
      </c>
      <c r="C593" s="28">
        <v>0.88336805555555553</v>
      </c>
      <c r="D593" s="33" t="s">
        <v>722</v>
      </c>
      <c r="E593" s="33" t="s">
        <v>709</v>
      </c>
      <c r="F593" s="30" t="s">
        <v>1457</v>
      </c>
      <c r="G593" s="29">
        <v>-100.5</v>
      </c>
      <c r="H593" s="22"/>
      <c r="I593" s="22"/>
    </row>
    <row r="594" spans="1:9" x14ac:dyDescent="0.25">
      <c r="A594" s="54"/>
      <c r="B594" s="23">
        <v>44777</v>
      </c>
      <c r="C594" s="24">
        <v>0.7935416666666667</v>
      </c>
      <c r="D594" s="32" t="s">
        <v>904</v>
      </c>
      <c r="E594" s="32" t="s">
        <v>709</v>
      </c>
      <c r="F594" s="26" t="s">
        <v>1214</v>
      </c>
      <c r="G594" s="22">
        <v>-82.5</v>
      </c>
      <c r="H594" s="22"/>
      <c r="I594" s="22"/>
    </row>
    <row r="595" spans="1:9" x14ac:dyDescent="0.25">
      <c r="A595" s="54"/>
      <c r="B595" s="23">
        <v>44778</v>
      </c>
      <c r="C595" s="24">
        <v>0.29129629629629633</v>
      </c>
      <c r="D595" s="32" t="s">
        <v>730</v>
      </c>
      <c r="E595" s="32" t="s">
        <v>709</v>
      </c>
      <c r="F595" s="26" t="s">
        <v>3322</v>
      </c>
      <c r="G595" s="22">
        <v>-131.5</v>
      </c>
      <c r="H595" s="22"/>
      <c r="I595" s="22"/>
    </row>
    <row r="596" spans="1:9" x14ac:dyDescent="0.25">
      <c r="A596" s="54"/>
      <c r="B596" s="23">
        <v>44778</v>
      </c>
      <c r="C596" s="24">
        <v>0.32393518518518521</v>
      </c>
      <c r="D596" s="32" t="s">
        <v>730</v>
      </c>
      <c r="E596" s="32" t="s">
        <v>709</v>
      </c>
      <c r="F596" s="26" t="s">
        <v>3324</v>
      </c>
      <c r="G596" s="22">
        <v>-156.5</v>
      </c>
      <c r="H596" s="22"/>
      <c r="I596" s="22"/>
    </row>
    <row r="597" spans="1:9" x14ac:dyDescent="0.25">
      <c r="A597" s="54"/>
      <c r="B597" s="23">
        <v>44778</v>
      </c>
      <c r="C597" s="24">
        <v>0.34084490740740742</v>
      </c>
      <c r="D597" s="32" t="s">
        <v>730</v>
      </c>
      <c r="E597" s="32" t="s">
        <v>709</v>
      </c>
      <c r="F597" s="26" t="s">
        <v>3325</v>
      </c>
      <c r="G597" s="22">
        <v>-311.5</v>
      </c>
      <c r="H597" s="22"/>
      <c r="I597" s="22"/>
    </row>
    <row r="598" spans="1:9" x14ac:dyDescent="0.25">
      <c r="A598" s="54"/>
      <c r="B598" s="23">
        <v>44778</v>
      </c>
      <c r="C598" s="24">
        <v>0.34787037037037033</v>
      </c>
      <c r="D598" s="32" t="s">
        <v>730</v>
      </c>
      <c r="E598" s="32" t="s">
        <v>709</v>
      </c>
      <c r="F598" s="26" t="s">
        <v>3327</v>
      </c>
      <c r="G598" s="22">
        <v>-2433.5</v>
      </c>
      <c r="H598" s="22"/>
      <c r="I598" s="22"/>
    </row>
    <row r="599" spans="1:9" x14ac:dyDescent="0.25">
      <c r="A599" s="54"/>
      <c r="B599" s="23">
        <v>44778</v>
      </c>
      <c r="C599" s="24">
        <v>0.36774305555555559</v>
      </c>
      <c r="D599" s="32" t="s">
        <v>730</v>
      </c>
      <c r="E599" s="32" t="s">
        <v>709</v>
      </c>
      <c r="F599" s="26" t="s">
        <v>3329</v>
      </c>
      <c r="G599" s="22">
        <v>-55.5</v>
      </c>
      <c r="H599" s="22"/>
      <c r="I599" s="22"/>
    </row>
    <row r="600" spans="1:9" x14ac:dyDescent="0.25">
      <c r="A600" s="54"/>
      <c r="B600" s="23">
        <v>44778</v>
      </c>
      <c r="C600" s="24">
        <v>0.38695601851851852</v>
      </c>
      <c r="D600" s="32" t="s">
        <v>730</v>
      </c>
      <c r="E600" s="32" t="s">
        <v>709</v>
      </c>
      <c r="F600" s="26" t="s">
        <v>3331</v>
      </c>
      <c r="G600" s="22">
        <v>-270.5</v>
      </c>
      <c r="H600" s="22"/>
      <c r="I600" s="22"/>
    </row>
    <row r="601" spans="1:9" x14ac:dyDescent="0.25">
      <c r="A601" s="54"/>
      <c r="B601" s="23">
        <v>44778</v>
      </c>
      <c r="C601" s="24">
        <v>0.39094907407407403</v>
      </c>
      <c r="D601" s="32" t="s">
        <v>730</v>
      </c>
      <c r="E601" s="32" t="s">
        <v>709</v>
      </c>
      <c r="F601" s="26" t="s">
        <v>3333</v>
      </c>
      <c r="G601" s="22">
        <v>-232.5</v>
      </c>
      <c r="H601" s="22"/>
      <c r="I601" s="22"/>
    </row>
    <row r="602" spans="1:9" x14ac:dyDescent="0.25">
      <c r="A602" s="54"/>
      <c r="B602" s="23">
        <v>44778</v>
      </c>
      <c r="C602" s="24">
        <v>0.40145833333333331</v>
      </c>
      <c r="D602" s="32" t="s">
        <v>730</v>
      </c>
      <c r="E602" s="32" t="s">
        <v>709</v>
      </c>
      <c r="F602" s="26" t="s">
        <v>3335</v>
      </c>
      <c r="G602" s="22">
        <v>-58.5</v>
      </c>
      <c r="H602" s="22"/>
      <c r="I602" s="22"/>
    </row>
    <row r="603" spans="1:9" x14ac:dyDescent="0.25">
      <c r="A603" s="54"/>
      <c r="B603" s="23">
        <v>44778</v>
      </c>
      <c r="C603" s="24">
        <v>0.40707175925925926</v>
      </c>
      <c r="D603" s="32" t="s">
        <v>730</v>
      </c>
      <c r="E603" s="32" t="s">
        <v>709</v>
      </c>
      <c r="F603" s="26" t="s">
        <v>3337</v>
      </c>
      <c r="G603" s="22">
        <v>-3244.5</v>
      </c>
      <c r="H603" s="22"/>
      <c r="I603" s="22"/>
    </row>
    <row r="604" spans="1:9" x14ac:dyDescent="0.25">
      <c r="A604" s="54"/>
      <c r="B604" s="23">
        <v>44778</v>
      </c>
      <c r="C604" s="24">
        <v>0.40894675925925927</v>
      </c>
      <c r="D604" s="32" t="s">
        <v>730</v>
      </c>
      <c r="E604" s="32" t="s">
        <v>709</v>
      </c>
      <c r="F604" s="26" t="s">
        <v>3339</v>
      </c>
      <c r="G604" s="22">
        <v>-2996.5</v>
      </c>
      <c r="H604" s="22"/>
      <c r="I604" s="22"/>
    </row>
    <row r="605" spans="1:9" x14ac:dyDescent="0.25">
      <c r="A605" s="54"/>
      <c r="B605" s="23">
        <v>44778</v>
      </c>
      <c r="C605" s="24">
        <v>0.4105671296296296</v>
      </c>
      <c r="D605" s="32" t="s">
        <v>730</v>
      </c>
      <c r="E605" s="32" t="s">
        <v>709</v>
      </c>
      <c r="F605" s="26" t="s">
        <v>3341</v>
      </c>
      <c r="G605" s="22">
        <v>-311.5</v>
      </c>
      <c r="H605" s="22"/>
      <c r="I605" s="22"/>
    </row>
    <row r="606" spans="1:9" x14ac:dyDescent="0.25">
      <c r="A606" s="54"/>
      <c r="B606" s="23">
        <v>44778</v>
      </c>
      <c r="C606" s="24">
        <v>0.41262731481481479</v>
      </c>
      <c r="D606" s="32" t="s">
        <v>730</v>
      </c>
      <c r="E606" s="32" t="s">
        <v>709</v>
      </c>
      <c r="F606" s="26" t="s">
        <v>3343</v>
      </c>
      <c r="G606" s="22">
        <v>-3693.5</v>
      </c>
      <c r="H606" s="22"/>
      <c r="I606" s="22"/>
    </row>
    <row r="607" spans="1:9" x14ac:dyDescent="0.25">
      <c r="A607" s="54"/>
      <c r="B607" s="23">
        <v>44778</v>
      </c>
      <c r="C607" s="24">
        <v>0.41547453703703702</v>
      </c>
      <c r="D607" s="32" t="s">
        <v>730</v>
      </c>
      <c r="E607" s="32" t="s">
        <v>709</v>
      </c>
      <c r="F607" s="26" t="s">
        <v>3345</v>
      </c>
      <c r="G607" s="22">
        <v>-3279.5</v>
      </c>
      <c r="H607" s="22"/>
      <c r="I607" s="22"/>
    </row>
    <row r="608" spans="1:9" x14ac:dyDescent="0.25">
      <c r="A608" s="54"/>
      <c r="B608" s="23">
        <v>44778</v>
      </c>
      <c r="C608" s="24">
        <v>0.41715277777777776</v>
      </c>
      <c r="D608" s="32" t="s">
        <v>730</v>
      </c>
      <c r="E608" s="32" t="s">
        <v>709</v>
      </c>
      <c r="F608" s="26" t="s">
        <v>3347</v>
      </c>
      <c r="G608" s="22">
        <v>-144.5</v>
      </c>
      <c r="H608" s="22"/>
      <c r="I608" s="22"/>
    </row>
    <row r="609" spans="1:9" x14ac:dyDescent="0.25">
      <c r="A609" s="54"/>
      <c r="B609" s="27">
        <v>44778</v>
      </c>
      <c r="C609" s="28">
        <v>0.42245370370370372</v>
      </c>
      <c r="D609" s="33" t="s">
        <v>730</v>
      </c>
      <c r="E609" s="33" t="s">
        <v>709</v>
      </c>
      <c r="F609" s="30" t="s">
        <v>3510</v>
      </c>
      <c r="G609" s="29">
        <v>-147.5</v>
      </c>
      <c r="H609" s="22"/>
      <c r="I609" s="22"/>
    </row>
    <row r="610" spans="1:9" x14ac:dyDescent="0.25">
      <c r="A610" s="54"/>
      <c r="B610" s="23">
        <v>44778</v>
      </c>
      <c r="C610" s="24">
        <v>0.43333333333333335</v>
      </c>
      <c r="D610" s="32" t="s">
        <v>730</v>
      </c>
      <c r="E610" s="32" t="s">
        <v>709</v>
      </c>
      <c r="F610" s="26" t="s">
        <v>3349</v>
      </c>
      <c r="G610" s="22">
        <v>-64.5</v>
      </c>
      <c r="H610" s="22"/>
      <c r="I610" s="22"/>
    </row>
    <row r="611" spans="1:9" x14ac:dyDescent="0.25">
      <c r="A611" s="54"/>
      <c r="B611" s="23">
        <v>44778</v>
      </c>
      <c r="C611" s="24">
        <v>0.44475694444444441</v>
      </c>
      <c r="D611" s="32" t="s">
        <v>730</v>
      </c>
      <c r="E611" s="32" t="s">
        <v>709</v>
      </c>
      <c r="F611" s="26" t="s">
        <v>3351</v>
      </c>
      <c r="G611" s="22">
        <v>-113.5</v>
      </c>
      <c r="H611" s="22"/>
      <c r="I611" s="22"/>
    </row>
    <row r="612" spans="1:9" x14ac:dyDescent="0.25">
      <c r="A612" s="54"/>
      <c r="B612" s="23">
        <v>44778</v>
      </c>
      <c r="C612" s="24">
        <v>0.46178240740740745</v>
      </c>
      <c r="D612" s="32" t="s">
        <v>730</v>
      </c>
      <c r="E612" s="32" t="s">
        <v>709</v>
      </c>
      <c r="F612" s="26" t="s">
        <v>3353</v>
      </c>
      <c r="G612" s="22">
        <v>-102.5</v>
      </c>
      <c r="H612" s="22"/>
      <c r="I612" s="22"/>
    </row>
    <row r="613" spans="1:9" x14ac:dyDescent="0.25">
      <c r="A613" s="54"/>
      <c r="B613" s="23">
        <v>44778</v>
      </c>
      <c r="C613" s="24">
        <v>0.47690972222222222</v>
      </c>
      <c r="D613" s="32" t="s">
        <v>730</v>
      </c>
      <c r="E613" s="32" t="s">
        <v>709</v>
      </c>
      <c r="F613" s="26" t="s">
        <v>3355</v>
      </c>
      <c r="G613" s="22">
        <v>-118.5</v>
      </c>
      <c r="H613" s="22"/>
      <c r="I613" s="22"/>
    </row>
    <row r="614" spans="1:9" x14ac:dyDescent="0.25">
      <c r="A614" s="54"/>
      <c r="B614" s="23">
        <v>44778</v>
      </c>
      <c r="C614" s="24">
        <v>0.50453703703703701</v>
      </c>
      <c r="D614" s="32" t="s">
        <v>730</v>
      </c>
      <c r="E614" s="32" t="s">
        <v>709</v>
      </c>
      <c r="F614" s="26" t="s">
        <v>3357</v>
      </c>
      <c r="G614" s="22">
        <v>-59.5</v>
      </c>
      <c r="H614" s="22"/>
      <c r="I614" s="22"/>
    </row>
    <row r="615" spans="1:9" x14ac:dyDescent="0.25">
      <c r="A615" s="54"/>
      <c r="B615" s="41">
        <v>44778</v>
      </c>
      <c r="C615" s="42">
        <v>0.51116898148148149</v>
      </c>
      <c r="D615" s="50" t="s">
        <v>730</v>
      </c>
      <c r="E615" s="50" t="s">
        <v>709</v>
      </c>
      <c r="F615" s="44" t="s">
        <v>3359</v>
      </c>
      <c r="G615" s="43">
        <f>-47+2.5</f>
        <v>-44.5</v>
      </c>
      <c r="H615" s="22"/>
      <c r="I615" s="22"/>
    </row>
    <row r="616" spans="1:9" x14ac:dyDescent="0.25">
      <c r="A616" s="54"/>
      <c r="B616" s="57" t="s">
        <v>1277</v>
      </c>
      <c r="C616" s="57"/>
      <c r="D616" s="57"/>
      <c r="E616" s="57"/>
      <c r="F616" s="57"/>
      <c r="G616" s="43"/>
      <c r="H616" s="22"/>
      <c r="I616" s="22"/>
    </row>
    <row r="617" spans="1:9" x14ac:dyDescent="0.25">
      <c r="A617" s="54"/>
      <c r="B617" s="41">
        <v>44778</v>
      </c>
      <c r="C617" s="42">
        <v>0.51283564814814808</v>
      </c>
      <c r="D617" s="50" t="s">
        <v>730</v>
      </c>
      <c r="E617" s="50" t="s">
        <v>709</v>
      </c>
      <c r="F617" s="44" t="s">
        <v>3361</v>
      </c>
      <c r="G617" s="43">
        <f>-77+2.5</f>
        <v>-74.5</v>
      </c>
      <c r="H617" s="22"/>
      <c r="I617" s="22"/>
    </row>
    <row r="618" spans="1:9" x14ac:dyDescent="0.25">
      <c r="A618" s="54"/>
      <c r="B618" s="57" t="s">
        <v>1277</v>
      </c>
      <c r="C618" s="57"/>
      <c r="D618" s="57"/>
      <c r="E618" s="57"/>
      <c r="F618" s="57"/>
      <c r="G618" s="43"/>
      <c r="H618" s="22"/>
      <c r="I618" s="22"/>
    </row>
    <row r="619" spans="1:9" x14ac:dyDescent="0.25">
      <c r="A619" s="54"/>
      <c r="B619" s="23">
        <v>44778</v>
      </c>
      <c r="C619" s="24">
        <v>0.51495370370370364</v>
      </c>
      <c r="D619" s="32" t="s">
        <v>730</v>
      </c>
      <c r="E619" s="32" t="s">
        <v>709</v>
      </c>
      <c r="F619" s="26" t="s">
        <v>3363</v>
      </c>
      <c r="G619" s="22">
        <v>-153.5</v>
      </c>
      <c r="H619" s="22"/>
      <c r="I619" s="22"/>
    </row>
    <row r="620" spans="1:9" x14ac:dyDescent="0.25">
      <c r="A620" s="54"/>
      <c r="B620" s="27">
        <v>44778</v>
      </c>
      <c r="C620" s="28">
        <v>0.54685185185185181</v>
      </c>
      <c r="D620" s="33" t="s">
        <v>730</v>
      </c>
      <c r="E620" s="33" t="s">
        <v>709</v>
      </c>
      <c r="F620" s="30" t="s">
        <v>3512</v>
      </c>
      <c r="G620" s="29">
        <v>-139.5</v>
      </c>
      <c r="H620" s="22"/>
      <c r="I620" s="22"/>
    </row>
    <row r="621" spans="1:9" x14ac:dyDescent="0.25">
      <c r="A621" s="54"/>
      <c r="B621" s="23">
        <v>44778</v>
      </c>
      <c r="C621" s="24">
        <v>0.81518518518518512</v>
      </c>
      <c r="D621" s="32" t="s">
        <v>904</v>
      </c>
      <c r="E621" s="32" t="s">
        <v>709</v>
      </c>
      <c r="F621" s="26" t="s">
        <v>3365</v>
      </c>
      <c r="G621" s="22">
        <v>-509.5</v>
      </c>
      <c r="H621" s="22"/>
      <c r="I621" s="22"/>
    </row>
    <row r="622" spans="1:9" x14ac:dyDescent="0.25">
      <c r="A622" s="54"/>
      <c r="B622" s="56"/>
      <c r="C622" s="56"/>
      <c r="D622" s="56"/>
      <c r="E622" s="56"/>
      <c r="F622" s="56"/>
      <c r="G622" s="31">
        <f>SUM(G585:G621)</f>
        <v>-19975.5</v>
      </c>
      <c r="H622" s="25">
        <f>35*4.94</f>
        <v>172.9</v>
      </c>
      <c r="I622" s="31">
        <f>G622+H622</f>
        <v>-19802.599999999999</v>
      </c>
    </row>
    <row r="623" spans="1:9" x14ac:dyDescent="0.25">
      <c r="A623" s="54" t="s">
        <v>833</v>
      </c>
      <c r="B623" s="53" t="s">
        <v>1271</v>
      </c>
      <c r="C623" s="55"/>
      <c r="D623" s="55"/>
      <c r="E623" s="55"/>
      <c r="F623" s="55"/>
      <c r="G623" s="25"/>
      <c r="H623" s="22"/>
      <c r="I623" s="22"/>
    </row>
    <row r="624" spans="1:9" x14ac:dyDescent="0.25">
      <c r="A624" s="54"/>
      <c r="B624" s="23">
        <v>44777</v>
      </c>
      <c r="C624" s="24">
        <v>0.6674768518518519</v>
      </c>
      <c r="D624" s="32" t="s">
        <v>905</v>
      </c>
      <c r="E624" s="32" t="s">
        <v>709</v>
      </c>
      <c r="F624" s="26" t="s">
        <v>1216</v>
      </c>
      <c r="G624" s="22">
        <v>-81.5</v>
      </c>
      <c r="H624" s="22"/>
      <c r="I624" s="22"/>
    </row>
    <row r="625" spans="1:9" x14ac:dyDescent="0.25">
      <c r="A625" s="54"/>
      <c r="B625" s="41">
        <v>44777</v>
      </c>
      <c r="C625" s="42">
        <v>0.91778935185185195</v>
      </c>
      <c r="D625" s="50" t="s">
        <v>731</v>
      </c>
      <c r="E625" s="50" t="s">
        <v>712</v>
      </c>
      <c r="F625" s="44" t="s">
        <v>1255</v>
      </c>
      <c r="G625" s="43">
        <f>-60+2.5</f>
        <v>-57.5</v>
      </c>
      <c r="H625" s="22"/>
      <c r="I625" s="22"/>
    </row>
    <row r="626" spans="1:9" x14ac:dyDescent="0.25">
      <c r="A626" s="54"/>
      <c r="B626" s="57" t="s">
        <v>1277</v>
      </c>
      <c r="C626" s="57"/>
      <c r="D626" s="57"/>
      <c r="E626" s="57"/>
      <c r="F626" s="57"/>
      <c r="G626" s="43"/>
      <c r="H626" s="22"/>
      <c r="I626" s="22"/>
    </row>
    <row r="627" spans="1:9" x14ac:dyDescent="0.25">
      <c r="A627" s="54"/>
      <c r="B627" s="23">
        <v>44778</v>
      </c>
      <c r="C627" s="24">
        <v>0.41506944444444444</v>
      </c>
      <c r="D627" s="32" t="s">
        <v>1633</v>
      </c>
      <c r="E627" s="32" t="s">
        <v>709</v>
      </c>
      <c r="F627" s="26" t="s">
        <v>3367</v>
      </c>
      <c r="G627" s="22">
        <v>-194.5</v>
      </c>
      <c r="H627" s="22"/>
      <c r="I627" s="22"/>
    </row>
    <row r="628" spans="1:9" x14ac:dyDescent="0.25">
      <c r="A628" s="54"/>
      <c r="B628" s="23">
        <v>44778</v>
      </c>
      <c r="C628" s="24">
        <v>0.41707175925925927</v>
      </c>
      <c r="D628" s="32" t="s">
        <v>1633</v>
      </c>
      <c r="E628" s="32" t="s">
        <v>709</v>
      </c>
      <c r="F628" s="26" t="s">
        <v>3369</v>
      </c>
      <c r="G628" s="22">
        <v>-105.5</v>
      </c>
      <c r="H628" s="22"/>
      <c r="I628" s="22"/>
    </row>
    <row r="629" spans="1:9" x14ac:dyDescent="0.25">
      <c r="A629" s="54"/>
      <c r="B629" s="23">
        <v>44778</v>
      </c>
      <c r="C629" s="24">
        <v>0.49039351851851848</v>
      </c>
      <c r="D629" s="32" t="s">
        <v>1633</v>
      </c>
      <c r="E629" s="32" t="s">
        <v>709</v>
      </c>
      <c r="F629" s="26" t="s">
        <v>3371</v>
      </c>
      <c r="G629" s="22">
        <v>-44.5</v>
      </c>
      <c r="H629" s="22"/>
      <c r="I629" s="22"/>
    </row>
    <row r="630" spans="1:9" x14ac:dyDescent="0.25">
      <c r="A630" s="54"/>
      <c r="B630" s="23">
        <v>44778</v>
      </c>
      <c r="C630" s="24">
        <v>0.5287384259259259</v>
      </c>
      <c r="D630" s="32" t="s">
        <v>1634</v>
      </c>
      <c r="E630" s="32" t="s">
        <v>709</v>
      </c>
      <c r="F630" s="26" t="s">
        <v>3373</v>
      </c>
      <c r="G630" s="22">
        <v>-45.5</v>
      </c>
      <c r="H630" s="22"/>
      <c r="I630" s="22"/>
    </row>
    <row r="631" spans="1:9" x14ac:dyDescent="0.25">
      <c r="A631" s="54"/>
      <c r="B631" s="23">
        <v>44778</v>
      </c>
      <c r="C631" s="24">
        <v>0.58309027777777778</v>
      </c>
      <c r="D631" s="32" t="s">
        <v>1634</v>
      </c>
      <c r="E631" s="32" t="s">
        <v>709</v>
      </c>
      <c r="F631" s="26" t="s">
        <v>3375</v>
      </c>
      <c r="G631" s="22">
        <v>-49.5</v>
      </c>
      <c r="H631" s="22"/>
      <c r="I631" s="22"/>
    </row>
    <row r="632" spans="1:9" x14ac:dyDescent="0.25">
      <c r="A632" s="54"/>
      <c r="B632" s="23">
        <v>44780</v>
      </c>
      <c r="C632" s="24">
        <v>0.54829861111111111</v>
      </c>
      <c r="D632" s="32" t="s">
        <v>905</v>
      </c>
      <c r="E632" s="32" t="s">
        <v>709</v>
      </c>
      <c r="F632" s="26" t="s">
        <v>3377</v>
      </c>
      <c r="G632" s="22">
        <v>-86.5</v>
      </c>
      <c r="H632" s="22"/>
      <c r="I632" s="22"/>
    </row>
    <row r="633" spans="1:9" x14ac:dyDescent="0.25">
      <c r="A633" s="54"/>
      <c r="B633" s="56"/>
      <c r="C633" s="56"/>
      <c r="D633" s="56"/>
      <c r="E633" s="56"/>
      <c r="F633" s="56"/>
      <c r="G633" s="31">
        <f>SUM(G624:G632)</f>
        <v>-665</v>
      </c>
      <c r="H633" s="25">
        <f>8*4.94</f>
        <v>39.520000000000003</v>
      </c>
      <c r="I633" s="31">
        <f>G633+H633</f>
        <v>-625.48</v>
      </c>
    </row>
    <row r="634" spans="1:9" x14ac:dyDescent="0.25">
      <c r="A634" s="54" t="s">
        <v>833</v>
      </c>
      <c r="B634" s="53" t="s">
        <v>3524</v>
      </c>
      <c r="C634" s="55"/>
      <c r="D634" s="55"/>
      <c r="E634" s="55"/>
      <c r="F634" s="55"/>
      <c r="G634" s="25"/>
      <c r="H634" s="22"/>
      <c r="I634" s="22"/>
    </row>
    <row r="635" spans="1:9" x14ac:dyDescent="0.25">
      <c r="A635" s="54"/>
      <c r="B635" s="27">
        <v>44778</v>
      </c>
      <c r="C635" s="28">
        <v>0.69148148148148147</v>
      </c>
      <c r="D635" s="33" t="s">
        <v>1635</v>
      </c>
      <c r="E635" s="33" t="s">
        <v>709</v>
      </c>
      <c r="F635" s="30" t="s">
        <v>3514</v>
      </c>
      <c r="G635" s="29">
        <v>-22.5</v>
      </c>
      <c r="H635" s="22"/>
      <c r="I635" s="22"/>
    </row>
    <row r="636" spans="1:9" x14ac:dyDescent="0.25">
      <c r="A636" s="54"/>
      <c r="B636" s="56"/>
      <c r="C636" s="56"/>
      <c r="D636" s="56"/>
      <c r="E636" s="56"/>
      <c r="F636" s="56"/>
      <c r="G636" s="31">
        <f>SUM(G635:G635)</f>
        <v>-22.5</v>
      </c>
      <c r="H636" s="25">
        <f>1*4.94</f>
        <v>4.9400000000000004</v>
      </c>
      <c r="I636" s="31">
        <f>G636+H636</f>
        <v>-17.559999999999999</v>
      </c>
    </row>
    <row r="637" spans="1:9" x14ac:dyDescent="0.25">
      <c r="A637" s="54" t="s">
        <v>833</v>
      </c>
      <c r="B637" s="53" t="s">
        <v>1272</v>
      </c>
      <c r="C637" s="55"/>
      <c r="D637" s="55"/>
      <c r="E637" s="55"/>
      <c r="F637" s="55"/>
      <c r="G637" s="25"/>
      <c r="H637" s="22"/>
      <c r="I637" s="22"/>
    </row>
    <row r="638" spans="1:9" x14ac:dyDescent="0.25">
      <c r="A638" s="54"/>
      <c r="B638" s="23">
        <v>44774</v>
      </c>
      <c r="C638" s="24">
        <v>0.55078703703703702</v>
      </c>
      <c r="D638" s="32" t="s">
        <v>732</v>
      </c>
      <c r="E638" s="32" t="s">
        <v>709</v>
      </c>
      <c r="F638" s="26" t="s">
        <v>1593</v>
      </c>
      <c r="G638" s="22">
        <v>-74.5</v>
      </c>
      <c r="H638" s="22"/>
      <c r="I638" s="22"/>
    </row>
    <row r="639" spans="1:9" x14ac:dyDescent="0.25">
      <c r="A639" s="54"/>
      <c r="B639" s="23">
        <v>44774</v>
      </c>
      <c r="C639" s="24">
        <v>0.78895833333333332</v>
      </c>
      <c r="D639" s="32" t="s">
        <v>732</v>
      </c>
      <c r="E639" s="32" t="s">
        <v>709</v>
      </c>
      <c r="F639" s="26" t="s">
        <v>1595</v>
      </c>
      <c r="G639" s="22">
        <v>-102.5</v>
      </c>
      <c r="H639" s="22"/>
      <c r="I639" s="22"/>
    </row>
    <row r="640" spans="1:9" x14ac:dyDescent="0.25">
      <c r="A640" s="54"/>
      <c r="B640" s="23">
        <v>44776</v>
      </c>
      <c r="C640" s="24">
        <v>0.31109953703703702</v>
      </c>
      <c r="D640" s="32" t="s">
        <v>733</v>
      </c>
      <c r="E640" s="32" t="s">
        <v>709</v>
      </c>
      <c r="F640" s="26" t="s">
        <v>1421</v>
      </c>
      <c r="G640" s="22">
        <v>-44.5</v>
      </c>
      <c r="H640" s="22"/>
      <c r="I640" s="22"/>
    </row>
    <row r="641" spans="1:9" x14ac:dyDescent="0.25">
      <c r="A641" s="54"/>
      <c r="B641" s="23">
        <v>44776</v>
      </c>
      <c r="C641" s="24">
        <v>0.42993055555555554</v>
      </c>
      <c r="D641" s="32" t="s">
        <v>733</v>
      </c>
      <c r="E641" s="32" t="s">
        <v>709</v>
      </c>
      <c r="F641" s="26" t="s">
        <v>1423</v>
      </c>
      <c r="G641" s="22">
        <v>-94.5</v>
      </c>
      <c r="H641" s="22"/>
      <c r="I641" s="22"/>
    </row>
    <row r="642" spans="1:9" x14ac:dyDescent="0.25">
      <c r="A642" s="54"/>
      <c r="B642" s="23">
        <v>44777</v>
      </c>
      <c r="C642" s="24">
        <v>0.79362268518518519</v>
      </c>
      <c r="D642" s="32" t="s">
        <v>733</v>
      </c>
      <c r="E642" s="32" t="s">
        <v>709</v>
      </c>
      <c r="F642" s="26" t="s">
        <v>1218</v>
      </c>
      <c r="G642" s="22">
        <v>-85.5</v>
      </c>
      <c r="H642" s="22"/>
      <c r="I642" s="22"/>
    </row>
    <row r="643" spans="1:9" x14ac:dyDescent="0.25">
      <c r="A643" s="54"/>
      <c r="B643" s="23">
        <v>44777</v>
      </c>
      <c r="C643" s="24">
        <v>0.86313657407407407</v>
      </c>
      <c r="D643" s="32" t="s">
        <v>733</v>
      </c>
      <c r="E643" s="32" t="s">
        <v>709</v>
      </c>
      <c r="F643" s="26" t="s">
        <v>1220</v>
      </c>
      <c r="G643" s="22">
        <v>-86.5</v>
      </c>
      <c r="H643" s="22"/>
      <c r="I643" s="22"/>
    </row>
    <row r="644" spans="1:9" x14ac:dyDescent="0.25">
      <c r="A644" s="54"/>
      <c r="B644" s="23">
        <v>44778</v>
      </c>
      <c r="C644" s="24">
        <v>0.29865740740740737</v>
      </c>
      <c r="D644" s="32" t="s">
        <v>732</v>
      </c>
      <c r="E644" s="32" t="s">
        <v>709</v>
      </c>
      <c r="F644" s="26" t="s">
        <v>3379</v>
      </c>
      <c r="G644" s="22">
        <v>-174.5</v>
      </c>
      <c r="H644" s="22"/>
      <c r="I644" s="22"/>
    </row>
    <row r="645" spans="1:9" x14ac:dyDescent="0.25">
      <c r="A645" s="54"/>
      <c r="B645" s="23">
        <v>44778</v>
      </c>
      <c r="C645" s="24">
        <v>0.3885763888888889</v>
      </c>
      <c r="D645" s="32" t="s">
        <v>732</v>
      </c>
      <c r="E645" s="32" t="s">
        <v>709</v>
      </c>
      <c r="F645" s="26" t="s">
        <v>3381</v>
      </c>
      <c r="G645" s="22">
        <v>-144.5</v>
      </c>
      <c r="H645" s="22"/>
      <c r="I645" s="22"/>
    </row>
    <row r="646" spans="1:9" x14ac:dyDescent="0.25">
      <c r="A646" s="54"/>
      <c r="B646" s="23">
        <v>44778</v>
      </c>
      <c r="C646" s="24">
        <v>0.43504629629629626</v>
      </c>
      <c r="D646" s="32" t="s">
        <v>732</v>
      </c>
      <c r="E646" s="32" t="s">
        <v>709</v>
      </c>
      <c r="F646" s="26" t="s">
        <v>3383</v>
      </c>
      <c r="G646" s="22">
        <v>-308.5</v>
      </c>
      <c r="H646" s="22"/>
      <c r="I646" s="22"/>
    </row>
    <row r="647" spans="1:9" x14ac:dyDescent="0.25">
      <c r="A647" s="54"/>
      <c r="B647" s="23">
        <v>44778</v>
      </c>
      <c r="C647" s="24">
        <v>0.44285879629629626</v>
      </c>
      <c r="D647" s="32" t="s">
        <v>732</v>
      </c>
      <c r="E647" s="32" t="s">
        <v>709</v>
      </c>
      <c r="F647" s="26" t="s">
        <v>3385</v>
      </c>
      <c r="G647" s="22">
        <v>-155.5</v>
      </c>
      <c r="H647" s="22"/>
      <c r="I647" s="22"/>
    </row>
    <row r="648" spans="1:9" x14ac:dyDescent="0.25">
      <c r="A648" s="54"/>
      <c r="B648" s="23">
        <v>44778</v>
      </c>
      <c r="C648" s="24">
        <v>0.44506944444444446</v>
      </c>
      <c r="D648" s="32" t="s">
        <v>732</v>
      </c>
      <c r="E648" s="32" t="s">
        <v>709</v>
      </c>
      <c r="F648" s="26" t="s">
        <v>3387</v>
      </c>
      <c r="G648" s="22">
        <v>-203.5</v>
      </c>
      <c r="H648" s="22"/>
      <c r="I648" s="22"/>
    </row>
    <row r="649" spans="1:9" x14ac:dyDescent="0.25">
      <c r="A649" s="54"/>
      <c r="B649" s="23">
        <v>44778</v>
      </c>
      <c r="C649" s="24">
        <v>0.52246527777777774</v>
      </c>
      <c r="D649" s="32" t="s">
        <v>732</v>
      </c>
      <c r="E649" s="32" t="s">
        <v>709</v>
      </c>
      <c r="F649" s="26" t="s">
        <v>3389</v>
      </c>
      <c r="G649" s="22">
        <v>-242.5</v>
      </c>
      <c r="H649" s="22"/>
      <c r="I649" s="22"/>
    </row>
    <row r="650" spans="1:9" x14ac:dyDescent="0.25">
      <c r="A650" s="54"/>
      <c r="B650" s="23">
        <v>44778</v>
      </c>
      <c r="C650" s="24">
        <v>0.73702546296296301</v>
      </c>
      <c r="D650" s="32" t="s">
        <v>733</v>
      </c>
      <c r="E650" s="32" t="s">
        <v>709</v>
      </c>
      <c r="F650" s="26" t="s">
        <v>3391</v>
      </c>
      <c r="G650" s="22">
        <v>-68.5</v>
      </c>
      <c r="H650" s="22"/>
      <c r="I650" s="22"/>
    </row>
    <row r="651" spans="1:9" x14ac:dyDescent="0.25">
      <c r="A651" s="54"/>
      <c r="B651" s="23">
        <v>44778</v>
      </c>
      <c r="C651" s="24">
        <v>0.7690393518518519</v>
      </c>
      <c r="D651" s="32" t="s">
        <v>733</v>
      </c>
      <c r="E651" s="32" t="s">
        <v>709</v>
      </c>
      <c r="F651" s="26" t="s">
        <v>3393</v>
      </c>
      <c r="G651" s="22">
        <v>-67.5</v>
      </c>
      <c r="H651" s="22"/>
      <c r="I651" s="22"/>
    </row>
    <row r="652" spans="1:9" x14ac:dyDescent="0.25">
      <c r="A652" s="54"/>
      <c r="B652" s="23">
        <v>44778</v>
      </c>
      <c r="C652" s="24">
        <v>0.77511574074074074</v>
      </c>
      <c r="D652" s="32" t="s">
        <v>733</v>
      </c>
      <c r="E652" s="32" t="s">
        <v>709</v>
      </c>
      <c r="F652" s="26" t="s">
        <v>3395</v>
      </c>
      <c r="G652" s="22">
        <v>-90.5</v>
      </c>
      <c r="H652" s="22"/>
      <c r="I652" s="22"/>
    </row>
    <row r="653" spans="1:9" x14ac:dyDescent="0.25">
      <c r="A653" s="54"/>
      <c r="B653" s="23">
        <v>44778</v>
      </c>
      <c r="C653" s="24">
        <v>0.80210648148148145</v>
      </c>
      <c r="D653" s="32" t="s">
        <v>733</v>
      </c>
      <c r="E653" s="32" t="s">
        <v>709</v>
      </c>
      <c r="F653" s="26" t="s">
        <v>3397</v>
      </c>
      <c r="G653" s="22">
        <v>-85.5</v>
      </c>
      <c r="H653" s="22"/>
      <c r="I653" s="22"/>
    </row>
    <row r="654" spans="1:9" x14ac:dyDescent="0.25">
      <c r="A654" s="54"/>
      <c r="B654" s="56"/>
      <c r="C654" s="56"/>
      <c r="D654" s="56"/>
      <c r="E654" s="56"/>
      <c r="F654" s="56"/>
      <c r="G654" s="31">
        <f>SUM(G638:G653)</f>
        <v>-2029</v>
      </c>
      <c r="H654" s="25">
        <f>16*4.94</f>
        <v>79.040000000000006</v>
      </c>
      <c r="I654" s="31">
        <f>G654+H654</f>
        <v>-1949.96</v>
      </c>
    </row>
    <row r="655" spans="1:9" x14ac:dyDescent="0.25">
      <c r="A655" s="54" t="s">
        <v>833</v>
      </c>
      <c r="B655" s="53" t="s">
        <v>831</v>
      </c>
      <c r="C655" s="55"/>
      <c r="D655" s="55"/>
      <c r="E655" s="55"/>
      <c r="F655" s="55"/>
      <c r="G655" s="25"/>
      <c r="H655" s="22"/>
      <c r="I655" s="22"/>
    </row>
    <row r="656" spans="1:9" x14ac:dyDescent="0.25">
      <c r="A656" s="54"/>
      <c r="B656" s="23">
        <v>44775</v>
      </c>
      <c r="C656" s="24">
        <v>0.41400462962962964</v>
      </c>
      <c r="D656" s="32" t="s">
        <v>734</v>
      </c>
      <c r="E656" s="32" t="s">
        <v>709</v>
      </c>
      <c r="F656" s="26" t="s">
        <v>809</v>
      </c>
      <c r="G656" s="22">
        <v>-147.5</v>
      </c>
      <c r="H656" s="22"/>
      <c r="I656" s="22"/>
    </row>
    <row r="657" spans="1:9" x14ac:dyDescent="0.25">
      <c r="A657" s="54"/>
      <c r="B657" s="23">
        <v>44775</v>
      </c>
      <c r="C657" s="24">
        <v>0.50101851851851853</v>
      </c>
      <c r="D657" s="32" t="s">
        <v>734</v>
      </c>
      <c r="E657" s="32" t="s">
        <v>709</v>
      </c>
      <c r="F657" s="26" t="s">
        <v>811</v>
      </c>
      <c r="G657" s="22">
        <v>-106.5</v>
      </c>
      <c r="H657" s="22"/>
      <c r="I657" s="22"/>
    </row>
    <row r="658" spans="1:9" x14ac:dyDescent="0.25">
      <c r="A658" s="54"/>
      <c r="B658" s="41">
        <v>44776</v>
      </c>
      <c r="C658" s="42">
        <v>0.81718750000000007</v>
      </c>
      <c r="D658" s="50" t="s">
        <v>735</v>
      </c>
      <c r="E658" s="50" t="s">
        <v>709</v>
      </c>
      <c r="F658" s="44" t="s">
        <v>1460</v>
      </c>
      <c r="G658" s="44" t="s">
        <v>1463</v>
      </c>
      <c r="H658" s="22"/>
      <c r="I658" s="22"/>
    </row>
    <row r="659" spans="1:9" x14ac:dyDescent="0.25">
      <c r="A659" s="54"/>
      <c r="B659" s="57" t="s">
        <v>1459</v>
      </c>
      <c r="C659" s="57"/>
      <c r="D659" s="57"/>
      <c r="E659" s="57"/>
      <c r="F659" s="57"/>
      <c r="G659" s="44"/>
      <c r="H659" s="22"/>
      <c r="I659" s="22"/>
    </row>
    <row r="660" spans="1:9" x14ac:dyDescent="0.25">
      <c r="A660" s="54"/>
      <c r="B660" s="23">
        <v>44776</v>
      </c>
      <c r="C660" s="24">
        <v>0.85534722222222215</v>
      </c>
      <c r="D660" s="32" t="s">
        <v>735</v>
      </c>
      <c r="E660" s="32" t="s">
        <v>709</v>
      </c>
      <c r="F660" s="26" t="s">
        <v>1425</v>
      </c>
      <c r="G660" s="22">
        <v>-98.5</v>
      </c>
      <c r="H660" s="22"/>
      <c r="I660" s="22"/>
    </row>
    <row r="661" spans="1:9" x14ac:dyDescent="0.25">
      <c r="A661" s="54"/>
      <c r="B661" s="23">
        <v>44777</v>
      </c>
      <c r="C661" s="24">
        <v>0.7174652777777778</v>
      </c>
      <c r="D661" s="32" t="s">
        <v>734</v>
      </c>
      <c r="E661" s="32" t="s">
        <v>709</v>
      </c>
      <c r="F661" s="26" t="s">
        <v>1222</v>
      </c>
      <c r="G661" s="22">
        <v>-367.5</v>
      </c>
      <c r="H661" s="22"/>
      <c r="I661" s="22"/>
    </row>
    <row r="662" spans="1:9" x14ac:dyDescent="0.25">
      <c r="A662" s="54"/>
      <c r="B662" s="23">
        <v>44777</v>
      </c>
      <c r="C662" s="24">
        <v>0.88981481481481473</v>
      </c>
      <c r="D662" s="32" t="s">
        <v>734</v>
      </c>
      <c r="E662" s="32" t="s">
        <v>709</v>
      </c>
      <c r="F662" s="26" t="s">
        <v>1223</v>
      </c>
      <c r="G662" s="22">
        <v>-106.5</v>
      </c>
      <c r="H662" s="22"/>
      <c r="I662" s="22"/>
    </row>
    <row r="663" spans="1:9" x14ac:dyDescent="0.25">
      <c r="A663" s="54"/>
      <c r="B663" s="23">
        <v>44777</v>
      </c>
      <c r="C663" s="24">
        <v>0.89372685185185186</v>
      </c>
      <c r="D663" s="32" t="s">
        <v>734</v>
      </c>
      <c r="E663" s="32" t="s">
        <v>709</v>
      </c>
      <c r="F663" s="26" t="s">
        <v>1225</v>
      </c>
      <c r="G663" s="22">
        <v>-187.5</v>
      </c>
      <c r="H663" s="22"/>
      <c r="I663" s="22"/>
    </row>
    <row r="664" spans="1:9" x14ac:dyDescent="0.25">
      <c r="A664" s="54"/>
      <c r="B664" s="23">
        <v>44778</v>
      </c>
      <c r="C664" s="24">
        <v>0.36103009259259261</v>
      </c>
      <c r="D664" s="32" t="s">
        <v>734</v>
      </c>
      <c r="E664" s="32" t="s">
        <v>709</v>
      </c>
      <c r="F664" s="26" t="s">
        <v>3399</v>
      </c>
      <c r="G664" s="22">
        <v>-230.5</v>
      </c>
      <c r="H664" s="22"/>
      <c r="I664" s="22"/>
    </row>
    <row r="665" spans="1:9" x14ac:dyDescent="0.25">
      <c r="A665" s="54"/>
      <c r="B665" s="23">
        <v>44778</v>
      </c>
      <c r="C665" s="24">
        <v>0.39605324074074072</v>
      </c>
      <c r="D665" s="32" t="s">
        <v>734</v>
      </c>
      <c r="E665" s="32" t="s">
        <v>709</v>
      </c>
      <c r="F665" s="26" t="s">
        <v>3401</v>
      </c>
      <c r="G665" s="22">
        <v>-167.5</v>
      </c>
      <c r="H665" s="22"/>
      <c r="I665" s="22"/>
    </row>
    <row r="666" spans="1:9" x14ac:dyDescent="0.25">
      <c r="A666" s="54"/>
      <c r="B666" s="23">
        <v>44778</v>
      </c>
      <c r="C666" s="24">
        <v>0.45405092592592594</v>
      </c>
      <c r="D666" s="32" t="s">
        <v>734</v>
      </c>
      <c r="E666" s="32" t="s">
        <v>709</v>
      </c>
      <c r="F666" s="26" t="s">
        <v>3403</v>
      </c>
      <c r="G666" s="22">
        <v>-74.5</v>
      </c>
      <c r="H666" s="22"/>
      <c r="I666" s="22"/>
    </row>
    <row r="667" spans="1:9" x14ac:dyDescent="0.25">
      <c r="A667" s="54"/>
      <c r="B667" s="23">
        <v>44778</v>
      </c>
      <c r="C667" s="24">
        <v>0.46567129629629633</v>
      </c>
      <c r="D667" s="32" t="s">
        <v>734</v>
      </c>
      <c r="E667" s="32" t="s">
        <v>709</v>
      </c>
      <c r="F667" s="26" t="s">
        <v>3405</v>
      </c>
      <c r="G667" s="22">
        <v>-90.5</v>
      </c>
      <c r="H667" s="22"/>
      <c r="I667" s="22"/>
    </row>
    <row r="668" spans="1:9" x14ac:dyDescent="0.25">
      <c r="A668" s="54"/>
      <c r="B668" s="23">
        <v>44778</v>
      </c>
      <c r="C668" s="24">
        <v>0.51543981481481482</v>
      </c>
      <c r="D668" s="32" t="s">
        <v>734</v>
      </c>
      <c r="E668" s="32" t="s">
        <v>709</v>
      </c>
      <c r="F668" s="26" t="s">
        <v>3406</v>
      </c>
      <c r="G668" s="22">
        <v>-372.5</v>
      </c>
      <c r="H668" s="22"/>
      <c r="I668" s="22"/>
    </row>
    <row r="669" spans="1:9" x14ac:dyDescent="0.25">
      <c r="A669" s="54"/>
      <c r="B669" s="23">
        <v>44778</v>
      </c>
      <c r="C669" s="24">
        <v>0.88284722222222223</v>
      </c>
      <c r="D669" s="32" t="s">
        <v>735</v>
      </c>
      <c r="E669" s="32" t="s">
        <v>709</v>
      </c>
      <c r="F669" s="26" t="s">
        <v>3408</v>
      </c>
      <c r="G669" s="22">
        <v>-50.5</v>
      </c>
      <c r="H669" s="22"/>
      <c r="I669" s="22"/>
    </row>
    <row r="670" spans="1:9" x14ac:dyDescent="0.25">
      <c r="A670" s="54"/>
      <c r="B670" s="23">
        <v>44780</v>
      </c>
      <c r="C670" s="24">
        <v>0.83340277777777771</v>
      </c>
      <c r="D670" s="32" t="s">
        <v>734</v>
      </c>
      <c r="E670" s="32" t="s">
        <v>709</v>
      </c>
      <c r="F670" s="26" t="s">
        <v>3410</v>
      </c>
      <c r="G670" s="22">
        <v>-66.5</v>
      </c>
      <c r="H670" s="22"/>
      <c r="I670" s="22"/>
    </row>
    <row r="671" spans="1:9" x14ac:dyDescent="0.25">
      <c r="A671" s="54"/>
      <c r="B671" s="56"/>
      <c r="C671" s="56"/>
      <c r="D671" s="56"/>
      <c r="E671" s="56"/>
      <c r="F671" s="56"/>
      <c r="G671" s="31">
        <f>SUM(G656:G670)</f>
        <v>-2066.5</v>
      </c>
      <c r="H671" s="25">
        <f>14*4.94</f>
        <v>69.160000000000011</v>
      </c>
      <c r="I671" s="31">
        <f>G671+H671</f>
        <v>-1997.34</v>
      </c>
    </row>
    <row r="672" spans="1:9" x14ac:dyDescent="0.25">
      <c r="A672" s="54" t="s">
        <v>833</v>
      </c>
      <c r="B672" s="53" t="s">
        <v>832</v>
      </c>
      <c r="C672" s="55"/>
      <c r="D672" s="55"/>
      <c r="E672" s="55"/>
      <c r="F672" s="55"/>
      <c r="G672" s="25"/>
      <c r="H672" s="22"/>
      <c r="I672" s="22"/>
    </row>
    <row r="673" spans="1:9" x14ac:dyDescent="0.25">
      <c r="A673" s="54"/>
      <c r="B673" s="23">
        <v>44774</v>
      </c>
      <c r="C673" s="24">
        <v>0.52170138888888895</v>
      </c>
      <c r="D673" s="32" t="s">
        <v>1279</v>
      </c>
      <c r="E673" s="32" t="s">
        <v>709</v>
      </c>
      <c r="F673" s="26" t="s">
        <v>1596</v>
      </c>
      <c r="G673" s="22">
        <v>-163.5</v>
      </c>
      <c r="H673" s="22"/>
      <c r="I673" s="22"/>
    </row>
    <row r="674" spans="1:9" x14ac:dyDescent="0.25">
      <c r="A674" s="54"/>
      <c r="B674" s="27">
        <v>44774</v>
      </c>
      <c r="C674" s="28">
        <v>0.52674768518518522</v>
      </c>
      <c r="D674" s="33" t="s">
        <v>1279</v>
      </c>
      <c r="E674" s="33" t="s">
        <v>709</v>
      </c>
      <c r="F674" s="30" t="s">
        <v>1615</v>
      </c>
      <c r="G674" s="29">
        <v>-45.5</v>
      </c>
      <c r="H674" s="22"/>
      <c r="I674" s="22"/>
    </row>
    <row r="675" spans="1:9" x14ac:dyDescent="0.25">
      <c r="A675" s="54"/>
      <c r="B675" s="23">
        <v>44774</v>
      </c>
      <c r="C675" s="24">
        <v>0.64623842592592595</v>
      </c>
      <c r="D675" s="32" t="s">
        <v>722</v>
      </c>
      <c r="E675" s="32" t="s">
        <v>709</v>
      </c>
      <c r="F675" s="26" t="s">
        <v>1598</v>
      </c>
      <c r="G675" s="22">
        <v>-79.5</v>
      </c>
      <c r="H675" s="22"/>
      <c r="I675" s="22"/>
    </row>
    <row r="676" spans="1:9" x14ac:dyDescent="0.25">
      <c r="A676" s="54"/>
      <c r="B676" s="23">
        <v>44774</v>
      </c>
      <c r="C676" s="24">
        <v>0.79777777777777781</v>
      </c>
      <c r="D676" s="32" t="s">
        <v>1279</v>
      </c>
      <c r="E676" s="32" t="s">
        <v>709</v>
      </c>
      <c r="F676" s="26" t="s">
        <v>1600</v>
      </c>
      <c r="G676" s="22">
        <v>-99.5</v>
      </c>
      <c r="H676" s="22"/>
      <c r="I676" s="22"/>
    </row>
    <row r="677" spans="1:9" x14ac:dyDescent="0.25">
      <c r="A677" s="54"/>
      <c r="B677" s="23">
        <v>44774</v>
      </c>
      <c r="C677" s="24">
        <v>0.84959490740740751</v>
      </c>
      <c r="D677" s="32" t="s">
        <v>722</v>
      </c>
      <c r="E677" s="32" t="s">
        <v>709</v>
      </c>
      <c r="F677" s="26" t="s">
        <v>1602</v>
      </c>
      <c r="G677" s="22">
        <v>-143.5</v>
      </c>
      <c r="H677" s="22"/>
      <c r="I677" s="22"/>
    </row>
    <row r="678" spans="1:9" x14ac:dyDescent="0.25">
      <c r="A678" s="54"/>
      <c r="B678" s="27">
        <v>44775</v>
      </c>
      <c r="C678" s="28">
        <v>0.61834490740740744</v>
      </c>
      <c r="D678" s="33" t="s">
        <v>736</v>
      </c>
      <c r="E678" s="33" t="s">
        <v>709</v>
      </c>
      <c r="F678" s="30" t="s">
        <v>818</v>
      </c>
      <c r="G678" s="29">
        <v>-117.5</v>
      </c>
      <c r="H678" s="22"/>
      <c r="I678" s="22"/>
    </row>
    <row r="679" spans="1:9" x14ac:dyDescent="0.25">
      <c r="A679" s="54"/>
      <c r="B679" s="23">
        <v>44775</v>
      </c>
      <c r="C679" s="24">
        <v>0.6430555555555556</v>
      </c>
      <c r="D679" s="32" t="s">
        <v>722</v>
      </c>
      <c r="E679" s="32" t="s">
        <v>709</v>
      </c>
      <c r="F679" s="26" t="s">
        <v>812</v>
      </c>
      <c r="G679" s="22">
        <v>-628.5</v>
      </c>
      <c r="H679" s="22"/>
      <c r="I679" s="22"/>
    </row>
    <row r="680" spans="1:9" x14ac:dyDescent="0.25">
      <c r="A680" s="54"/>
      <c r="B680" s="23">
        <v>44775</v>
      </c>
      <c r="C680" s="24">
        <v>0.79178240740740735</v>
      </c>
      <c r="D680" s="32" t="s">
        <v>722</v>
      </c>
      <c r="E680" s="32" t="s">
        <v>709</v>
      </c>
      <c r="F680" s="26" t="s">
        <v>814</v>
      </c>
      <c r="G680" s="22">
        <v>-58.5</v>
      </c>
      <c r="H680" s="22"/>
      <c r="I680" s="22"/>
    </row>
    <row r="681" spans="1:9" x14ac:dyDescent="0.25">
      <c r="A681" s="54"/>
      <c r="B681" s="23">
        <v>44776</v>
      </c>
      <c r="C681" s="24">
        <v>0.32828703703703704</v>
      </c>
      <c r="D681" s="32" t="s">
        <v>722</v>
      </c>
      <c r="E681" s="32" t="s">
        <v>709</v>
      </c>
      <c r="F681" s="26" t="s">
        <v>1427</v>
      </c>
      <c r="G681" s="22">
        <v>-116.5</v>
      </c>
      <c r="H681" s="22"/>
      <c r="I681" s="22"/>
    </row>
    <row r="682" spans="1:9" x14ac:dyDescent="0.25">
      <c r="A682" s="54"/>
      <c r="B682" s="23">
        <v>44776</v>
      </c>
      <c r="C682" s="24">
        <v>0.33697916666666666</v>
      </c>
      <c r="D682" s="32" t="s">
        <v>722</v>
      </c>
      <c r="E682" s="32" t="s">
        <v>709</v>
      </c>
      <c r="F682" s="26" t="s">
        <v>1429</v>
      </c>
      <c r="G682" s="22">
        <v>-156.5</v>
      </c>
      <c r="H682" s="22"/>
      <c r="I682" s="22"/>
    </row>
    <row r="683" spans="1:9" x14ac:dyDescent="0.25">
      <c r="A683" s="54"/>
      <c r="B683" s="23">
        <v>44776</v>
      </c>
      <c r="C683" s="24">
        <v>0.44339120370370372</v>
      </c>
      <c r="D683" s="32" t="s">
        <v>722</v>
      </c>
      <c r="E683" s="32" t="s">
        <v>709</v>
      </c>
      <c r="F683" s="26" t="s">
        <v>1431</v>
      </c>
      <c r="G683" s="22">
        <v>-89.5</v>
      </c>
      <c r="H683" s="22"/>
      <c r="I683" s="22"/>
    </row>
    <row r="684" spans="1:9" x14ac:dyDescent="0.25">
      <c r="A684" s="54"/>
      <c r="B684" s="23">
        <v>44776</v>
      </c>
      <c r="C684" s="24">
        <v>0.48628472222222219</v>
      </c>
      <c r="D684" s="32" t="s">
        <v>722</v>
      </c>
      <c r="E684" s="32" t="s">
        <v>709</v>
      </c>
      <c r="F684" s="26" t="s">
        <v>1433</v>
      </c>
      <c r="G684" s="22">
        <v>-356.5</v>
      </c>
      <c r="H684" s="22"/>
      <c r="I684" s="22"/>
    </row>
    <row r="685" spans="1:9" x14ac:dyDescent="0.25">
      <c r="A685" s="54"/>
      <c r="B685" s="23">
        <v>44776</v>
      </c>
      <c r="C685" s="24">
        <v>0.49428240740740742</v>
      </c>
      <c r="D685" s="32" t="s">
        <v>722</v>
      </c>
      <c r="E685" s="32" t="s">
        <v>709</v>
      </c>
      <c r="F685" s="26" t="s">
        <v>1435</v>
      </c>
      <c r="G685" s="22">
        <v>-159.5</v>
      </c>
      <c r="H685" s="22"/>
      <c r="I685" s="22"/>
    </row>
    <row r="686" spans="1:9" x14ac:dyDescent="0.25">
      <c r="A686" s="54"/>
      <c r="B686" s="23">
        <v>44776</v>
      </c>
      <c r="C686" s="24">
        <v>0.61076388888888888</v>
      </c>
      <c r="D686" s="32" t="s">
        <v>722</v>
      </c>
      <c r="E686" s="32" t="s">
        <v>709</v>
      </c>
      <c r="F686" s="26" t="s">
        <v>1437</v>
      </c>
      <c r="G686" s="22">
        <v>-105.5</v>
      </c>
      <c r="H686" s="22"/>
      <c r="I686" s="22"/>
    </row>
    <row r="687" spans="1:9" x14ac:dyDescent="0.25">
      <c r="A687" s="54"/>
      <c r="B687" s="23">
        <v>44776</v>
      </c>
      <c r="C687" s="24">
        <v>0.62752314814814814</v>
      </c>
      <c r="D687" s="32" t="s">
        <v>722</v>
      </c>
      <c r="E687" s="32" t="s">
        <v>709</v>
      </c>
      <c r="F687" s="26" t="s">
        <v>1439</v>
      </c>
      <c r="G687" s="22">
        <v>-161.5</v>
      </c>
      <c r="H687" s="22"/>
      <c r="I687" s="22"/>
    </row>
    <row r="688" spans="1:9" x14ac:dyDescent="0.25">
      <c r="A688" s="54"/>
      <c r="B688" s="23">
        <v>44776</v>
      </c>
      <c r="C688" s="24">
        <v>0.6413078703703704</v>
      </c>
      <c r="D688" s="32" t="s">
        <v>722</v>
      </c>
      <c r="E688" s="32" t="s">
        <v>709</v>
      </c>
      <c r="F688" s="26" t="s">
        <v>1440</v>
      </c>
      <c r="G688" s="22">
        <v>-113.5</v>
      </c>
      <c r="H688" s="22"/>
      <c r="I688" s="22"/>
    </row>
    <row r="689" spans="1:9" x14ac:dyDescent="0.25">
      <c r="A689" s="54"/>
      <c r="B689" s="23">
        <v>44776</v>
      </c>
      <c r="C689" s="24">
        <v>0.77049768518518524</v>
      </c>
      <c r="D689" s="32" t="s">
        <v>722</v>
      </c>
      <c r="E689" s="32" t="s">
        <v>709</v>
      </c>
      <c r="F689" s="26" t="s">
        <v>1441</v>
      </c>
      <c r="G689" s="22">
        <v>-1194.5</v>
      </c>
      <c r="H689" s="22"/>
      <c r="I689" s="22"/>
    </row>
    <row r="690" spans="1:9" x14ac:dyDescent="0.25">
      <c r="A690" s="54"/>
      <c r="B690" s="23">
        <v>44777</v>
      </c>
      <c r="C690" s="24">
        <v>0.41541666666666671</v>
      </c>
      <c r="D690" s="32" t="s">
        <v>736</v>
      </c>
      <c r="E690" s="32" t="s">
        <v>709</v>
      </c>
      <c r="F690" s="26" t="s">
        <v>1227</v>
      </c>
      <c r="G690" s="22">
        <v>-116.5</v>
      </c>
      <c r="H690" s="22"/>
      <c r="I690" s="22"/>
    </row>
    <row r="691" spans="1:9" x14ac:dyDescent="0.25">
      <c r="A691" s="54"/>
      <c r="B691" s="23">
        <v>44777</v>
      </c>
      <c r="C691" s="24">
        <v>0.55828703703703708</v>
      </c>
      <c r="D691" s="32" t="s">
        <v>736</v>
      </c>
      <c r="E691" s="32" t="s">
        <v>709</v>
      </c>
      <c r="F691" s="26" t="s">
        <v>1229</v>
      </c>
      <c r="G691" s="22">
        <v>-181.5</v>
      </c>
      <c r="H691" s="22"/>
      <c r="I691" s="22"/>
    </row>
    <row r="692" spans="1:9" x14ac:dyDescent="0.25">
      <c r="A692" s="54"/>
      <c r="B692" s="23">
        <v>44777</v>
      </c>
      <c r="C692" s="24">
        <v>0.75162037037037033</v>
      </c>
      <c r="D692" s="32" t="s">
        <v>722</v>
      </c>
      <c r="E692" s="32" t="s">
        <v>709</v>
      </c>
      <c r="F692" s="26" t="s">
        <v>1231</v>
      </c>
      <c r="G692" s="22">
        <v>-53.5</v>
      </c>
      <c r="H692" s="22"/>
      <c r="I692" s="22"/>
    </row>
    <row r="693" spans="1:9" x14ac:dyDescent="0.25">
      <c r="A693" s="54"/>
      <c r="B693" s="23">
        <v>44777</v>
      </c>
      <c r="C693" s="24">
        <v>0.81510416666666663</v>
      </c>
      <c r="D693" s="32" t="s">
        <v>722</v>
      </c>
      <c r="E693" s="32" t="s">
        <v>709</v>
      </c>
      <c r="F693" s="26" t="s">
        <v>1233</v>
      </c>
      <c r="G693" s="22">
        <v>-79.5</v>
      </c>
      <c r="H693" s="22"/>
      <c r="I693" s="22"/>
    </row>
    <row r="694" spans="1:9" x14ac:dyDescent="0.25">
      <c r="A694" s="54"/>
      <c r="B694" s="23">
        <v>44777</v>
      </c>
      <c r="C694" s="24">
        <v>0.87290509259259252</v>
      </c>
      <c r="D694" s="32" t="s">
        <v>722</v>
      </c>
      <c r="E694" s="32" t="s">
        <v>709</v>
      </c>
      <c r="F694" s="26" t="s">
        <v>1235</v>
      </c>
      <c r="G694" s="22">
        <v>-2209.5</v>
      </c>
      <c r="H694" s="22"/>
      <c r="I694" s="22"/>
    </row>
    <row r="695" spans="1:9" x14ac:dyDescent="0.25">
      <c r="A695" s="54"/>
      <c r="B695" s="23">
        <v>44778</v>
      </c>
      <c r="C695" s="24">
        <v>0.35172453703703704</v>
      </c>
      <c r="D695" s="32" t="s">
        <v>736</v>
      </c>
      <c r="E695" s="32" t="s">
        <v>709</v>
      </c>
      <c r="F695" s="26" t="s">
        <v>3412</v>
      </c>
      <c r="G695" s="22">
        <v>-259.5</v>
      </c>
      <c r="H695" s="22"/>
      <c r="I695" s="22"/>
    </row>
    <row r="696" spans="1:9" x14ac:dyDescent="0.25">
      <c r="A696" s="54"/>
      <c r="B696" s="23">
        <v>44778</v>
      </c>
      <c r="C696" s="24">
        <v>0.35748842592592589</v>
      </c>
      <c r="D696" s="32" t="s">
        <v>736</v>
      </c>
      <c r="E696" s="32" t="s">
        <v>709</v>
      </c>
      <c r="F696" s="26" t="s">
        <v>3414</v>
      </c>
      <c r="G696" s="22">
        <v>-742.5</v>
      </c>
      <c r="H696" s="22"/>
      <c r="I696" s="22"/>
    </row>
    <row r="697" spans="1:9" x14ac:dyDescent="0.25">
      <c r="A697" s="54"/>
      <c r="B697" s="45">
        <v>44778</v>
      </c>
      <c r="C697" s="46">
        <v>0.36363425925925924</v>
      </c>
      <c r="D697" s="51" t="s">
        <v>736</v>
      </c>
      <c r="E697" s="51" t="s">
        <v>709</v>
      </c>
      <c r="F697" s="48" t="s">
        <v>3417</v>
      </c>
      <c r="G697" s="47">
        <v>-113.5</v>
      </c>
      <c r="H697" s="22"/>
      <c r="I697" s="22"/>
    </row>
    <row r="698" spans="1:9" x14ac:dyDescent="0.25">
      <c r="A698" s="54"/>
      <c r="B698" s="58" t="s">
        <v>3416</v>
      </c>
      <c r="C698" s="58"/>
      <c r="D698" s="58"/>
      <c r="E698" s="58"/>
      <c r="F698" s="58"/>
      <c r="G698" s="47"/>
      <c r="H698" s="22"/>
      <c r="I698" s="22"/>
    </row>
    <row r="699" spans="1:9" x14ac:dyDescent="0.25">
      <c r="A699" s="54"/>
      <c r="B699" s="23">
        <v>44778</v>
      </c>
      <c r="C699" s="24">
        <v>0.38964120370370375</v>
      </c>
      <c r="D699" s="32" t="s">
        <v>736</v>
      </c>
      <c r="E699" s="32" t="s">
        <v>709</v>
      </c>
      <c r="F699" s="26" t="s">
        <v>3419</v>
      </c>
      <c r="G699" s="22">
        <v>-295.5</v>
      </c>
      <c r="H699" s="22"/>
      <c r="I699" s="22"/>
    </row>
    <row r="700" spans="1:9" x14ac:dyDescent="0.25">
      <c r="A700" s="54"/>
      <c r="B700" s="23">
        <v>44778</v>
      </c>
      <c r="C700" s="24">
        <v>0.39644675925925926</v>
      </c>
      <c r="D700" s="32" t="s">
        <v>736</v>
      </c>
      <c r="E700" s="32" t="s">
        <v>709</v>
      </c>
      <c r="F700" s="26" t="s">
        <v>3421</v>
      </c>
      <c r="G700" s="22">
        <v>-69.5</v>
      </c>
      <c r="H700" s="22"/>
      <c r="I700" s="22"/>
    </row>
    <row r="701" spans="1:9" x14ac:dyDescent="0.25">
      <c r="A701" s="54"/>
      <c r="B701" s="23">
        <v>44778</v>
      </c>
      <c r="C701" s="24">
        <v>0.40827546296296297</v>
      </c>
      <c r="D701" s="32" t="s">
        <v>736</v>
      </c>
      <c r="E701" s="32" t="s">
        <v>709</v>
      </c>
      <c r="F701" s="26" t="s">
        <v>3423</v>
      </c>
      <c r="G701" s="22">
        <v>-303.5</v>
      </c>
      <c r="H701" s="22"/>
      <c r="I701" s="22"/>
    </row>
    <row r="702" spans="1:9" x14ac:dyDescent="0.25">
      <c r="A702" s="54"/>
      <c r="B702" s="23">
        <v>44778</v>
      </c>
      <c r="C702" s="24">
        <v>0.52371527777777771</v>
      </c>
      <c r="D702" s="32" t="s">
        <v>736</v>
      </c>
      <c r="E702" s="32" t="s">
        <v>709</v>
      </c>
      <c r="F702" s="26" t="s">
        <v>3425</v>
      </c>
      <c r="G702" s="22">
        <v>-2084.5</v>
      </c>
      <c r="H702" s="22"/>
      <c r="I702" s="22"/>
    </row>
    <row r="703" spans="1:9" x14ac:dyDescent="0.25">
      <c r="A703" s="54"/>
      <c r="B703" s="27">
        <v>44778</v>
      </c>
      <c r="C703" s="28">
        <v>0.56351851851851853</v>
      </c>
      <c r="D703" s="33" t="s">
        <v>736</v>
      </c>
      <c r="E703" s="33" t="s">
        <v>709</v>
      </c>
      <c r="F703" s="30" t="s">
        <v>3516</v>
      </c>
      <c r="G703" s="29">
        <v>-150.5</v>
      </c>
      <c r="H703" s="22"/>
      <c r="I703" s="22"/>
    </row>
    <row r="704" spans="1:9" x14ac:dyDescent="0.25">
      <c r="A704" s="54"/>
      <c r="B704" s="23">
        <v>44778</v>
      </c>
      <c r="C704" s="24">
        <v>0.59642361111111108</v>
      </c>
      <c r="D704" s="32" t="s">
        <v>736</v>
      </c>
      <c r="E704" s="32" t="s">
        <v>709</v>
      </c>
      <c r="F704" s="26" t="s">
        <v>3427</v>
      </c>
      <c r="G704" s="22">
        <v>-99.5</v>
      </c>
      <c r="H704" s="22"/>
      <c r="I704" s="22"/>
    </row>
    <row r="705" spans="1:9" x14ac:dyDescent="0.25">
      <c r="A705" s="54"/>
      <c r="B705" s="23">
        <v>44778</v>
      </c>
      <c r="C705" s="24">
        <v>0.66519675925925925</v>
      </c>
      <c r="D705" s="32" t="s">
        <v>715</v>
      </c>
      <c r="E705" s="32" t="s">
        <v>709</v>
      </c>
      <c r="F705" s="26" t="s">
        <v>3428</v>
      </c>
      <c r="G705" s="22">
        <v>-100.5</v>
      </c>
      <c r="H705" s="22"/>
      <c r="I705" s="22"/>
    </row>
    <row r="706" spans="1:9" x14ac:dyDescent="0.25">
      <c r="A706" s="54"/>
      <c r="B706" s="23">
        <v>44778</v>
      </c>
      <c r="C706" s="24">
        <v>0.67907407407407405</v>
      </c>
      <c r="D706" s="32" t="s">
        <v>715</v>
      </c>
      <c r="E706" s="32" t="s">
        <v>709</v>
      </c>
      <c r="F706" s="26" t="s">
        <v>3430</v>
      </c>
      <c r="G706" s="22">
        <v>-523.5</v>
      </c>
      <c r="H706" s="22"/>
      <c r="I706" s="22"/>
    </row>
    <row r="707" spans="1:9" x14ac:dyDescent="0.25">
      <c r="A707" s="54"/>
      <c r="B707" s="27">
        <v>44778</v>
      </c>
      <c r="C707" s="28">
        <v>0.78908564814814808</v>
      </c>
      <c r="D707" s="33" t="s">
        <v>722</v>
      </c>
      <c r="E707" s="33" t="s">
        <v>709</v>
      </c>
      <c r="F707" s="30" t="s">
        <v>3518</v>
      </c>
      <c r="G707" s="29">
        <v>-194.5</v>
      </c>
      <c r="H707" s="22"/>
      <c r="I707" s="22"/>
    </row>
    <row r="708" spans="1:9" x14ac:dyDescent="0.25">
      <c r="A708" s="54"/>
      <c r="B708" s="56"/>
      <c r="C708" s="56"/>
      <c r="D708" s="56"/>
      <c r="E708" s="56"/>
      <c r="F708" s="56"/>
      <c r="G708" s="31">
        <f>SUM(G673:G707)</f>
        <v>-11367</v>
      </c>
      <c r="H708" s="25">
        <f>34*4.94</f>
        <v>167.96</v>
      </c>
      <c r="I708" s="31">
        <f>G708+H708</f>
        <v>-11199.04</v>
      </c>
    </row>
    <row r="709" spans="1:9" x14ac:dyDescent="0.25">
      <c r="A709" s="54" t="s">
        <v>833</v>
      </c>
      <c r="B709" s="53" t="s">
        <v>1273</v>
      </c>
      <c r="C709" s="55"/>
      <c r="D709" s="55"/>
      <c r="E709" s="55"/>
      <c r="F709" s="55"/>
      <c r="G709" s="25"/>
      <c r="H709" s="22"/>
      <c r="I709" s="22"/>
    </row>
    <row r="710" spans="1:9" x14ac:dyDescent="0.25">
      <c r="A710" s="54"/>
      <c r="B710" s="37">
        <v>44774</v>
      </c>
      <c r="C710" s="38">
        <v>0.71597222222222223</v>
      </c>
      <c r="D710" s="49" t="s">
        <v>737</v>
      </c>
      <c r="E710" s="49" t="s">
        <v>705</v>
      </c>
      <c r="F710" s="40" t="s">
        <v>1267</v>
      </c>
      <c r="G710" s="39">
        <v>-100</v>
      </c>
      <c r="H710" s="22"/>
      <c r="I710" s="22"/>
    </row>
    <row r="711" spans="1:9" x14ac:dyDescent="0.25">
      <c r="A711" s="54"/>
      <c r="B711" s="37">
        <v>44777</v>
      </c>
      <c r="C711" s="38">
        <v>6.2696759259259258E-2</v>
      </c>
      <c r="D711" s="49" t="s">
        <v>906</v>
      </c>
      <c r="E711" s="49" t="s">
        <v>705</v>
      </c>
      <c r="F711" s="40" t="s">
        <v>1267</v>
      </c>
      <c r="G711" s="39">
        <v>-100</v>
      </c>
      <c r="H711" s="22"/>
      <c r="I711" s="22"/>
    </row>
    <row r="712" spans="1:9" x14ac:dyDescent="0.25">
      <c r="A712" s="54"/>
      <c r="B712" s="37">
        <v>44778</v>
      </c>
      <c r="C712" s="38">
        <v>5.9907407407407409E-2</v>
      </c>
      <c r="D712" s="49" t="s">
        <v>906</v>
      </c>
      <c r="E712" s="49" t="s">
        <v>705</v>
      </c>
      <c r="F712" s="40" t="s">
        <v>1267</v>
      </c>
      <c r="G712" s="39">
        <v>-200</v>
      </c>
      <c r="H712" s="22"/>
      <c r="I712" s="22"/>
    </row>
    <row r="713" spans="1:9" x14ac:dyDescent="0.25">
      <c r="A713" s="54"/>
      <c r="B713" s="37">
        <v>44779</v>
      </c>
      <c r="C713" s="38">
        <v>0.83194444444444438</v>
      </c>
      <c r="D713" s="49" t="s">
        <v>906</v>
      </c>
      <c r="E713" s="49" t="s">
        <v>705</v>
      </c>
      <c r="F713" s="40" t="s">
        <v>1267</v>
      </c>
      <c r="G713" s="39">
        <v>-200</v>
      </c>
      <c r="H713" s="22"/>
      <c r="I713" s="22"/>
    </row>
    <row r="714" spans="1:9" x14ac:dyDescent="0.25">
      <c r="A714" s="54"/>
      <c r="B714" s="56"/>
      <c r="C714" s="56"/>
      <c r="D714" s="56"/>
      <c r="E714" s="56"/>
      <c r="F714" s="56"/>
      <c r="G714" s="31">
        <f>SUM(G710:G713)</f>
        <v>-600</v>
      </c>
      <c r="H714" s="25">
        <f>4*4.94</f>
        <v>19.760000000000002</v>
      </c>
      <c r="I714" s="31">
        <f>G714+H714</f>
        <v>-580.24</v>
      </c>
    </row>
    <row r="715" spans="1:9" x14ac:dyDescent="0.25">
      <c r="A715" s="54" t="s">
        <v>833</v>
      </c>
      <c r="B715" s="53" t="s">
        <v>1462</v>
      </c>
      <c r="C715" s="55"/>
      <c r="D715" s="55"/>
      <c r="E715" s="55"/>
      <c r="F715" s="55"/>
      <c r="G715" s="25"/>
      <c r="H715" s="22"/>
      <c r="I715" s="22"/>
    </row>
    <row r="716" spans="1:9" x14ac:dyDescent="0.25">
      <c r="A716" s="54"/>
      <c r="B716" s="23">
        <v>44774</v>
      </c>
      <c r="C716" s="24">
        <v>0.3404861111111111</v>
      </c>
      <c r="D716" s="32" t="s">
        <v>738</v>
      </c>
      <c r="E716" s="32" t="s">
        <v>709</v>
      </c>
      <c r="F716" s="26" t="s">
        <v>1603</v>
      </c>
      <c r="G716" s="22">
        <v>-72.5</v>
      </c>
      <c r="H716" s="22"/>
      <c r="I716" s="22"/>
    </row>
    <row r="717" spans="1:9" x14ac:dyDescent="0.25">
      <c r="A717" s="54"/>
      <c r="B717" s="23">
        <v>44774</v>
      </c>
      <c r="C717" s="24">
        <v>0.75288194444444445</v>
      </c>
      <c r="D717" s="32" t="s">
        <v>738</v>
      </c>
      <c r="E717" s="32" t="s">
        <v>709</v>
      </c>
      <c r="F717" s="26" t="s">
        <v>1605</v>
      </c>
      <c r="G717" s="22">
        <v>-440.5</v>
      </c>
      <c r="H717" s="22"/>
      <c r="I717" s="22"/>
    </row>
    <row r="718" spans="1:9" x14ac:dyDescent="0.25">
      <c r="A718" s="54"/>
      <c r="B718" s="23">
        <v>44776</v>
      </c>
      <c r="C718" s="24">
        <v>0.54814814814814816</v>
      </c>
      <c r="D718" s="32" t="s">
        <v>738</v>
      </c>
      <c r="E718" s="32" t="s">
        <v>709</v>
      </c>
      <c r="F718" s="26" t="s">
        <v>1443</v>
      </c>
      <c r="G718" s="22">
        <v>-180.5</v>
      </c>
      <c r="H718" s="22"/>
      <c r="I718" s="22"/>
    </row>
    <row r="719" spans="1:9" x14ac:dyDescent="0.25">
      <c r="A719" s="54"/>
      <c r="B719" s="23">
        <v>44776</v>
      </c>
      <c r="C719" s="24">
        <v>0.61615740740740743</v>
      </c>
      <c r="D719" s="32" t="s">
        <v>738</v>
      </c>
      <c r="E719" s="32" t="s">
        <v>709</v>
      </c>
      <c r="F719" s="26" t="s">
        <v>1445</v>
      </c>
      <c r="G719" s="22">
        <v>-74.5</v>
      </c>
      <c r="H719" s="22"/>
      <c r="I719" s="22"/>
    </row>
    <row r="720" spans="1:9" x14ac:dyDescent="0.25">
      <c r="A720" s="54"/>
      <c r="B720" s="23">
        <v>44776</v>
      </c>
      <c r="C720" s="24">
        <v>0.79880787037037038</v>
      </c>
      <c r="D720" s="32" t="s">
        <v>739</v>
      </c>
      <c r="E720" s="32" t="s">
        <v>709</v>
      </c>
      <c r="F720" s="26" t="s">
        <v>1447</v>
      </c>
      <c r="G720" s="22">
        <v>-177.5</v>
      </c>
      <c r="H720" s="22"/>
      <c r="I720" s="22"/>
    </row>
    <row r="721" spans="1:9" x14ac:dyDescent="0.25">
      <c r="A721" s="54"/>
      <c r="B721" s="23">
        <v>44776</v>
      </c>
      <c r="C721" s="24">
        <v>0.79999999999999993</v>
      </c>
      <c r="D721" s="32" t="s">
        <v>739</v>
      </c>
      <c r="E721" s="32" t="s">
        <v>709</v>
      </c>
      <c r="F721" s="26" t="s">
        <v>1448</v>
      </c>
      <c r="G721" s="22">
        <v>-44.5</v>
      </c>
      <c r="H721" s="22"/>
      <c r="I721" s="22"/>
    </row>
    <row r="722" spans="1:9" x14ac:dyDescent="0.25">
      <c r="A722" s="54"/>
      <c r="B722" s="23">
        <v>44778</v>
      </c>
      <c r="C722" s="24">
        <v>0.32209490740740737</v>
      </c>
      <c r="D722" s="32" t="s">
        <v>738</v>
      </c>
      <c r="E722" s="32" t="s">
        <v>709</v>
      </c>
      <c r="F722" s="26" t="s">
        <v>3432</v>
      </c>
      <c r="G722" s="22">
        <v>-44.5</v>
      </c>
      <c r="H722" s="22"/>
      <c r="I722" s="22"/>
    </row>
    <row r="723" spans="1:9" x14ac:dyDescent="0.25">
      <c r="A723" s="54"/>
      <c r="B723" s="23">
        <v>44778</v>
      </c>
      <c r="C723" s="24">
        <v>0.37874999999999998</v>
      </c>
      <c r="D723" s="32" t="s">
        <v>738</v>
      </c>
      <c r="E723" s="32" t="s">
        <v>709</v>
      </c>
      <c r="F723" s="26" t="s">
        <v>3434</v>
      </c>
      <c r="G723" s="22">
        <v>-188.5</v>
      </c>
      <c r="H723" s="22"/>
      <c r="I723" s="22"/>
    </row>
    <row r="724" spans="1:9" x14ac:dyDescent="0.25">
      <c r="A724" s="54"/>
      <c r="B724" s="23">
        <v>44778</v>
      </c>
      <c r="C724" s="24">
        <v>0.38309027777777777</v>
      </c>
      <c r="D724" s="32" t="s">
        <v>738</v>
      </c>
      <c r="E724" s="32" t="s">
        <v>709</v>
      </c>
      <c r="F724" s="26" t="s">
        <v>3436</v>
      </c>
      <c r="G724" s="22">
        <v>-109.5</v>
      </c>
      <c r="H724" s="22"/>
      <c r="I724" s="22"/>
    </row>
    <row r="725" spans="1:9" x14ac:dyDescent="0.25">
      <c r="A725" s="54"/>
      <c r="B725" s="45">
        <v>44778</v>
      </c>
      <c r="C725" s="46">
        <v>0.47332175925925929</v>
      </c>
      <c r="D725" s="51" t="s">
        <v>738</v>
      </c>
      <c r="E725" s="51" t="s">
        <v>709</v>
      </c>
      <c r="F725" s="48" t="s">
        <v>3439</v>
      </c>
      <c r="G725" s="47">
        <v>-83.5</v>
      </c>
      <c r="H725" s="22"/>
      <c r="I725" s="22"/>
    </row>
    <row r="726" spans="1:9" x14ac:dyDescent="0.25">
      <c r="A726" s="54"/>
      <c r="B726" s="58" t="s">
        <v>3438</v>
      </c>
      <c r="C726" s="58"/>
      <c r="D726" s="58"/>
      <c r="E726" s="58"/>
      <c r="F726" s="58"/>
      <c r="G726" s="47"/>
      <c r="H726" s="22"/>
      <c r="I726" s="22"/>
    </row>
    <row r="727" spans="1:9" x14ac:dyDescent="0.25">
      <c r="A727" s="54"/>
      <c r="B727" s="23">
        <v>44778</v>
      </c>
      <c r="C727" s="24">
        <v>0.48586805555555551</v>
      </c>
      <c r="D727" s="32" t="s">
        <v>738</v>
      </c>
      <c r="E727" s="32" t="s">
        <v>709</v>
      </c>
      <c r="F727" s="26" t="s">
        <v>3441</v>
      </c>
      <c r="G727" s="22">
        <v>-169.5</v>
      </c>
      <c r="H727" s="22"/>
      <c r="I727" s="22"/>
    </row>
    <row r="728" spans="1:9" x14ac:dyDescent="0.25">
      <c r="A728" s="54"/>
      <c r="B728" s="23">
        <v>44778</v>
      </c>
      <c r="C728" s="24">
        <v>0.72840277777777773</v>
      </c>
      <c r="D728" s="32" t="s">
        <v>738</v>
      </c>
      <c r="E728" s="32" t="s">
        <v>709</v>
      </c>
      <c r="F728" s="26" t="s">
        <v>3443</v>
      </c>
      <c r="G728" s="22">
        <v>-186.5</v>
      </c>
      <c r="H728" s="22"/>
      <c r="I728" s="22"/>
    </row>
    <row r="729" spans="1:9" x14ac:dyDescent="0.25">
      <c r="A729" s="54"/>
      <c r="B729" s="56"/>
      <c r="C729" s="56"/>
      <c r="D729" s="56"/>
      <c r="E729" s="56"/>
      <c r="F729" s="56"/>
      <c r="G729" s="31">
        <f>SUM(G716:G728)</f>
        <v>-1772</v>
      </c>
      <c r="H729" s="25">
        <f>12*4.94</f>
        <v>59.28</v>
      </c>
      <c r="I729" s="31">
        <f>G729+H729</f>
        <v>-1712.72</v>
      </c>
    </row>
    <row r="730" spans="1:9" x14ac:dyDescent="0.25">
      <c r="A730" s="54" t="s">
        <v>833</v>
      </c>
      <c r="B730" s="53" t="s">
        <v>3525</v>
      </c>
      <c r="C730" s="55"/>
      <c r="D730" s="55"/>
      <c r="E730" s="55"/>
      <c r="F730" s="55"/>
      <c r="G730" s="25"/>
      <c r="H730" s="22"/>
      <c r="I730" s="22"/>
    </row>
    <row r="731" spans="1:9" x14ac:dyDescent="0.25">
      <c r="A731" s="54"/>
      <c r="B731" s="23">
        <v>44778</v>
      </c>
      <c r="C731" s="24">
        <v>0.33533564814814815</v>
      </c>
      <c r="D731" s="32" t="s">
        <v>1636</v>
      </c>
      <c r="E731" s="32" t="s">
        <v>709</v>
      </c>
      <c r="F731" s="26" t="s">
        <v>3445</v>
      </c>
      <c r="G731" s="22">
        <v>-73.5</v>
      </c>
      <c r="H731" s="22"/>
      <c r="I731" s="22"/>
    </row>
    <row r="732" spans="1:9" x14ac:dyDescent="0.25">
      <c r="A732" s="54"/>
      <c r="B732" s="23">
        <v>44778</v>
      </c>
      <c r="C732" s="24">
        <v>0.33653935185185185</v>
      </c>
      <c r="D732" s="32" t="s">
        <v>1636</v>
      </c>
      <c r="E732" s="32" t="s">
        <v>709</v>
      </c>
      <c r="F732" s="26" t="s">
        <v>3447</v>
      </c>
      <c r="G732" s="22">
        <v>-45.5</v>
      </c>
      <c r="H732" s="22"/>
      <c r="I732" s="22"/>
    </row>
    <row r="733" spans="1:9" x14ac:dyDescent="0.25">
      <c r="A733" s="54"/>
      <c r="B733" s="41">
        <v>44779</v>
      </c>
      <c r="C733" s="42">
        <v>0.59355324074074078</v>
      </c>
      <c r="D733" s="50" t="s">
        <v>740</v>
      </c>
      <c r="E733" s="50" t="s">
        <v>709</v>
      </c>
      <c r="F733" s="44" t="s">
        <v>3523</v>
      </c>
      <c r="G733" s="44" t="s">
        <v>3530</v>
      </c>
      <c r="H733" s="22"/>
      <c r="I733" s="22"/>
    </row>
    <row r="734" spans="1:9" x14ac:dyDescent="0.25">
      <c r="A734" s="54"/>
      <c r="B734" s="57" t="s">
        <v>1459</v>
      </c>
      <c r="C734" s="57"/>
      <c r="D734" s="57"/>
      <c r="E734" s="57"/>
      <c r="F734" s="57"/>
      <c r="G734" s="44"/>
      <c r="H734" s="22"/>
      <c r="I734" s="22"/>
    </row>
    <row r="735" spans="1:9" x14ac:dyDescent="0.25">
      <c r="A735" s="54"/>
      <c r="B735" s="56"/>
      <c r="C735" s="56"/>
      <c r="D735" s="56"/>
      <c r="E735" s="56"/>
      <c r="F735" s="56"/>
      <c r="G735" s="31">
        <f>SUM(G731:G733)</f>
        <v>-119</v>
      </c>
      <c r="H735" s="25">
        <f>3*4.94</f>
        <v>14.82</v>
      </c>
      <c r="I735" s="31">
        <f>G735+H735</f>
        <v>-104.18</v>
      </c>
    </row>
    <row r="736" spans="1:9" x14ac:dyDescent="0.25">
      <c r="A736" s="54" t="s">
        <v>833</v>
      </c>
      <c r="B736" s="53" t="s">
        <v>1274</v>
      </c>
      <c r="C736" s="55"/>
      <c r="D736" s="55"/>
      <c r="E736" s="55"/>
      <c r="F736" s="55"/>
      <c r="G736" s="25"/>
      <c r="H736" s="22"/>
      <c r="I736" s="22"/>
    </row>
    <row r="737" spans="1:9" x14ac:dyDescent="0.25">
      <c r="A737" s="54"/>
      <c r="B737" s="23">
        <v>44776</v>
      </c>
      <c r="C737" s="24">
        <v>0.82693287037037033</v>
      </c>
      <c r="D737" s="32" t="s">
        <v>722</v>
      </c>
      <c r="E737" s="32" t="s">
        <v>709</v>
      </c>
      <c r="F737" s="26" t="s">
        <v>1449</v>
      </c>
      <c r="G737" s="22">
        <v>-97.5</v>
      </c>
      <c r="H737" s="22"/>
      <c r="I737" s="22"/>
    </row>
    <row r="738" spans="1:9" x14ac:dyDescent="0.25">
      <c r="A738" s="54"/>
      <c r="B738" s="23">
        <v>44777</v>
      </c>
      <c r="C738" s="24">
        <v>0.52841435185185182</v>
      </c>
      <c r="D738" s="32" t="s">
        <v>741</v>
      </c>
      <c r="E738" s="32" t="s">
        <v>709</v>
      </c>
      <c r="F738" s="26" t="s">
        <v>1237</v>
      </c>
      <c r="G738" s="22">
        <v>-234.5</v>
      </c>
      <c r="H738" s="22"/>
      <c r="I738" s="22"/>
    </row>
    <row r="739" spans="1:9" x14ac:dyDescent="0.25">
      <c r="A739" s="54"/>
      <c r="B739" s="23">
        <v>44777</v>
      </c>
      <c r="C739" s="24">
        <v>0.9225578703703704</v>
      </c>
      <c r="D739" s="32" t="s">
        <v>722</v>
      </c>
      <c r="E739" s="32" t="s">
        <v>709</v>
      </c>
      <c r="F739" s="26" t="s">
        <v>1239</v>
      </c>
      <c r="G739" s="22">
        <v>-98.5</v>
      </c>
      <c r="H739" s="22"/>
      <c r="I739" s="22"/>
    </row>
    <row r="740" spans="1:9" x14ac:dyDescent="0.25">
      <c r="A740" s="54"/>
      <c r="B740" s="23">
        <v>44778</v>
      </c>
      <c r="C740" s="24">
        <v>4.7164351851851853E-2</v>
      </c>
      <c r="D740" s="32" t="s">
        <v>722</v>
      </c>
      <c r="E740" s="32" t="s">
        <v>709</v>
      </c>
      <c r="F740" s="26" t="s">
        <v>3449</v>
      </c>
      <c r="G740" s="22">
        <v>-188.5</v>
      </c>
      <c r="H740" s="22"/>
      <c r="I740" s="22"/>
    </row>
    <row r="741" spans="1:9" x14ac:dyDescent="0.25">
      <c r="A741" s="54"/>
      <c r="B741" s="45">
        <v>44778</v>
      </c>
      <c r="C741" s="46">
        <v>0.26090277777777776</v>
      </c>
      <c r="D741" s="51" t="s">
        <v>722</v>
      </c>
      <c r="E741" s="51" t="s">
        <v>1632</v>
      </c>
      <c r="F741" s="48" t="s">
        <v>3494</v>
      </c>
      <c r="G741" s="47">
        <v>0</v>
      </c>
      <c r="H741" s="22"/>
      <c r="I741" s="22"/>
    </row>
    <row r="742" spans="1:9" x14ac:dyDescent="0.25">
      <c r="A742" s="54"/>
      <c r="B742" s="58" t="s">
        <v>3493</v>
      </c>
      <c r="C742" s="58"/>
      <c r="D742" s="58"/>
      <c r="E742" s="58"/>
      <c r="F742" s="58"/>
      <c r="G742" s="47"/>
      <c r="H742" s="22"/>
      <c r="I742" s="22"/>
    </row>
    <row r="743" spans="1:9" x14ac:dyDescent="0.25">
      <c r="A743" s="54"/>
      <c r="B743" s="23">
        <v>44778</v>
      </c>
      <c r="C743" s="24">
        <v>0.34622685185185187</v>
      </c>
      <c r="D743" s="32" t="s">
        <v>741</v>
      </c>
      <c r="E743" s="32" t="s">
        <v>709</v>
      </c>
      <c r="F743" s="26" t="s">
        <v>3451</v>
      </c>
      <c r="G743" s="22">
        <v>-195.5</v>
      </c>
      <c r="H743" s="22"/>
      <c r="I743" s="22"/>
    </row>
    <row r="744" spans="1:9" x14ac:dyDescent="0.25">
      <c r="A744" s="54"/>
      <c r="B744" s="23">
        <v>44778</v>
      </c>
      <c r="C744" s="24">
        <v>0.36965277777777777</v>
      </c>
      <c r="D744" s="32" t="s">
        <v>741</v>
      </c>
      <c r="E744" s="32" t="s">
        <v>709</v>
      </c>
      <c r="F744" s="26" t="s">
        <v>3453</v>
      </c>
      <c r="G744" s="22">
        <v>-134.5</v>
      </c>
      <c r="H744" s="22"/>
      <c r="I744" s="22"/>
    </row>
    <row r="745" spans="1:9" x14ac:dyDescent="0.25">
      <c r="A745" s="54"/>
      <c r="B745" s="23">
        <v>44778</v>
      </c>
      <c r="C745" s="24">
        <v>0.37387731481481484</v>
      </c>
      <c r="D745" s="32" t="s">
        <v>741</v>
      </c>
      <c r="E745" s="32" t="s">
        <v>709</v>
      </c>
      <c r="F745" s="26" t="s">
        <v>3455</v>
      </c>
      <c r="G745" s="22">
        <v>-135.5</v>
      </c>
      <c r="H745" s="22"/>
      <c r="I745" s="22"/>
    </row>
    <row r="746" spans="1:9" x14ac:dyDescent="0.25">
      <c r="A746" s="54"/>
      <c r="B746" s="23">
        <v>44778</v>
      </c>
      <c r="C746" s="24">
        <v>0.38853009259259258</v>
      </c>
      <c r="D746" s="32" t="s">
        <v>741</v>
      </c>
      <c r="E746" s="32" t="s">
        <v>709</v>
      </c>
      <c r="F746" s="26" t="s">
        <v>3457</v>
      </c>
      <c r="G746" s="22">
        <v>-184.5</v>
      </c>
      <c r="H746" s="22"/>
      <c r="I746" s="22"/>
    </row>
    <row r="747" spans="1:9" x14ac:dyDescent="0.25">
      <c r="A747" s="54"/>
      <c r="B747" s="23">
        <v>44778</v>
      </c>
      <c r="C747" s="24">
        <v>0.41693287037037036</v>
      </c>
      <c r="D747" s="32" t="s">
        <v>741</v>
      </c>
      <c r="E747" s="32" t="s">
        <v>709</v>
      </c>
      <c r="F747" s="26" t="s">
        <v>3459</v>
      </c>
      <c r="G747" s="22">
        <v>-247.5</v>
      </c>
      <c r="H747" s="22"/>
      <c r="I747" s="22"/>
    </row>
    <row r="748" spans="1:9" x14ac:dyDescent="0.25">
      <c r="A748" s="54"/>
      <c r="B748" s="23">
        <v>44778</v>
      </c>
      <c r="C748" s="24">
        <v>0.50194444444444442</v>
      </c>
      <c r="D748" s="32" t="s">
        <v>741</v>
      </c>
      <c r="E748" s="32" t="s">
        <v>709</v>
      </c>
      <c r="F748" s="26" t="s">
        <v>3461</v>
      </c>
      <c r="G748" s="22">
        <v>-113.5</v>
      </c>
      <c r="H748" s="22"/>
      <c r="I748" s="22"/>
    </row>
    <row r="749" spans="1:9" x14ac:dyDescent="0.25">
      <c r="A749" s="54"/>
      <c r="B749" s="23">
        <v>44778</v>
      </c>
      <c r="C749" s="24">
        <v>0.50415509259259261</v>
      </c>
      <c r="D749" s="32" t="s">
        <v>741</v>
      </c>
      <c r="E749" s="32" t="s">
        <v>709</v>
      </c>
      <c r="F749" s="26" t="s">
        <v>3463</v>
      </c>
      <c r="G749" s="22">
        <v>-44.5</v>
      </c>
      <c r="H749" s="22"/>
      <c r="I749" s="22"/>
    </row>
    <row r="750" spans="1:9" x14ac:dyDescent="0.25">
      <c r="A750" s="54"/>
      <c r="B750" s="23">
        <v>44778</v>
      </c>
      <c r="C750" s="24">
        <v>0.80312499999999998</v>
      </c>
      <c r="D750" s="32" t="s">
        <v>741</v>
      </c>
      <c r="E750" s="32" t="s">
        <v>709</v>
      </c>
      <c r="F750" s="26" t="s">
        <v>3465</v>
      </c>
      <c r="G750" s="22">
        <v>-60.5</v>
      </c>
      <c r="H750" s="22"/>
      <c r="I750" s="22"/>
    </row>
    <row r="751" spans="1:9" x14ac:dyDescent="0.25">
      <c r="A751" s="54"/>
      <c r="B751" s="56"/>
      <c r="C751" s="56"/>
      <c r="D751" s="56"/>
      <c r="E751" s="56"/>
      <c r="F751" s="56"/>
      <c r="G751" s="31">
        <f>SUM(G737:G750)</f>
        <v>-1735</v>
      </c>
      <c r="H751" s="25">
        <f>13*4.94</f>
        <v>64.22</v>
      </c>
      <c r="I751" s="31">
        <f>G751+H751</f>
        <v>-1670.78</v>
      </c>
    </row>
    <row r="752" spans="1:9" x14ac:dyDescent="0.25">
      <c r="A752" s="54" t="s">
        <v>833</v>
      </c>
      <c r="B752" s="53" t="s">
        <v>1275</v>
      </c>
      <c r="C752" s="55"/>
      <c r="D752" s="55"/>
      <c r="E752" s="55"/>
      <c r="F752" s="55"/>
      <c r="G752" s="25"/>
      <c r="H752" s="22"/>
      <c r="I752" s="22"/>
    </row>
    <row r="753" spans="1:9" x14ac:dyDescent="0.25">
      <c r="A753" s="54"/>
      <c r="B753" s="23">
        <v>44777</v>
      </c>
      <c r="C753" s="24">
        <v>0.82807870370370373</v>
      </c>
      <c r="D753" s="32" t="s">
        <v>722</v>
      </c>
      <c r="E753" s="32" t="s">
        <v>709</v>
      </c>
      <c r="F753" s="26" t="s">
        <v>1243</v>
      </c>
      <c r="G753" s="22">
        <v>-1834.5</v>
      </c>
      <c r="H753" s="22"/>
      <c r="I753" s="22"/>
    </row>
    <row r="754" spans="1:9" x14ac:dyDescent="0.25">
      <c r="A754" s="54"/>
      <c r="B754" s="23">
        <v>44777</v>
      </c>
      <c r="C754" s="24">
        <v>0.82947916666666666</v>
      </c>
      <c r="D754" s="32" t="s">
        <v>722</v>
      </c>
      <c r="E754" s="32" t="s">
        <v>709</v>
      </c>
      <c r="F754" s="26" t="s">
        <v>1241</v>
      </c>
      <c r="G754" s="22">
        <v>-156.5</v>
      </c>
      <c r="H754" s="22"/>
      <c r="I754" s="22"/>
    </row>
    <row r="755" spans="1:9" x14ac:dyDescent="0.25">
      <c r="A755" s="54"/>
      <c r="B755" s="23">
        <v>44778</v>
      </c>
      <c r="C755" s="24">
        <v>0.26630787037037035</v>
      </c>
      <c r="D755" s="32" t="s">
        <v>1637</v>
      </c>
      <c r="E755" s="32" t="s">
        <v>709</v>
      </c>
      <c r="F755" s="26" t="s">
        <v>3467</v>
      </c>
      <c r="G755" s="22">
        <v>-128.5</v>
      </c>
      <c r="H755" s="22"/>
      <c r="I755" s="22"/>
    </row>
    <row r="756" spans="1:9" x14ac:dyDescent="0.25">
      <c r="A756" s="54"/>
      <c r="B756" s="23">
        <v>44778</v>
      </c>
      <c r="C756" s="24">
        <v>0.31035879629629631</v>
      </c>
      <c r="D756" s="32" t="s">
        <v>1637</v>
      </c>
      <c r="E756" s="32" t="s">
        <v>709</v>
      </c>
      <c r="F756" s="26" t="s">
        <v>3469</v>
      </c>
      <c r="G756" s="22">
        <v>-171.5</v>
      </c>
      <c r="H756" s="22"/>
      <c r="I756" s="22"/>
    </row>
    <row r="757" spans="1:9" x14ac:dyDescent="0.25">
      <c r="A757" s="54"/>
      <c r="B757" s="23">
        <v>44778</v>
      </c>
      <c r="C757" s="24">
        <v>0.35207175925925926</v>
      </c>
      <c r="D757" s="32" t="s">
        <v>1637</v>
      </c>
      <c r="E757" s="32" t="s">
        <v>709</v>
      </c>
      <c r="F757" s="26" t="s">
        <v>3471</v>
      </c>
      <c r="G757" s="22">
        <v>-262.5</v>
      </c>
      <c r="H757" s="22"/>
      <c r="I757" s="22"/>
    </row>
    <row r="758" spans="1:9" x14ac:dyDescent="0.25">
      <c r="A758" s="54"/>
      <c r="B758" s="37">
        <v>44778</v>
      </c>
      <c r="C758" s="38">
        <v>0.35997685185185185</v>
      </c>
      <c r="D758" s="49" t="s">
        <v>1637</v>
      </c>
      <c r="E758" s="49" t="s">
        <v>1632</v>
      </c>
      <c r="F758" s="40" t="s">
        <v>3473</v>
      </c>
      <c r="G758" s="39">
        <v>0</v>
      </c>
      <c r="H758" s="22"/>
      <c r="I758" s="22"/>
    </row>
    <row r="759" spans="1:9" x14ac:dyDescent="0.25">
      <c r="A759" s="54"/>
      <c r="B759" s="23">
        <v>44778</v>
      </c>
      <c r="C759" s="24">
        <v>0.75731481481481477</v>
      </c>
      <c r="D759" s="32" t="s">
        <v>1637</v>
      </c>
      <c r="E759" s="32" t="s">
        <v>709</v>
      </c>
      <c r="F759" s="26" t="s">
        <v>3473</v>
      </c>
      <c r="G759" s="22">
        <v>-1144.5</v>
      </c>
      <c r="H759" s="22"/>
      <c r="I759" s="22"/>
    </row>
    <row r="760" spans="1:9" x14ac:dyDescent="0.25">
      <c r="A760" s="54"/>
      <c r="B760" s="56"/>
      <c r="C760" s="56"/>
      <c r="D760" s="56"/>
      <c r="E760" s="56"/>
      <c r="F760" s="56"/>
      <c r="G760" s="31">
        <f>SUM(G753:G759)</f>
        <v>-3698</v>
      </c>
      <c r="H760" s="25">
        <f>7*4.94</f>
        <v>34.580000000000005</v>
      </c>
      <c r="I760" s="31">
        <f>G760+H760</f>
        <v>-3663.42</v>
      </c>
    </row>
    <row r="761" spans="1:9" x14ac:dyDescent="0.25">
      <c r="A761" s="54" t="s">
        <v>833</v>
      </c>
      <c r="B761" s="53" t="s">
        <v>1276</v>
      </c>
      <c r="C761" s="55"/>
      <c r="D761" s="55"/>
      <c r="E761" s="55"/>
      <c r="F761" s="55"/>
      <c r="G761" s="25"/>
      <c r="H761" s="22"/>
      <c r="I761" s="22"/>
    </row>
    <row r="762" spans="1:9" x14ac:dyDescent="0.25">
      <c r="A762" s="54"/>
      <c r="B762" s="37">
        <v>44774</v>
      </c>
      <c r="C762" s="38">
        <v>0.53888888888888886</v>
      </c>
      <c r="D762" s="49" t="s">
        <v>742</v>
      </c>
      <c r="E762" s="49" t="s">
        <v>709</v>
      </c>
      <c r="F762" s="40" t="s">
        <v>1623</v>
      </c>
      <c r="G762" s="39">
        <v>-1</v>
      </c>
      <c r="H762" s="22"/>
      <c r="I762" s="22"/>
    </row>
    <row r="763" spans="1:9" x14ac:dyDescent="0.25">
      <c r="A763" s="54"/>
      <c r="B763" s="27">
        <v>44774</v>
      </c>
      <c r="C763" s="28">
        <v>0.81773148148148145</v>
      </c>
      <c r="D763" s="33" t="s">
        <v>743</v>
      </c>
      <c r="E763" s="33" t="s">
        <v>709</v>
      </c>
      <c r="F763" s="30" t="s">
        <v>1616</v>
      </c>
      <c r="G763" s="29">
        <v>-137.5</v>
      </c>
      <c r="H763" s="22"/>
      <c r="I763" s="22"/>
    </row>
    <row r="764" spans="1:9" x14ac:dyDescent="0.25">
      <c r="A764" s="54"/>
      <c r="B764" s="23">
        <v>44777</v>
      </c>
      <c r="C764" s="24">
        <v>0.39518518518518514</v>
      </c>
      <c r="D764" s="32" t="s">
        <v>742</v>
      </c>
      <c r="E764" s="32" t="s">
        <v>709</v>
      </c>
      <c r="F764" s="26" t="s">
        <v>1245</v>
      </c>
      <c r="G764" s="22">
        <v>-372.5</v>
      </c>
      <c r="H764" s="22"/>
      <c r="I764" s="22"/>
    </row>
    <row r="765" spans="1:9" x14ac:dyDescent="0.25">
      <c r="A765" s="54"/>
      <c r="B765" s="23">
        <v>44777</v>
      </c>
      <c r="C765" s="24">
        <v>0.83159722222222221</v>
      </c>
      <c r="D765" s="32" t="s">
        <v>901</v>
      </c>
      <c r="E765" s="32" t="s">
        <v>709</v>
      </c>
      <c r="F765" s="26" t="s">
        <v>1247</v>
      </c>
      <c r="G765" s="22">
        <v>-80.5</v>
      </c>
      <c r="H765" s="22"/>
      <c r="I765" s="22"/>
    </row>
    <row r="766" spans="1:9" x14ac:dyDescent="0.25">
      <c r="A766" s="54"/>
      <c r="B766" s="23">
        <v>44777</v>
      </c>
      <c r="C766" s="24">
        <v>0.90766203703703707</v>
      </c>
      <c r="D766" s="32" t="s">
        <v>722</v>
      </c>
      <c r="E766" s="32" t="s">
        <v>709</v>
      </c>
      <c r="F766" s="26" t="s">
        <v>1249</v>
      </c>
      <c r="G766" s="22">
        <v>-112.5</v>
      </c>
      <c r="H766" s="22"/>
      <c r="I766" s="22"/>
    </row>
    <row r="767" spans="1:9" x14ac:dyDescent="0.25">
      <c r="A767" s="54"/>
      <c r="B767" s="23">
        <v>44777</v>
      </c>
      <c r="C767" s="24">
        <v>0.94589120370370372</v>
      </c>
      <c r="D767" s="32" t="s">
        <v>722</v>
      </c>
      <c r="E767" s="32" t="s">
        <v>709</v>
      </c>
      <c r="F767" s="26" t="s">
        <v>1251</v>
      </c>
      <c r="G767" s="22">
        <v>-188.5</v>
      </c>
      <c r="H767" s="22"/>
      <c r="I767" s="22"/>
    </row>
    <row r="768" spans="1:9" x14ac:dyDescent="0.25">
      <c r="A768" s="54"/>
      <c r="B768" s="23">
        <v>44777</v>
      </c>
      <c r="C768" s="24">
        <v>0.94895833333333324</v>
      </c>
      <c r="D768" s="32" t="s">
        <v>722</v>
      </c>
      <c r="E768" s="32" t="s">
        <v>709</v>
      </c>
      <c r="F768" s="26" t="s">
        <v>1253</v>
      </c>
      <c r="G768" s="22">
        <v>-732.5</v>
      </c>
      <c r="H768" s="22"/>
      <c r="I768" s="22"/>
    </row>
    <row r="769" spans="1:9" x14ac:dyDescent="0.25">
      <c r="A769" s="54"/>
      <c r="B769" s="23">
        <v>44778</v>
      </c>
      <c r="C769" s="24">
        <v>7.9861111111111122E-3</v>
      </c>
      <c r="D769" s="32" t="s">
        <v>722</v>
      </c>
      <c r="E769" s="32" t="s">
        <v>709</v>
      </c>
      <c r="F769" s="26" t="s">
        <v>3475</v>
      </c>
      <c r="G769" s="22">
        <v>-123.5</v>
      </c>
      <c r="H769" s="22"/>
      <c r="I769" s="22"/>
    </row>
    <row r="770" spans="1:9" x14ac:dyDescent="0.25">
      <c r="A770" s="54"/>
      <c r="B770" s="23">
        <v>44778</v>
      </c>
      <c r="C770" s="24">
        <v>0.01</v>
      </c>
      <c r="D770" s="32" t="s">
        <v>722</v>
      </c>
      <c r="E770" s="32" t="s">
        <v>709</v>
      </c>
      <c r="F770" s="26" t="s">
        <v>3477</v>
      </c>
      <c r="G770" s="22">
        <v>-287.5</v>
      </c>
      <c r="H770" s="22"/>
      <c r="I770" s="22"/>
    </row>
    <row r="771" spans="1:9" x14ac:dyDescent="0.25">
      <c r="A771" s="54"/>
      <c r="B771" s="23">
        <v>44778</v>
      </c>
      <c r="C771" s="24">
        <v>6.0127314814814814E-2</v>
      </c>
      <c r="D771" s="32" t="s">
        <v>722</v>
      </c>
      <c r="E771" s="32" t="s">
        <v>709</v>
      </c>
      <c r="F771" s="26" t="s">
        <v>3479</v>
      </c>
      <c r="G771" s="22">
        <v>-136.5</v>
      </c>
      <c r="H771" s="22"/>
      <c r="I771" s="22"/>
    </row>
    <row r="772" spans="1:9" x14ac:dyDescent="0.25">
      <c r="A772" s="54"/>
      <c r="B772" s="23">
        <v>44778</v>
      </c>
      <c r="C772" s="24">
        <v>0.32290509259259259</v>
      </c>
      <c r="D772" s="32" t="s">
        <v>742</v>
      </c>
      <c r="E772" s="32" t="s">
        <v>709</v>
      </c>
      <c r="F772" s="26" t="s">
        <v>3481</v>
      </c>
      <c r="G772" s="22">
        <v>-194.5</v>
      </c>
      <c r="H772" s="22"/>
      <c r="I772" s="22"/>
    </row>
    <row r="773" spans="1:9" x14ac:dyDescent="0.25">
      <c r="A773" s="54"/>
      <c r="B773" s="23">
        <v>44778</v>
      </c>
      <c r="C773" s="24">
        <v>0.35721064814814812</v>
      </c>
      <c r="D773" s="32" t="s">
        <v>742</v>
      </c>
      <c r="E773" s="32" t="s">
        <v>709</v>
      </c>
      <c r="F773" s="26" t="s">
        <v>3483</v>
      </c>
      <c r="G773" s="22">
        <v>-94.5</v>
      </c>
      <c r="H773" s="22"/>
      <c r="I773" s="22"/>
    </row>
    <row r="774" spans="1:9" x14ac:dyDescent="0.25">
      <c r="A774" s="54"/>
      <c r="B774" s="23">
        <v>44778</v>
      </c>
      <c r="C774" s="24">
        <v>0.36930555555555555</v>
      </c>
      <c r="D774" s="32" t="s">
        <v>742</v>
      </c>
      <c r="E774" s="32" t="s">
        <v>709</v>
      </c>
      <c r="F774" s="26" t="s">
        <v>3485</v>
      </c>
      <c r="G774" s="22">
        <v>-875.5</v>
      </c>
      <c r="H774" s="22"/>
      <c r="I774" s="22"/>
    </row>
    <row r="775" spans="1:9" x14ac:dyDescent="0.25">
      <c r="A775" s="54"/>
      <c r="B775" s="23">
        <v>44778</v>
      </c>
      <c r="C775" s="24">
        <v>0.46246527777777779</v>
      </c>
      <c r="D775" s="32" t="s">
        <v>742</v>
      </c>
      <c r="E775" s="32" t="s">
        <v>709</v>
      </c>
      <c r="F775" s="26" t="s">
        <v>3487</v>
      </c>
      <c r="G775" s="22">
        <v>-99.5</v>
      </c>
      <c r="H775" s="22"/>
      <c r="I775" s="22"/>
    </row>
    <row r="776" spans="1:9" x14ac:dyDescent="0.25">
      <c r="A776" s="54"/>
      <c r="B776" s="23">
        <v>44778</v>
      </c>
      <c r="C776" s="24">
        <v>0.46931712962962963</v>
      </c>
      <c r="D776" s="32" t="s">
        <v>742</v>
      </c>
      <c r="E776" s="32" t="s">
        <v>709</v>
      </c>
      <c r="F776" s="26" t="s">
        <v>3489</v>
      </c>
      <c r="G776" s="22">
        <v>-456.5</v>
      </c>
      <c r="H776" s="22"/>
      <c r="I776" s="22"/>
    </row>
    <row r="777" spans="1:9" x14ac:dyDescent="0.25">
      <c r="A777" s="54"/>
      <c r="B777" s="23">
        <v>44778</v>
      </c>
      <c r="C777" s="24">
        <v>0.73986111111111119</v>
      </c>
      <c r="D777" s="32" t="s">
        <v>901</v>
      </c>
      <c r="E777" s="32" t="s">
        <v>709</v>
      </c>
      <c r="F777" s="26" t="s">
        <v>3491</v>
      </c>
      <c r="G777" s="22">
        <v>-136.5</v>
      </c>
      <c r="H777" s="22"/>
      <c r="I777" s="22"/>
    </row>
    <row r="778" spans="1:9" x14ac:dyDescent="0.25">
      <c r="A778" s="54"/>
      <c r="B778" s="27">
        <v>44778</v>
      </c>
      <c r="C778" s="28">
        <v>0.80429398148148146</v>
      </c>
      <c r="D778" s="33" t="s">
        <v>743</v>
      </c>
      <c r="E778" s="33" t="s">
        <v>709</v>
      </c>
      <c r="F778" s="30" t="s">
        <v>3520</v>
      </c>
      <c r="G778" s="29">
        <v>-93.5</v>
      </c>
      <c r="H778" s="22"/>
      <c r="I778" s="22"/>
    </row>
    <row r="779" spans="1:9" s="21" customFormat="1" x14ac:dyDescent="0.25">
      <c r="A779" s="54"/>
      <c r="B779" s="56"/>
      <c r="C779" s="56"/>
      <c r="D779" s="56"/>
      <c r="E779" s="56"/>
      <c r="F779" s="56"/>
      <c r="G779" s="31">
        <f>SUM(G762:G778)</f>
        <v>-4123</v>
      </c>
      <c r="H779" s="25">
        <f>17*4.94</f>
        <v>83.98</v>
      </c>
      <c r="I779" s="31">
        <f>G779+H779</f>
        <v>-4039.02</v>
      </c>
    </row>
    <row r="780" spans="1:9" x14ac:dyDescent="0.25">
      <c r="A780" s="22"/>
      <c r="B780" s="23"/>
      <c r="C780" s="24"/>
      <c r="D780" s="32"/>
      <c r="E780" s="32"/>
      <c r="F780" s="22"/>
      <c r="G780" s="22"/>
      <c r="H780" s="22">
        <f>SUM(H3:H779)</f>
        <v>3482.7000000000007</v>
      </c>
      <c r="I780" s="22">
        <f>SUM(I3:I779)</f>
        <v>-163319.79999999999</v>
      </c>
    </row>
    <row r="781" spans="1:9" ht="15.75" x14ac:dyDescent="0.25">
      <c r="A781" s="22"/>
      <c r="B781" s="68" t="s">
        <v>713</v>
      </c>
      <c r="C781" s="69"/>
      <c r="D781" s="69"/>
      <c r="E781" s="69"/>
      <c r="F781" s="70"/>
      <c r="G781" s="22"/>
      <c r="H781" s="35">
        <f>H780/1.16</f>
        <v>3002.3275862068972</v>
      </c>
      <c r="I781" s="22"/>
    </row>
    <row r="783" spans="1:9" ht="15.75" x14ac:dyDescent="0.25">
      <c r="B783" s="71" t="s">
        <v>834</v>
      </c>
      <c r="C783" s="72"/>
      <c r="D783" s="72"/>
      <c r="E783" s="72"/>
      <c r="F783" s="72"/>
      <c r="H783" s="36">
        <f>H781*0.16</f>
        <v>480.37241379310353</v>
      </c>
    </row>
    <row r="784" spans="1:9" ht="15.75" thickBot="1" x14ac:dyDescent="0.3"/>
    <row r="785" spans="2:9" ht="21.75" thickBot="1" x14ac:dyDescent="0.4">
      <c r="B785" s="60" t="s">
        <v>835</v>
      </c>
      <c r="C785" s="61"/>
      <c r="D785" s="61"/>
      <c r="E785" s="61"/>
      <c r="F785" s="61"/>
      <c r="G785" s="62">
        <f>I780*-1</f>
        <v>163319.79999999999</v>
      </c>
      <c r="H785" s="63"/>
      <c r="I785" s="64"/>
    </row>
    <row r="786" spans="2:9" ht="15.75" thickBot="1" x14ac:dyDescent="0.3"/>
    <row r="787" spans="2:9" ht="21.75" thickBot="1" x14ac:dyDescent="0.4">
      <c r="B787" s="60" t="s">
        <v>836</v>
      </c>
      <c r="C787" s="61"/>
      <c r="D787" s="61"/>
      <c r="E787" s="61"/>
      <c r="F787" s="61"/>
      <c r="G787" s="62">
        <v>163165.28</v>
      </c>
      <c r="H787" s="63"/>
      <c r="I787" s="64"/>
    </row>
  </sheetData>
  <sortState xmlns:xlrd2="http://schemas.microsoft.com/office/spreadsheetml/2017/richdata2" ref="A3:G778">
    <sortCondition ref="A4:A778"/>
    <sortCondition ref="B4:B778"/>
    <sortCondition ref="C4:C778"/>
  </sortState>
  <mergeCells count="105">
    <mergeCell ref="B781:F781"/>
    <mergeCell ref="B783:F783"/>
    <mergeCell ref="B785:F785"/>
    <mergeCell ref="G785:I785"/>
    <mergeCell ref="B787:F787"/>
    <mergeCell ref="G787:I787"/>
    <mergeCell ref="A709:A714"/>
    <mergeCell ref="A715:A729"/>
    <mergeCell ref="A730:A735"/>
    <mergeCell ref="A736:A751"/>
    <mergeCell ref="A752:A760"/>
    <mergeCell ref="A761:A779"/>
    <mergeCell ref="A584:A622"/>
    <mergeCell ref="A623:A633"/>
    <mergeCell ref="A634:A636"/>
    <mergeCell ref="A637:A654"/>
    <mergeCell ref="A655:A671"/>
    <mergeCell ref="A672:A708"/>
    <mergeCell ref="A251:A310"/>
    <mergeCell ref="A311:A338"/>
    <mergeCell ref="A339:A400"/>
    <mergeCell ref="A401:A491"/>
    <mergeCell ref="A492:A536"/>
    <mergeCell ref="A537:A583"/>
    <mergeCell ref="B734:F734"/>
    <mergeCell ref="B742:F742"/>
    <mergeCell ref="A3:A25"/>
    <mergeCell ref="A26:A42"/>
    <mergeCell ref="A43:A67"/>
    <mergeCell ref="A68:A107"/>
    <mergeCell ref="A108:A131"/>
    <mergeCell ref="A132:A145"/>
    <mergeCell ref="A146:A186"/>
    <mergeCell ref="A187:A250"/>
    <mergeCell ref="B282:F282"/>
    <mergeCell ref="B342:F342"/>
    <mergeCell ref="B344:F344"/>
    <mergeCell ref="B487:F487"/>
    <mergeCell ref="B515:F515"/>
    <mergeCell ref="B616:F616"/>
    <mergeCell ref="B735:F735"/>
    <mergeCell ref="B751:F751"/>
    <mergeCell ref="B760:F760"/>
    <mergeCell ref="B779:F779"/>
    <mergeCell ref="B20:F20"/>
    <mergeCell ref="B74:F74"/>
    <mergeCell ref="B212:F212"/>
    <mergeCell ref="B237:F237"/>
    <mergeCell ref="B255:F255"/>
    <mergeCell ref="B265:F265"/>
    <mergeCell ref="B636:F636"/>
    <mergeCell ref="B654:F654"/>
    <mergeCell ref="B671:F671"/>
    <mergeCell ref="B708:F708"/>
    <mergeCell ref="B714:F714"/>
    <mergeCell ref="B729:F729"/>
    <mergeCell ref="B659:F659"/>
    <mergeCell ref="B698:F698"/>
    <mergeCell ref="B726:F726"/>
    <mergeCell ref="B400:F400"/>
    <mergeCell ref="B491:F491"/>
    <mergeCell ref="B536:F536"/>
    <mergeCell ref="B583:F583"/>
    <mergeCell ref="B622:F622"/>
    <mergeCell ref="B633:F633"/>
    <mergeCell ref="B618:F618"/>
    <mergeCell ref="B626:F626"/>
    <mergeCell ref="C736:F736"/>
    <mergeCell ref="C752:F752"/>
    <mergeCell ref="C761:F761"/>
    <mergeCell ref="B25:F25"/>
    <mergeCell ref="B42:F42"/>
    <mergeCell ref="B67:F67"/>
    <mergeCell ref="B107:F107"/>
    <mergeCell ref="B131:F131"/>
    <mergeCell ref="B145:F145"/>
    <mergeCell ref="B186:F186"/>
    <mergeCell ref="C637:F637"/>
    <mergeCell ref="C655:F655"/>
    <mergeCell ref="C672:F672"/>
    <mergeCell ref="C709:F709"/>
    <mergeCell ref="C715:F715"/>
    <mergeCell ref="C730:F730"/>
    <mergeCell ref="C401:F401"/>
    <mergeCell ref="C492:F492"/>
    <mergeCell ref="C537:F537"/>
    <mergeCell ref="C584:F584"/>
    <mergeCell ref="C623:F623"/>
    <mergeCell ref="C634:F634"/>
    <mergeCell ref="C132:F132"/>
    <mergeCell ref="C146:F146"/>
    <mergeCell ref="C187:F187"/>
    <mergeCell ref="C251:F251"/>
    <mergeCell ref="C311:F311"/>
    <mergeCell ref="C339:F339"/>
    <mergeCell ref="B250:F250"/>
    <mergeCell ref="B310:F310"/>
    <mergeCell ref="B338:F338"/>
    <mergeCell ref="B268:F268"/>
    <mergeCell ref="C3:F3"/>
    <mergeCell ref="C26:F26"/>
    <mergeCell ref="C43:F43"/>
    <mergeCell ref="C68:F68"/>
    <mergeCell ref="C108:F108"/>
    <mergeCell ref="A1:I1"/>
  </mergeCells>
  <printOptions horizontalCentered="1"/>
  <pageMargins left="0.7" right="0.7" top="0.75" bottom="0.75" header="0.3" footer="0.3"/>
  <pageSetup scale="10" orientation="portrait" cellComments="atEnd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6317A-6D56-42A5-93FB-E52888D30C9D}">
  <sheetPr codeName="Hoja5"/>
  <dimension ref="A3:V62"/>
  <sheetViews>
    <sheetView topLeftCell="H1" workbookViewId="0"/>
    <sheetView topLeftCell="H1" workbookViewId="1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28833292</v>
      </c>
      <c r="K4" t="s">
        <v>627</v>
      </c>
      <c r="L4" t="s">
        <v>87</v>
      </c>
      <c r="M4" t="s">
        <v>88</v>
      </c>
      <c r="N4">
        <v>263.5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647</v>
      </c>
      <c r="T4">
        <v>6</v>
      </c>
      <c r="U4" t="s">
        <v>89</v>
      </c>
    </row>
    <row r="5" spans="1:22" outlineLevel="2" x14ac:dyDescent="0.25">
      <c r="A5" t="s">
        <v>82</v>
      </c>
      <c r="B5" t="s">
        <v>83</v>
      </c>
      <c r="C5">
        <v>30</v>
      </c>
      <c r="D5" t="s">
        <v>84</v>
      </c>
      <c r="E5">
        <v>184</v>
      </c>
      <c r="F5" t="s">
        <v>85</v>
      </c>
      <c r="G5">
        <v>8651</v>
      </c>
      <c r="H5" t="s">
        <v>38</v>
      </c>
      <c r="I5">
        <v>1000008651</v>
      </c>
      <c r="J5">
        <v>28834946</v>
      </c>
      <c r="K5" t="s">
        <v>640</v>
      </c>
      <c r="L5" t="s">
        <v>87</v>
      </c>
      <c r="M5" t="s">
        <v>88</v>
      </c>
      <c r="N5">
        <v>44.5</v>
      </c>
      <c r="O5">
        <v>14.22</v>
      </c>
      <c r="P5">
        <v>2.2799999999999998</v>
      </c>
      <c r="Q5">
        <v>4.2561999999999998</v>
      </c>
      <c r="R5">
        <v>0.68100000000000005</v>
      </c>
      <c r="S5" t="s">
        <v>648</v>
      </c>
      <c r="T5">
        <v>6</v>
      </c>
      <c r="U5" t="s">
        <v>89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8651</v>
      </c>
      <c r="H6" t="s">
        <v>38</v>
      </c>
      <c r="I6">
        <v>1000008651</v>
      </c>
      <c r="J6">
        <v>28834961</v>
      </c>
      <c r="K6" t="s">
        <v>641</v>
      </c>
      <c r="L6" t="s">
        <v>87</v>
      </c>
      <c r="M6" t="s">
        <v>88</v>
      </c>
      <c r="N6">
        <v>170.5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649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8651</v>
      </c>
      <c r="H7" t="s">
        <v>38</v>
      </c>
      <c r="I7">
        <v>1000008651</v>
      </c>
      <c r="J7">
        <v>28835797</v>
      </c>
      <c r="K7" t="s">
        <v>646</v>
      </c>
      <c r="L7" t="s">
        <v>87</v>
      </c>
      <c r="M7" t="s">
        <v>88</v>
      </c>
      <c r="N7">
        <v>44.5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650</v>
      </c>
      <c r="T7">
        <v>6</v>
      </c>
      <c r="U7" t="s">
        <v>89</v>
      </c>
    </row>
    <row r="8" spans="1:22" outlineLevel="1" x14ac:dyDescent="0.25">
      <c r="H8" s="9" t="s">
        <v>531</v>
      </c>
      <c r="N8">
        <f>SUBTOTAL(9,N4:N7)</f>
        <v>523</v>
      </c>
    </row>
    <row r="9" spans="1:22" outlineLevel="2" x14ac:dyDescent="0.25">
      <c r="A9" t="s">
        <v>82</v>
      </c>
      <c r="B9" t="s">
        <v>83</v>
      </c>
      <c r="C9">
        <v>30</v>
      </c>
      <c r="D9" t="s">
        <v>84</v>
      </c>
      <c r="E9">
        <v>184</v>
      </c>
      <c r="F9" t="s">
        <v>85</v>
      </c>
      <c r="G9">
        <v>8653</v>
      </c>
      <c r="H9" t="s">
        <v>37</v>
      </c>
      <c r="I9">
        <v>1000008653</v>
      </c>
      <c r="J9">
        <v>28833232</v>
      </c>
      <c r="K9" t="s">
        <v>626</v>
      </c>
      <c r="L9" t="s">
        <v>87</v>
      </c>
      <c r="M9" t="s">
        <v>88</v>
      </c>
      <c r="N9">
        <v>190.5</v>
      </c>
      <c r="O9">
        <v>14.22</v>
      </c>
      <c r="P9">
        <v>2.2799999999999998</v>
      </c>
      <c r="Q9">
        <v>4.2561999999999998</v>
      </c>
      <c r="R9">
        <v>0.68100000000000005</v>
      </c>
      <c r="S9" t="s">
        <v>651</v>
      </c>
      <c r="T9">
        <v>6</v>
      </c>
      <c r="U9" t="s">
        <v>89</v>
      </c>
    </row>
    <row r="10" spans="1:22" outlineLevel="1" x14ac:dyDescent="0.25">
      <c r="H10" s="9" t="s">
        <v>533</v>
      </c>
      <c r="N10">
        <f>SUBTOTAL(9,N9:N9)</f>
        <v>190.5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8654</v>
      </c>
      <c r="H11" t="s">
        <v>30</v>
      </c>
      <c r="I11">
        <v>1000008654</v>
      </c>
      <c r="J11">
        <v>28830043</v>
      </c>
      <c r="K11" t="s">
        <v>610</v>
      </c>
      <c r="L11" t="s">
        <v>87</v>
      </c>
      <c r="M11" t="s">
        <v>88</v>
      </c>
      <c r="N11">
        <v>320.5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652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8654</v>
      </c>
      <c r="H12" t="s">
        <v>30</v>
      </c>
      <c r="I12">
        <v>1000008654</v>
      </c>
      <c r="J12">
        <v>28830049</v>
      </c>
      <c r="K12" t="s">
        <v>611</v>
      </c>
      <c r="L12" t="s">
        <v>87</v>
      </c>
      <c r="M12" t="s">
        <v>88</v>
      </c>
      <c r="N12">
        <v>112.5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653</v>
      </c>
      <c r="T12">
        <v>6</v>
      </c>
      <c r="U12" t="s">
        <v>89</v>
      </c>
    </row>
    <row r="13" spans="1:22" outlineLevel="2" x14ac:dyDescent="0.25">
      <c r="A13" t="s">
        <v>82</v>
      </c>
      <c r="B13" t="s">
        <v>83</v>
      </c>
      <c r="C13">
        <v>30</v>
      </c>
      <c r="D13" t="s">
        <v>84</v>
      </c>
      <c r="E13">
        <v>184</v>
      </c>
      <c r="F13" t="s">
        <v>85</v>
      </c>
      <c r="G13">
        <v>8654</v>
      </c>
      <c r="H13" t="s">
        <v>30</v>
      </c>
      <c r="I13">
        <v>1000008654</v>
      </c>
      <c r="J13">
        <v>28830957</v>
      </c>
      <c r="K13" t="s">
        <v>613</v>
      </c>
      <c r="L13" t="s">
        <v>87</v>
      </c>
      <c r="M13" t="s">
        <v>88</v>
      </c>
      <c r="N13">
        <v>89.5</v>
      </c>
      <c r="O13">
        <v>14.22</v>
      </c>
      <c r="P13">
        <v>2.2799999999999998</v>
      </c>
      <c r="Q13">
        <v>4.2561999999999998</v>
      </c>
      <c r="R13">
        <v>0.68100000000000005</v>
      </c>
      <c r="S13" t="s">
        <v>654</v>
      </c>
      <c r="T13">
        <v>6</v>
      </c>
      <c r="U13" t="s">
        <v>89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8654</v>
      </c>
      <c r="H14" t="s">
        <v>30</v>
      </c>
      <c r="I14">
        <v>1000008654</v>
      </c>
      <c r="J14">
        <v>28831759</v>
      </c>
      <c r="K14" t="s">
        <v>616</v>
      </c>
      <c r="L14" t="s">
        <v>87</v>
      </c>
      <c r="M14" t="s">
        <v>88</v>
      </c>
      <c r="N14">
        <v>87.5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655</v>
      </c>
      <c r="T14">
        <v>6</v>
      </c>
      <c r="U14" t="s">
        <v>89</v>
      </c>
    </row>
    <row r="15" spans="1:22" outlineLevel="2" x14ac:dyDescent="0.25">
      <c r="A15" t="s">
        <v>82</v>
      </c>
      <c r="B15" t="s">
        <v>83</v>
      </c>
      <c r="C15">
        <v>30</v>
      </c>
      <c r="D15" t="s">
        <v>84</v>
      </c>
      <c r="E15">
        <v>184</v>
      </c>
      <c r="F15" t="s">
        <v>85</v>
      </c>
      <c r="G15">
        <v>8654</v>
      </c>
      <c r="H15" t="s">
        <v>30</v>
      </c>
      <c r="I15">
        <v>1000008654</v>
      </c>
      <c r="J15">
        <v>28832366</v>
      </c>
      <c r="K15" t="s">
        <v>618</v>
      </c>
      <c r="L15" t="s">
        <v>87</v>
      </c>
      <c r="M15" t="s">
        <v>88</v>
      </c>
      <c r="N15">
        <v>84.5</v>
      </c>
      <c r="O15">
        <v>14.22</v>
      </c>
      <c r="P15">
        <v>2.2799999999999998</v>
      </c>
      <c r="Q15">
        <v>4.2561999999999998</v>
      </c>
      <c r="R15">
        <v>0.68100000000000005</v>
      </c>
      <c r="S15" t="s">
        <v>656</v>
      </c>
      <c r="T15">
        <v>6</v>
      </c>
      <c r="U15" t="s">
        <v>89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8654</v>
      </c>
      <c r="H16" t="s">
        <v>30</v>
      </c>
      <c r="I16">
        <v>1000008654</v>
      </c>
      <c r="J16">
        <v>28834072</v>
      </c>
      <c r="K16" t="s">
        <v>634</v>
      </c>
      <c r="L16" t="s">
        <v>87</v>
      </c>
      <c r="M16" t="s">
        <v>88</v>
      </c>
      <c r="N16">
        <v>3095.5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657</v>
      </c>
      <c r="T16">
        <v>6</v>
      </c>
      <c r="U16" t="s">
        <v>89</v>
      </c>
    </row>
    <row r="17" spans="1:21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8654</v>
      </c>
      <c r="H17" t="s">
        <v>30</v>
      </c>
      <c r="I17">
        <v>1000008654</v>
      </c>
      <c r="J17">
        <v>28834089</v>
      </c>
      <c r="K17" t="s">
        <v>635</v>
      </c>
      <c r="L17" t="s">
        <v>556</v>
      </c>
      <c r="M17" t="s">
        <v>88</v>
      </c>
      <c r="N17">
        <v>111.5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658</v>
      </c>
      <c r="T17">
        <v>6</v>
      </c>
      <c r="U17" t="s">
        <v>89</v>
      </c>
    </row>
    <row r="18" spans="1:21" outlineLevel="2" x14ac:dyDescent="0.25">
      <c r="A18" t="s">
        <v>82</v>
      </c>
      <c r="B18" t="s">
        <v>83</v>
      </c>
      <c r="C18">
        <v>30</v>
      </c>
      <c r="D18" t="s">
        <v>84</v>
      </c>
      <c r="E18">
        <v>184</v>
      </c>
      <c r="F18" t="s">
        <v>85</v>
      </c>
      <c r="G18">
        <v>8654</v>
      </c>
      <c r="H18" t="s">
        <v>30</v>
      </c>
      <c r="I18">
        <v>1000008654</v>
      </c>
      <c r="J18">
        <v>28834328</v>
      </c>
      <c r="K18" t="s">
        <v>636</v>
      </c>
      <c r="L18" t="s">
        <v>87</v>
      </c>
      <c r="M18" t="s">
        <v>88</v>
      </c>
      <c r="N18">
        <v>163.5</v>
      </c>
      <c r="O18">
        <v>14.22</v>
      </c>
      <c r="P18">
        <v>2.2799999999999998</v>
      </c>
      <c r="Q18">
        <v>4.2561999999999998</v>
      </c>
      <c r="R18">
        <v>0.68100000000000005</v>
      </c>
      <c r="S18" t="s">
        <v>659</v>
      </c>
      <c r="T18">
        <v>6</v>
      </c>
      <c r="U18" t="s">
        <v>89</v>
      </c>
    </row>
    <row r="19" spans="1:21" outlineLevel="1" x14ac:dyDescent="0.25">
      <c r="H19" s="9" t="s">
        <v>534</v>
      </c>
      <c r="N19">
        <f>SUBTOTAL(9,N11:N18)</f>
        <v>4065</v>
      </c>
    </row>
    <row r="20" spans="1:21" outlineLevel="2" x14ac:dyDescent="0.25">
      <c r="A20" t="s">
        <v>82</v>
      </c>
      <c r="B20" t="s">
        <v>83</v>
      </c>
      <c r="C20">
        <v>30</v>
      </c>
      <c r="D20" t="s">
        <v>84</v>
      </c>
      <c r="E20">
        <v>184</v>
      </c>
      <c r="F20" t="s">
        <v>85</v>
      </c>
      <c r="G20">
        <v>8655</v>
      </c>
      <c r="H20" t="s">
        <v>29</v>
      </c>
      <c r="I20">
        <v>1000008655</v>
      </c>
      <c r="J20">
        <v>28832836</v>
      </c>
      <c r="K20" t="s">
        <v>624</v>
      </c>
      <c r="L20" t="s">
        <v>87</v>
      </c>
      <c r="M20" t="s">
        <v>88</v>
      </c>
      <c r="N20">
        <v>127.5</v>
      </c>
      <c r="O20">
        <v>14.22</v>
      </c>
      <c r="P20">
        <v>2.2799999999999998</v>
      </c>
      <c r="Q20">
        <v>4.2561999999999998</v>
      </c>
      <c r="R20">
        <v>0.68100000000000005</v>
      </c>
      <c r="S20" t="s">
        <v>660</v>
      </c>
      <c r="T20">
        <v>6</v>
      </c>
      <c r="U20" t="s">
        <v>89</v>
      </c>
    </row>
    <row r="21" spans="1:21" outlineLevel="1" x14ac:dyDescent="0.25">
      <c r="H21" s="9" t="s">
        <v>535</v>
      </c>
      <c r="N21">
        <f>SUBTOTAL(9,N20:N20)</f>
        <v>127.5</v>
      </c>
    </row>
    <row r="22" spans="1:21" outlineLevel="2" x14ac:dyDescent="0.25">
      <c r="A22" t="s">
        <v>82</v>
      </c>
      <c r="B22" t="s">
        <v>83</v>
      </c>
      <c r="C22">
        <v>30</v>
      </c>
      <c r="D22" t="s">
        <v>84</v>
      </c>
      <c r="E22">
        <v>184</v>
      </c>
      <c r="F22" t="s">
        <v>85</v>
      </c>
      <c r="G22">
        <v>8657</v>
      </c>
      <c r="H22" t="s">
        <v>44</v>
      </c>
      <c r="I22">
        <v>1000008657</v>
      </c>
      <c r="J22">
        <v>28833885</v>
      </c>
      <c r="K22" t="s">
        <v>633</v>
      </c>
      <c r="L22" t="s">
        <v>87</v>
      </c>
      <c r="M22" t="s">
        <v>88</v>
      </c>
      <c r="N22">
        <v>154.5</v>
      </c>
      <c r="O22">
        <v>14.22</v>
      </c>
      <c r="P22">
        <v>2.2799999999999998</v>
      </c>
      <c r="Q22">
        <v>4.2561999999999998</v>
      </c>
      <c r="R22">
        <v>0.68100000000000005</v>
      </c>
      <c r="S22" t="s">
        <v>661</v>
      </c>
      <c r="T22">
        <v>6</v>
      </c>
      <c r="U22" t="s">
        <v>89</v>
      </c>
    </row>
    <row r="23" spans="1:21" outlineLevel="1" x14ac:dyDescent="0.25">
      <c r="H23" s="9" t="s">
        <v>537</v>
      </c>
      <c r="N23">
        <f>SUBTOTAL(9,N22:N22)</f>
        <v>154.5</v>
      </c>
    </row>
    <row r="24" spans="1:21" outlineLevel="2" x14ac:dyDescent="0.25">
      <c r="A24" t="s">
        <v>82</v>
      </c>
      <c r="B24" t="s">
        <v>83</v>
      </c>
      <c r="C24">
        <v>30</v>
      </c>
      <c r="D24" t="s">
        <v>84</v>
      </c>
      <c r="E24">
        <v>184</v>
      </c>
      <c r="F24" t="s">
        <v>85</v>
      </c>
      <c r="G24">
        <v>8658</v>
      </c>
      <c r="H24" t="s">
        <v>33</v>
      </c>
      <c r="I24">
        <v>1000008658</v>
      </c>
      <c r="J24">
        <v>28830021</v>
      </c>
      <c r="K24" t="s">
        <v>609</v>
      </c>
      <c r="L24" t="s">
        <v>87</v>
      </c>
      <c r="M24" t="s">
        <v>88</v>
      </c>
      <c r="N24">
        <v>228.5</v>
      </c>
      <c r="O24">
        <v>14.22</v>
      </c>
      <c r="P24">
        <v>2.2799999999999998</v>
      </c>
      <c r="Q24">
        <v>4.2561999999999998</v>
      </c>
      <c r="R24">
        <v>0.68100000000000005</v>
      </c>
      <c r="S24" t="s">
        <v>662</v>
      </c>
      <c r="T24">
        <v>6</v>
      </c>
      <c r="U24" t="s">
        <v>89</v>
      </c>
    </row>
    <row r="25" spans="1:21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8658</v>
      </c>
      <c r="H25" t="s">
        <v>33</v>
      </c>
      <c r="I25">
        <v>1000008658</v>
      </c>
      <c r="J25">
        <v>28833454</v>
      </c>
      <c r="K25" t="s">
        <v>631</v>
      </c>
      <c r="L25" t="s">
        <v>87</v>
      </c>
      <c r="M25" t="s">
        <v>88</v>
      </c>
      <c r="N25">
        <v>144.5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663</v>
      </c>
      <c r="T25">
        <v>6</v>
      </c>
      <c r="U25" t="s">
        <v>89</v>
      </c>
    </row>
    <row r="26" spans="1:21" outlineLevel="2" x14ac:dyDescent="0.25">
      <c r="A26" t="s">
        <v>82</v>
      </c>
      <c r="B26" t="s">
        <v>83</v>
      </c>
      <c r="C26">
        <v>30</v>
      </c>
      <c r="D26" t="s">
        <v>84</v>
      </c>
      <c r="E26">
        <v>184</v>
      </c>
      <c r="F26" t="s">
        <v>85</v>
      </c>
      <c r="G26">
        <v>8658</v>
      </c>
      <c r="H26" t="s">
        <v>33</v>
      </c>
      <c r="I26">
        <v>1000008658</v>
      </c>
      <c r="J26">
        <v>28834344</v>
      </c>
      <c r="K26" t="s">
        <v>637</v>
      </c>
      <c r="L26" t="s">
        <v>87</v>
      </c>
      <c r="M26" t="s">
        <v>88</v>
      </c>
      <c r="N26">
        <v>158.5</v>
      </c>
      <c r="O26">
        <v>14.22</v>
      </c>
      <c r="P26">
        <v>2.2799999999999998</v>
      </c>
      <c r="Q26">
        <v>4.2561999999999998</v>
      </c>
      <c r="R26">
        <v>0.68100000000000005</v>
      </c>
      <c r="S26" t="s">
        <v>664</v>
      </c>
      <c r="T26">
        <v>6</v>
      </c>
      <c r="U26" t="s">
        <v>89</v>
      </c>
    </row>
    <row r="27" spans="1:21" outlineLevel="1" x14ac:dyDescent="0.25">
      <c r="H27" s="9" t="s">
        <v>538</v>
      </c>
      <c r="N27">
        <f>SUBTOTAL(9,N24:N26)</f>
        <v>531.5</v>
      </c>
    </row>
    <row r="28" spans="1:21" outlineLevel="2" x14ac:dyDescent="0.25">
      <c r="A28" t="s">
        <v>82</v>
      </c>
      <c r="B28" t="s">
        <v>83</v>
      </c>
      <c r="C28">
        <v>30</v>
      </c>
      <c r="D28" t="s">
        <v>84</v>
      </c>
      <c r="E28">
        <v>184</v>
      </c>
      <c r="F28" t="s">
        <v>85</v>
      </c>
      <c r="G28">
        <v>8659</v>
      </c>
      <c r="H28" t="s">
        <v>32</v>
      </c>
      <c r="I28">
        <v>1000008659</v>
      </c>
      <c r="J28">
        <v>28832661</v>
      </c>
      <c r="K28" t="s">
        <v>621</v>
      </c>
      <c r="L28" t="s">
        <v>87</v>
      </c>
      <c r="M28" t="s">
        <v>88</v>
      </c>
      <c r="N28">
        <v>364.5</v>
      </c>
      <c r="O28">
        <v>14.22</v>
      </c>
      <c r="P28">
        <v>2.2799999999999998</v>
      </c>
      <c r="Q28">
        <v>4.2561999999999998</v>
      </c>
      <c r="R28">
        <v>0.68100000000000005</v>
      </c>
      <c r="S28" t="s">
        <v>665</v>
      </c>
      <c r="T28">
        <v>6</v>
      </c>
      <c r="U28" t="s">
        <v>89</v>
      </c>
    </row>
    <row r="29" spans="1:21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8659</v>
      </c>
      <c r="H29" t="s">
        <v>32</v>
      </c>
      <c r="I29">
        <v>1000008659</v>
      </c>
      <c r="J29">
        <v>28832694</v>
      </c>
      <c r="K29" t="s">
        <v>622</v>
      </c>
      <c r="L29" t="s">
        <v>87</v>
      </c>
      <c r="M29" t="s">
        <v>88</v>
      </c>
      <c r="N29">
        <v>314.5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666</v>
      </c>
      <c r="T29">
        <v>6</v>
      </c>
      <c r="U29" t="s">
        <v>89</v>
      </c>
    </row>
    <row r="30" spans="1:21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8659</v>
      </c>
      <c r="H30" t="s">
        <v>32</v>
      </c>
      <c r="I30">
        <v>1000008659</v>
      </c>
      <c r="J30">
        <v>28832707</v>
      </c>
      <c r="K30" t="s">
        <v>623</v>
      </c>
      <c r="L30" t="s">
        <v>87</v>
      </c>
      <c r="M30" t="s">
        <v>88</v>
      </c>
      <c r="N30">
        <v>121.5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667</v>
      </c>
      <c r="T30">
        <v>6</v>
      </c>
      <c r="U30" t="s">
        <v>89</v>
      </c>
    </row>
    <row r="31" spans="1:21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8659</v>
      </c>
      <c r="H31" t="s">
        <v>32</v>
      </c>
      <c r="I31">
        <v>1000008659</v>
      </c>
      <c r="J31">
        <v>28834940</v>
      </c>
      <c r="K31" t="s">
        <v>639</v>
      </c>
      <c r="L31" t="s">
        <v>87</v>
      </c>
      <c r="M31" t="s">
        <v>88</v>
      </c>
      <c r="N31">
        <v>216.5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668</v>
      </c>
      <c r="T31">
        <v>6</v>
      </c>
      <c r="U31" t="s">
        <v>89</v>
      </c>
    </row>
    <row r="32" spans="1:21" outlineLevel="1" x14ac:dyDescent="0.25">
      <c r="H32" s="9" t="s">
        <v>539</v>
      </c>
      <c r="N32">
        <f>SUBTOTAL(9,N28:N31)</f>
        <v>1017</v>
      </c>
    </row>
    <row r="33" spans="1:21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8660</v>
      </c>
      <c r="H33" t="s">
        <v>35</v>
      </c>
      <c r="I33">
        <v>1000008660</v>
      </c>
      <c r="J33">
        <v>28833048</v>
      </c>
      <c r="K33" t="s">
        <v>625</v>
      </c>
      <c r="L33" t="s">
        <v>556</v>
      </c>
      <c r="M33" t="s">
        <v>88</v>
      </c>
      <c r="N33">
        <v>264.5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669</v>
      </c>
      <c r="T33">
        <v>6</v>
      </c>
      <c r="U33" t="s">
        <v>89</v>
      </c>
    </row>
    <row r="34" spans="1:21" outlineLevel="1" x14ac:dyDescent="0.25">
      <c r="H34" s="9" t="s">
        <v>540</v>
      </c>
      <c r="N34">
        <f>SUBTOTAL(9,N33:N33)</f>
        <v>264.5</v>
      </c>
    </row>
    <row r="35" spans="1:21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8661</v>
      </c>
      <c r="H35" t="s">
        <v>39</v>
      </c>
      <c r="I35">
        <v>1000008661</v>
      </c>
      <c r="J35">
        <v>28832481</v>
      </c>
      <c r="K35" t="s">
        <v>619</v>
      </c>
      <c r="L35" t="s">
        <v>87</v>
      </c>
      <c r="M35" t="s">
        <v>88</v>
      </c>
      <c r="N35">
        <v>399.5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670</v>
      </c>
      <c r="T35">
        <v>6</v>
      </c>
      <c r="U35" t="s">
        <v>89</v>
      </c>
    </row>
    <row r="36" spans="1:21" outlineLevel="2" x14ac:dyDescent="0.25">
      <c r="A36" t="s">
        <v>82</v>
      </c>
      <c r="B36" t="s">
        <v>83</v>
      </c>
      <c r="C36">
        <v>30</v>
      </c>
      <c r="D36" t="s">
        <v>84</v>
      </c>
      <c r="E36">
        <v>184</v>
      </c>
      <c r="F36" t="s">
        <v>85</v>
      </c>
      <c r="G36">
        <v>8661</v>
      </c>
      <c r="H36" t="s">
        <v>39</v>
      </c>
      <c r="I36">
        <v>1000008661</v>
      </c>
      <c r="J36">
        <v>28835105</v>
      </c>
      <c r="K36" t="s">
        <v>642</v>
      </c>
      <c r="L36" t="s">
        <v>87</v>
      </c>
      <c r="M36" t="s">
        <v>88</v>
      </c>
      <c r="N36">
        <v>76.5</v>
      </c>
      <c r="O36">
        <v>14.22</v>
      </c>
      <c r="P36">
        <v>2.2799999999999998</v>
      </c>
      <c r="Q36">
        <v>4.2561999999999998</v>
      </c>
      <c r="R36">
        <v>0.68100000000000005</v>
      </c>
      <c r="S36" t="s">
        <v>671</v>
      </c>
      <c r="T36">
        <v>6</v>
      </c>
      <c r="U36" t="s">
        <v>89</v>
      </c>
    </row>
    <row r="37" spans="1:21" outlineLevel="1" x14ac:dyDescent="0.25">
      <c r="H37" s="9" t="s">
        <v>541</v>
      </c>
      <c r="N37">
        <f>SUBTOTAL(9,N35:N36)</f>
        <v>476</v>
      </c>
    </row>
    <row r="38" spans="1:21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8662</v>
      </c>
      <c r="H38" t="s">
        <v>36</v>
      </c>
      <c r="I38">
        <v>1000008662</v>
      </c>
      <c r="J38">
        <v>28833491</v>
      </c>
      <c r="K38" t="s">
        <v>632</v>
      </c>
      <c r="L38" t="s">
        <v>556</v>
      </c>
      <c r="M38" t="s">
        <v>88</v>
      </c>
      <c r="N38">
        <v>236.5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672</v>
      </c>
      <c r="T38">
        <v>6</v>
      </c>
      <c r="U38" t="s">
        <v>89</v>
      </c>
    </row>
    <row r="39" spans="1:21" outlineLevel="2" x14ac:dyDescent="0.25">
      <c r="A39" t="s">
        <v>82</v>
      </c>
      <c r="B39" t="s">
        <v>83</v>
      </c>
      <c r="C39">
        <v>30</v>
      </c>
      <c r="D39" t="s">
        <v>84</v>
      </c>
      <c r="E39">
        <v>184</v>
      </c>
      <c r="F39" t="s">
        <v>85</v>
      </c>
      <c r="G39">
        <v>8662</v>
      </c>
      <c r="H39" t="s">
        <v>36</v>
      </c>
      <c r="I39">
        <v>1000008662</v>
      </c>
      <c r="J39">
        <v>28835791</v>
      </c>
      <c r="K39" t="s">
        <v>645</v>
      </c>
      <c r="L39" t="s">
        <v>87</v>
      </c>
      <c r="M39" t="s">
        <v>88</v>
      </c>
      <c r="N39">
        <v>96.5</v>
      </c>
      <c r="O39">
        <v>14.22</v>
      </c>
      <c r="P39">
        <v>2.2799999999999998</v>
      </c>
      <c r="Q39">
        <v>4.2561999999999998</v>
      </c>
      <c r="R39">
        <v>0.68100000000000005</v>
      </c>
      <c r="S39" t="s">
        <v>673</v>
      </c>
      <c r="T39">
        <v>6</v>
      </c>
      <c r="U39" t="s">
        <v>89</v>
      </c>
    </row>
    <row r="40" spans="1:21" outlineLevel="1" x14ac:dyDescent="0.25">
      <c r="H40" s="9" t="s">
        <v>542</v>
      </c>
      <c r="N40">
        <f>SUBTOTAL(9,N38:N39)</f>
        <v>333</v>
      </c>
    </row>
    <row r="41" spans="1:21" outlineLevel="2" x14ac:dyDescent="0.25">
      <c r="A41" t="s">
        <v>82</v>
      </c>
      <c r="B41" t="s">
        <v>83</v>
      </c>
      <c r="C41">
        <v>30</v>
      </c>
      <c r="D41" t="s">
        <v>84</v>
      </c>
      <c r="E41">
        <v>184</v>
      </c>
      <c r="F41" t="s">
        <v>85</v>
      </c>
      <c r="G41">
        <v>8663</v>
      </c>
      <c r="H41" t="s">
        <v>42</v>
      </c>
      <c r="I41">
        <v>1000008663</v>
      </c>
      <c r="J41">
        <v>28831660</v>
      </c>
      <c r="K41" t="s">
        <v>614</v>
      </c>
      <c r="L41" t="s">
        <v>87</v>
      </c>
      <c r="M41" t="s">
        <v>88</v>
      </c>
      <c r="N41">
        <v>174.5</v>
      </c>
      <c r="O41">
        <v>14.22</v>
      </c>
      <c r="P41">
        <v>2.2799999999999998</v>
      </c>
      <c r="Q41">
        <v>4.2561999999999998</v>
      </c>
      <c r="R41">
        <v>0.68100000000000005</v>
      </c>
      <c r="S41" t="s">
        <v>674</v>
      </c>
      <c r="T41">
        <v>6</v>
      </c>
      <c r="U41" t="s">
        <v>89</v>
      </c>
    </row>
    <row r="42" spans="1:21" outlineLevel="2" x14ac:dyDescent="0.25">
      <c r="A42" t="s">
        <v>82</v>
      </c>
      <c r="B42" t="s">
        <v>83</v>
      </c>
      <c r="C42">
        <v>30</v>
      </c>
      <c r="D42" t="s">
        <v>84</v>
      </c>
      <c r="E42">
        <v>184</v>
      </c>
      <c r="F42" t="s">
        <v>85</v>
      </c>
      <c r="G42">
        <v>8663</v>
      </c>
      <c r="H42" t="s">
        <v>42</v>
      </c>
      <c r="I42">
        <v>1000008663</v>
      </c>
      <c r="J42">
        <v>28831838</v>
      </c>
      <c r="K42" t="s">
        <v>617</v>
      </c>
      <c r="L42" t="s">
        <v>556</v>
      </c>
      <c r="M42" t="s">
        <v>88</v>
      </c>
      <c r="N42">
        <v>344.5</v>
      </c>
      <c r="O42">
        <v>14.22</v>
      </c>
      <c r="P42">
        <v>2.2799999999999998</v>
      </c>
      <c r="Q42">
        <v>4.2561999999999998</v>
      </c>
      <c r="R42">
        <v>0.68100000000000005</v>
      </c>
      <c r="S42" t="s">
        <v>675</v>
      </c>
      <c r="T42">
        <v>6</v>
      </c>
      <c r="U42" t="s">
        <v>89</v>
      </c>
    </row>
    <row r="43" spans="1:21" outlineLevel="1" x14ac:dyDescent="0.25">
      <c r="H43" s="9" t="s">
        <v>543</v>
      </c>
      <c r="N43">
        <f>SUBTOTAL(9,N41:N42)</f>
        <v>519</v>
      </c>
    </row>
    <row r="44" spans="1:21" outlineLevel="2" x14ac:dyDescent="0.25">
      <c r="A44" t="s">
        <v>82</v>
      </c>
      <c r="B44" t="s">
        <v>83</v>
      </c>
      <c r="C44">
        <v>30</v>
      </c>
      <c r="D44" t="s">
        <v>84</v>
      </c>
      <c r="E44">
        <v>184</v>
      </c>
      <c r="F44" t="s">
        <v>85</v>
      </c>
      <c r="G44">
        <v>8664</v>
      </c>
      <c r="H44" t="s">
        <v>27</v>
      </c>
      <c r="I44">
        <v>1000008664</v>
      </c>
      <c r="J44">
        <v>28831679</v>
      </c>
      <c r="K44" t="s">
        <v>615</v>
      </c>
      <c r="L44" t="s">
        <v>556</v>
      </c>
      <c r="M44" t="s">
        <v>88</v>
      </c>
      <c r="N44">
        <v>186.5</v>
      </c>
      <c r="O44">
        <v>14.22</v>
      </c>
      <c r="P44">
        <v>2.2799999999999998</v>
      </c>
      <c r="Q44">
        <v>4.2561999999999998</v>
      </c>
      <c r="R44">
        <v>0.68100000000000005</v>
      </c>
      <c r="S44" t="s">
        <v>676</v>
      </c>
      <c r="T44">
        <v>6</v>
      </c>
      <c r="U44" t="s">
        <v>89</v>
      </c>
    </row>
    <row r="45" spans="1:21" outlineLevel="2" x14ac:dyDescent="0.25">
      <c r="A45" t="s">
        <v>82</v>
      </c>
      <c r="B45" t="s">
        <v>83</v>
      </c>
      <c r="C45">
        <v>30</v>
      </c>
      <c r="D45" t="s">
        <v>84</v>
      </c>
      <c r="E45">
        <v>184</v>
      </c>
      <c r="F45" t="s">
        <v>85</v>
      </c>
      <c r="G45">
        <v>8664</v>
      </c>
      <c r="H45" t="s">
        <v>27</v>
      </c>
      <c r="I45">
        <v>1000008664</v>
      </c>
      <c r="J45">
        <v>28833327</v>
      </c>
      <c r="K45" t="s">
        <v>628</v>
      </c>
      <c r="L45" t="s">
        <v>556</v>
      </c>
      <c r="M45" t="s">
        <v>88</v>
      </c>
      <c r="N45">
        <v>351.5</v>
      </c>
      <c r="O45">
        <v>14.22</v>
      </c>
      <c r="P45">
        <v>2.2799999999999998</v>
      </c>
      <c r="Q45">
        <v>4.2561999999999998</v>
      </c>
      <c r="R45">
        <v>0.68100000000000005</v>
      </c>
      <c r="S45" t="s">
        <v>677</v>
      </c>
      <c r="T45">
        <v>6</v>
      </c>
      <c r="U45" t="s">
        <v>89</v>
      </c>
    </row>
    <row r="46" spans="1:21" outlineLevel="2" x14ac:dyDescent="0.25">
      <c r="A46" t="s">
        <v>82</v>
      </c>
      <c r="B46" t="s">
        <v>83</v>
      </c>
      <c r="C46">
        <v>30</v>
      </c>
      <c r="D46" t="s">
        <v>84</v>
      </c>
      <c r="E46">
        <v>184</v>
      </c>
      <c r="F46" t="s">
        <v>85</v>
      </c>
      <c r="G46">
        <v>8664</v>
      </c>
      <c r="H46" t="s">
        <v>27</v>
      </c>
      <c r="I46">
        <v>1000008664</v>
      </c>
      <c r="J46">
        <v>28833336</v>
      </c>
      <c r="K46" t="s">
        <v>629</v>
      </c>
      <c r="L46" t="s">
        <v>556</v>
      </c>
      <c r="M46" t="s">
        <v>88</v>
      </c>
      <c r="N46">
        <v>44.5</v>
      </c>
      <c r="O46">
        <v>14.22</v>
      </c>
      <c r="P46">
        <v>2.2799999999999998</v>
      </c>
      <c r="Q46">
        <v>4.2561999999999998</v>
      </c>
      <c r="R46">
        <v>0.68100000000000005</v>
      </c>
      <c r="S46" t="s">
        <v>678</v>
      </c>
      <c r="T46">
        <v>6</v>
      </c>
      <c r="U46" t="s">
        <v>89</v>
      </c>
    </row>
    <row r="47" spans="1:21" outlineLevel="1" x14ac:dyDescent="0.25">
      <c r="H47" s="9" t="s">
        <v>544</v>
      </c>
      <c r="N47">
        <f>SUBTOTAL(9,N44:N46)</f>
        <v>582.5</v>
      </c>
    </row>
    <row r="48" spans="1:21" outlineLevel="2" x14ac:dyDescent="0.25">
      <c r="A48" t="s">
        <v>82</v>
      </c>
      <c r="B48" t="s">
        <v>83</v>
      </c>
      <c r="C48">
        <v>30</v>
      </c>
      <c r="D48" t="s">
        <v>84</v>
      </c>
      <c r="E48">
        <v>184</v>
      </c>
      <c r="F48" t="s">
        <v>85</v>
      </c>
      <c r="G48">
        <v>8666</v>
      </c>
      <c r="H48" t="s">
        <v>28</v>
      </c>
      <c r="I48">
        <v>1000008666</v>
      </c>
      <c r="J48">
        <v>28833401</v>
      </c>
      <c r="K48" t="s">
        <v>630</v>
      </c>
      <c r="L48" t="s">
        <v>87</v>
      </c>
      <c r="M48" t="s">
        <v>88</v>
      </c>
      <c r="N48">
        <v>186.5</v>
      </c>
      <c r="O48">
        <v>14.22</v>
      </c>
      <c r="P48">
        <v>2.2799999999999998</v>
      </c>
      <c r="Q48">
        <v>4.2561999999999998</v>
      </c>
      <c r="R48">
        <v>0.68100000000000005</v>
      </c>
      <c r="S48" t="s">
        <v>679</v>
      </c>
      <c r="T48">
        <v>6</v>
      </c>
      <c r="U48" t="s">
        <v>89</v>
      </c>
    </row>
    <row r="49" spans="1:22" outlineLevel="1" x14ac:dyDescent="0.25">
      <c r="H49" s="9" t="s">
        <v>687</v>
      </c>
      <c r="N49">
        <f>SUBTOTAL(9,N48:N48)</f>
        <v>186.5</v>
      </c>
    </row>
    <row r="50" spans="1:22" outlineLevel="2" x14ac:dyDescent="0.25">
      <c r="A50" s="13" t="s">
        <v>82</v>
      </c>
      <c r="B50" s="13" t="s">
        <v>83</v>
      </c>
      <c r="C50" s="13">
        <v>30</v>
      </c>
      <c r="D50" s="13" t="s">
        <v>84</v>
      </c>
      <c r="E50" s="13">
        <v>184</v>
      </c>
      <c r="F50" s="13" t="s">
        <v>85</v>
      </c>
      <c r="G50" s="13">
        <v>8669</v>
      </c>
      <c r="H50" s="13" t="s">
        <v>48</v>
      </c>
      <c r="I50" s="13">
        <v>1000008669</v>
      </c>
      <c r="J50" s="13">
        <v>28835491</v>
      </c>
      <c r="K50" s="13" t="s">
        <v>644</v>
      </c>
      <c r="L50" s="13" t="s">
        <v>87</v>
      </c>
      <c r="M50" s="13" t="s">
        <v>88</v>
      </c>
      <c r="N50" s="13">
        <v>360.5</v>
      </c>
      <c r="O50" s="13">
        <v>14.22</v>
      </c>
      <c r="P50" s="13">
        <v>2.2799999999999998</v>
      </c>
      <c r="Q50" s="13">
        <v>4.2561999999999998</v>
      </c>
      <c r="R50" s="13">
        <v>0.68100000000000005</v>
      </c>
      <c r="S50" s="13" t="s">
        <v>686</v>
      </c>
      <c r="T50" s="13">
        <v>6</v>
      </c>
      <c r="U50" s="13" t="s">
        <v>89</v>
      </c>
      <c r="V50" s="13"/>
    </row>
    <row r="51" spans="1:22" outlineLevel="1" x14ac:dyDescent="0.25">
      <c r="A51" s="13"/>
      <c r="B51" s="13"/>
      <c r="C51" s="13"/>
      <c r="D51" s="13"/>
      <c r="E51" s="13"/>
      <c r="F51" s="13"/>
      <c r="G51" s="13"/>
      <c r="H51" s="14" t="s">
        <v>545</v>
      </c>
      <c r="I51" s="13"/>
      <c r="J51" s="13"/>
      <c r="K51" s="13"/>
      <c r="L51" s="13"/>
      <c r="M51" s="13"/>
      <c r="N51" s="13">
        <f>SUBTOTAL(9,N50:N50)</f>
        <v>360.5</v>
      </c>
      <c r="O51" s="13"/>
      <c r="P51" s="13"/>
      <c r="Q51" s="13"/>
      <c r="R51" s="13"/>
      <c r="S51" s="13"/>
      <c r="T51" s="13"/>
      <c r="U51" s="13"/>
      <c r="V51" s="13"/>
    </row>
    <row r="52" spans="1:22" outlineLevel="2" x14ac:dyDescent="0.25">
      <c r="A52" t="s">
        <v>82</v>
      </c>
      <c r="B52" t="s">
        <v>83</v>
      </c>
      <c r="C52">
        <v>30</v>
      </c>
      <c r="D52" t="s">
        <v>84</v>
      </c>
      <c r="E52">
        <v>184</v>
      </c>
      <c r="F52" t="s">
        <v>85</v>
      </c>
      <c r="G52">
        <v>8676</v>
      </c>
      <c r="H52" t="s">
        <v>54</v>
      </c>
      <c r="I52">
        <v>1000008676</v>
      </c>
      <c r="J52">
        <v>28834936</v>
      </c>
      <c r="K52" t="s">
        <v>638</v>
      </c>
      <c r="L52" t="s">
        <v>87</v>
      </c>
      <c r="M52" t="s">
        <v>88</v>
      </c>
      <c r="N52">
        <v>65.5</v>
      </c>
      <c r="O52">
        <v>14.22</v>
      </c>
      <c r="P52">
        <v>2.2799999999999998</v>
      </c>
      <c r="Q52">
        <v>4.2561999999999998</v>
      </c>
      <c r="R52">
        <v>0.68100000000000005</v>
      </c>
      <c r="S52" t="s">
        <v>680</v>
      </c>
      <c r="T52">
        <v>6</v>
      </c>
      <c r="U52" t="s">
        <v>89</v>
      </c>
    </row>
    <row r="53" spans="1:22" outlineLevel="2" x14ac:dyDescent="0.25">
      <c r="A53" t="s">
        <v>82</v>
      </c>
      <c r="B53" t="s">
        <v>83</v>
      </c>
      <c r="C53">
        <v>30</v>
      </c>
      <c r="D53" t="s">
        <v>84</v>
      </c>
      <c r="E53">
        <v>184</v>
      </c>
      <c r="F53" t="s">
        <v>85</v>
      </c>
      <c r="G53">
        <v>8676</v>
      </c>
      <c r="H53" t="s">
        <v>54</v>
      </c>
      <c r="I53">
        <v>1000008676</v>
      </c>
      <c r="J53">
        <v>28835440</v>
      </c>
      <c r="K53" t="s">
        <v>643</v>
      </c>
      <c r="L53" t="s">
        <v>87</v>
      </c>
      <c r="M53" t="s">
        <v>88</v>
      </c>
      <c r="N53">
        <v>81.5</v>
      </c>
      <c r="O53">
        <v>14.22</v>
      </c>
      <c r="P53">
        <v>2.2799999999999998</v>
      </c>
      <c r="Q53">
        <v>4.2561999999999998</v>
      </c>
      <c r="R53">
        <v>0.68100000000000005</v>
      </c>
      <c r="S53" t="s">
        <v>681</v>
      </c>
      <c r="T53">
        <v>6</v>
      </c>
      <c r="U53" t="s">
        <v>89</v>
      </c>
    </row>
    <row r="54" spans="1:22" outlineLevel="1" x14ac:dyDescent="0.25">
      <c r="H54" s="9" t="s">
        <v>548</v>
      </c>
      <c r="N54">
        <f>SUBTOTAL(9,N52:N53)</f>
        <v>147</v>
      </c>
    </row>
    <row r="55" spans="1:22" outlineLevel="2" x14ac:dyDescent="0.25">
      <c r="A55" t="s">
        <v>82</v>
      </c>
      <c r="B55" t="s">
        <v>83</v>
      </c>
      <c r="C55">
        <v>30</v>
      </c>
      <c r="D55" t="s">
        <v>84</v>
      </c>
      <c r="E55">
        <v>184</v>
      </c>
      <c r="F55" t="s">
        <v>85</v>
      </c>
      <c r="G55">
        <v>9566</v>
      </c>
      <c r="H55" t="s">
        <v>55</v>
      </c>
      <c r="I55">
        <v>1000009566</v>
      </c>
      <c r="J55">
        <v>28832562</v>
      </c>
      <c r="K55" t="s">
        <v>620</v>
      </c>
      <c r="L55" t="s">
        <v>87</v>
      </c>
      <c r="M55" t="s">
        <v>88</v>
      </c>
      <c r="N55">
        <v>244.5</v>
      </c>
      <c r="O55">
        <v>14.22</v>
      </c>
      <c r="P55">
        <v>2.2799999999999998</v>
      </c>
      <c r="Q55">
        <v>4.2561999999999998</v>
      </c>
      <c r="R55">
        <v>0.68100000000000005</v>
      </c>
      <c r="S55" t="s">
        <v>682</v>
      </c>
      <c r="T55">
        <v>6</v>
      </c>
      <c r="U55" t="s">
        <v>89</v>
      </c>
    </row>
    <row r="56" spans="1:22" outlineLevel="1" x14ac:dyDescent="0.25">
      <c r="H56" s="9" t="s">
        <v>549</v>
      </c>
      <c r="N56">
        <f>SUBTOTAL(9,N55:N55)</f>
        <v>244.5</v>
      </c>
    </row>
    <row r="57" spans="1:22" outlineLevel="2" x14ac:dyDescent="0.25">
      <c r="A57" t="s">
        <v>82</v>
      </c>
      <c r="B57" t="s">
        <v>83</v>
      </c>
      <c r="C57">
        <v>30</v>
      </c>
      <c r="D57" t="s">
        <v>84</v>
      </c>
      <c r="E57">
        <v>184</v>
      </c>
      <c r="F57" t="s">
        <v>85</v>
      </c>
      <c r="G57">
        <v>8679</v>
      </c>
      <c r="H57" t="s">
        <v>60</v>
      </c>
      <c r="I57">
        <v>1000008679</v>
      </c>
      <c r="J57">
        <v>28829945</v>
      </c>
      <c r="K57" t="s">
        <v>607</v>
      </c>
      <c r="L57" t="s">
        <v>87</v>
      </c>
      <c r="M57" t="s">
        <v>88</v>
      </c>
      <c r="N57">
        <v>44.5</v>
      </c>
      <c r="O57">
        <v>14.22</v>
      </c>
      <c r="P57">
        <v>2.2799999999999998</v>
      </c>
      <c r="Q57">
        <v>4.2561999999999998</v>
      </c>
      <c r="R57">
        <v>0.68100000000000005</v>
      </c>
      <c r="S57" t="s">
        <v>683</v>
      </c>
      <c r="T57">
        <v>6</v>
      </c>
      <c r="U57" t="s">
        <v>89</v>
      </c>
    </row>
    <row r="58" spans="1:22" outlineLevel="2" x14ac:dyDescent="0.25">
      <c r="A58" s="8" t="s">
        <v>82</v>
      </c>
      <c r="B58" s="8" t="s">
        <v>83</v>
      </c>
      <c r="C58" s="8">
        <v>30</v>
      </c>
      <c r="D58" s="8" t="s">
        <v>84</v>
      </c>
      <c r="E58" s="8">
        <v>184</v>
      </c>
      <c r="F58" s="8" t="s">
        <v>85</v>
      </c>
      <c r="G58" s="8">
        <v>8679</v>
      </c>
      <c r="H58" s="8" t="s">
        <v>60</v>
      </c>
      <c r="I58" s="8">
        <v>1000008679</v>
      </c>
      <c r="J58" s="8">
        <v>28829990</v>
      </c>
      <c r="K58" s="8" t="s">
        <v>608</v>
      </c>
      <c r="L58" s="8" t="s">
        <v>87</v>
      </c>
      <c r="M58" s="8" t="s">
        <v>88</v>
      </c>
      <c r="N58" s="8">
        <v>232.5</v>
      </c>
      <c r="O58" s="8">
        <v>14.22</v>
      </c>
      <c r="P58" s="8">
        <v>2.2799999999999998</v>
      </c>
      <c r="Q58" s="8">
        <v>4.2561999999999998</v>
      </c>
      <c r="R58" s="8">
        <v>0.68100000000000005</v>
      </c>
      <c r="S58" s="8" t="s">
        <v>685</v>
      </c>
      <c r="T58" s="8">
        <v>6</v>
      </c>
      <c r="U58" s="8" t="s">
        <v>89</v>
      </c>
      <c r="V58" s="8"/>
    </row>
    <row r="59" spans="1:22" outlineLevel="1" x14ac:dyDescent="0.25">
      <c r="A59" s="8"/>
      <c r="B59" s="8"/>
      <c r="C59" s="8"/>
      <c r="D59" s="8"/>
      <c r="E59" s="8"/>
      <c r="F59" s="8"/>
      <c r="G59" s="8"/>
      <c r="H59" s="10" t="s">
        <v>550</v>
      </c>
      <c r="I59" s="8"/>
      <c r="J59" s="8"/>
      <c r="K59" s="8"/>
      <c r="L59" s="8"/>
      <c r="M59" s="8"/>
      <c r="N59" s="8">
        <f>SUBTOTAL(9,N57:N58)</f>
        <v>277</v>
      </c>
      <c r="O59" s="8"/>
      <c r="P59" s="8"/>
      <c r="Q59" s="8"/>
      <c r="R59" s="8"/>
      <c r="S59" s="8"/>
      <c r="T59" s="8"/>
      <c r="U59" s="8"/>
      <c r="V59" s="8"/>
    </row>
    <row r="60" spans="1:22" outlineLevel="2" x14ac:dyDescent="0.25">
      <c r="A60" t="s">
        <v>82</v>
      </c>
      <c r="B60" t="s">
        <v>83</v>
      </c>
      <c r="C60">
        <v>30</v>
      </c>
      <c r="D60" t="s">
        <v>84</v>
      </c>
      <c r="E60">
        <v>184</v>
      </c>
      <c r="F60" t="s">
        <v>85</v>
      </c>
      <c r="G60">
        <v>8681</v>
      </c>
      <c r="H60" t="s">
        <v>41</v>
      </c>
      <c r="I60">
        <v>1000008681</v>
      </c>
      <c r="J60">
        <v>28830334</v>
      </c>
      <c r="K60" t="s">
        <v>612</v>
      </c>
      <c r="L60" t="s">
        <v>87</v>
      </c>
      <c r="M60" t="s">
        <v>88</v>
      </c>
      <c r="N60">
        <v>183.5</v>
      </c>
      <c r="O60">
        <v>14.22</v>
      </c>
      <c r="P60">
        <v>2.2799999999999998</v>
      </c>
      <c r="Q60">
        <v>4.2561999999999998</v>
      </c>
      <c r="R60">
        <v>0.68100000000000005</v>
      </c>
      <c r="S60" t="s">
        <v>684</v>
      </c>
      <c r="T60">
        <v>6</v>
      </c>
      <c r="U60" t="s">
        <v>89</v>
      </c>
    </row>
    <row r="61" spans="1:22" outlineLevel="1" x14ac:dyDescent="0.25">
      <c r="H61" s="9" t="s">
        <v>688</v>
      </c>
      <c r="N61">
        <f>SUBTOTAL(9,N60:N60)</f>
        <v>183.5</v>
      </c>
    </row>
    <row r="62" spans="1:22" x14ac:dyDescent="0.25">
      <c r="H62" s="9" t="s">
        <v>553</v>
      </c>
      <c r="N62">
        <f>SUBTOTAL(9,N4:N60)</f>
        <v>10183</v>
      </c>
      <c r="Q62">
        <f>COUNT(O3:O61)</f>
        <v>40</v>
      </c>
      <c r="R62">
        <f>Q62*4.94</f>
        <v>197.60000000000002</v>
      </c>
      <c r="S62" s="12">
        <f>N62-R62</f>
        <v>9985.4</v>
      </c>
    </row>
  </sheetData>
  <sortState xmlns:xlrd2="http://schemas.microsoft.com/office/spreadsheetml/2017/richdata2" ref="A4:V60">
    <sortCondition ref="H4:H60"/>
    <sortCondition ref="K4:K60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2087A-D053-4A66-8D43-E2342408AD16}">
  <sheetPr codeName="Hoja7"/>
  <dimension ref="A3:V45"/>
  <sheetViews>
    <sheetView topLeftCell="H1" workbookViewId="0"/>
    <sheetView topLeftCell="H1" workbookViewId="1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28829367</v>
      </c>
      <c r="K4" t="s">
        <v>580</v>
      </c>
      <c r="L4" t="s">
        <v>87</v>
      </c>
      <c r="M4" t="s">
        <v>88</v>
      </c>
      <c r="N4">
        <v>16.5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581</v>
      </c>
      <c r="T4">
        <v>6</v>
      </c>
      <c r="U4" t="s">
        <v>89</v>
      </c>
    </row>
    <row r="5" spans="1:22" outlineLevel="1" x14ac:dyDescent="0.25">
      <c r="H5" s="9" t="s">
        <v>531</v>
      </c>
      <c r="N5">
        <f>SUBTOTAL(9,N4:N4)</f>
        <v>16.5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8652</v>
      </c>
      <c r="H6" t="s">
        <v>40</v>
      </c>
      <c r="I6">
        <v>1000008652</v>
      </c>
      <c r="J6">
        <v>28825994</v>
      </c>
      <c r="K6" t="s">
        <v>563</v>
      </c>
      <c r="L6" t="s">
        <v>556</v>
      </c>
      <c r="M6" t="s">
        <v>88</v>
      </c>
      <c r="N6">
        <v>371.5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582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8652</v>
      </c>
      <c r="H7" t="s">
        <v>40</v>
      </c>
      <c r="I7">
        <v>1000008652</v>
      </c>
      <c r="J7">
        <v>28827044</v>
      </c>
      <c r="K7" t="s">
        <v>572</v>
      </c>
      <c r="L7" t="s">
        <v>556</v>
      </c>
      <c r="M7" t="s">
        <v>88</v>
      </c>
      <c r="N7">
        <v>139.5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583</v>
      </c>
      <c r="T7">
        <v>6</v>
      </c>
      <c r="U7" t="s">
        <v>89</v>
      </c>
    </row>
    <row r="8" spans="1:22" outlineLevel="1" x14ac:dyDescent="0.25">
      <c r="H8" s="9" t="s">
        <v>532</v>
      </c>
      <c r="N8">
        <f>SUBTOTAL(9,N6:N7)</f>
        <v>511</v>
      </c>
    </row>
    <row r="9" spans="1:22" outlineLevel="2" x14ac:dyDescent="0.25">
      <c r="A9" t="s">
        <v>82</v>
      </c>
      <c r="B9" t="s">
        <v>83</v>
      </c>
      <c r="C9">
        <v>30</v>
      </c>
      <c r="D9" t="s">
        <v>84</v>
      </c>
      <c r="E9">
        <v>184</v>
      </c>
      <c r="F9" t="s">
        <v>85</v>
      </c>
      <c r="G9">
        <v>8654</v>
      </c>
      <c r="H9" t="s">
        <v>30</v>
      </c>
      <c r="I9">
        <v>1000008654</v>
      </c>
      <c r="J9">
        <v>28826209</v>
      </c>
      <c r="K9" t="s">
        <v>565</v>
      </c>
      <c r="L9" t="s">
        <v>556</v>
      </c>
      <c r="M9" t="s">
        <v>88</v>
      </c>
      <c r="N9">
        <v>138.5</v>
      </c>
      <c r="O9">
        <v>14.22</v>
      </c>
      <c r="P9">
        <v>2.2799999999999998</v>
      </c>
      <c r="Q9">
        <v>4.2561999999999998</v>
      </c>
      <c r="R9">
        <v>0.68100000000000005</v>
      </c>
      <c r="S9" t="s">
        <v>584</v>
      </c>
      <c r="T9">
        <v>6</v>
      </c>
      <c r="U9" t="s">
        <v>89</v>
      </c>
    </row>
    <row r="10" spans="1:22" outlineLevel="2" x14ac:dyDescent="0.25">
      <c r="A10" t="s">
        <v>82</v>
      </c>
      <c r="B10" t="s">
        <v>83</v>
      </c>
      <c r="C10">
        <v>30</v>
      </c>
      <c r="D10" t="s">
        <v>84</v>
      </c>
      <c r="E10">
        <v>184</v>
      </c>
      <c r="F10" t="s">
        <v>85</v>
      </c>
      <c r="G10">
        <v>8654</v>
      </c>
      <c r="H10" t="s">
        <v>30</v>
      </c>
      <c r="I10">
        <v>1000008654</v>
      </c>
      <c r="J10">
        <v>28826582</v>
      </c>
      <c r="K10" t="s">
        <v>567</v>
      </c>
      <c r="L10" t="s">
        <v>87</v>
      </c>
      <c r="M10" t="s">
        <v>88</v>
      </c>
      <c r="N10">
        <v>84.5</v>
      </c>
      <c r="O10">
        <v>14.22</v>
      </c>
      <c r="P10">
        <v>2.2799999999999998</v>
      </c>
      <c r="Q10">
        <v>4.2561999999999998</v>
      </c>
      <c r="R10">
        <v>0.68100000000000005</v>
      </c>
      <c r="S10" t="s">
        <v>585</v>
      </c>
      <c r="T10">
        <v>6</v>
      </c>
      <c r="U10" t="s">
        <v>89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8654</v>
      </c>
      <c r="H11" t="s">
        <v>30</v>
      </c>
      <c r="I11">
        <v>1000008654</v>
      </c>
      <c r="J11">
        <v>28826649</v>
      </c>
      <c r="K11" t="s">
        <v>568</v>
      </c>
      <c r="L11" t="s">
        <v>87</v>
      </c>
      <c r="M11" t="s">
        <v>88</v>
      </c>
      <c r="N11">
        <v>774.5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586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8654</v>
      </c>
      <c r="H12" t="s">
        <v>30</v>
      </c>
      <c r="I12">
        <v>1000008654</v>
      </c>
      <c r="J12">
        <v>28827933</v>
      </c>
      <c r="K12" t="s">
        <v>575</v>
      </c>
      <c r="L12" t="s">
        <v>87</v>
      </c>
      <c r="M12" t="s">
        <v>88</v>
      </c>
      <c r="N12">
        <v>131.5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587</v>
      </c>
      <c r="T12">
        <v>6</v>
      </c>
      <c r="U12" t="s">
        <v>89</v>
      </c>
    </row>
    <row r="13" spans="1:22" outlineLevel="1" x14ac:dyDescent="0.25">
      <c r="H13" s="9" t="s">
        <v>534</v>
      </c>
      <c r="N13">
        <f>SUBTOTAL(9,N9:N12)</f>
        <v>1129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8655</v>
      </c>
      <c r="H14" t="s">
        <v>29</v>
      </c>
      <c r="I14">
        <v>1000008655</v>
      </c>
      <c r="J14">
        <v>28828835</v>
      </c>
      <c r="K14" t="s">
        <v>579</v>
      </c>
      <c r="L14" t="s">
        <v>87</v>
      </c>
      <c r="M14" t="s">
        <v>88</v>
      </c>
      <c r="N14">
        <v>228.5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588</v>
      </c>
      <c r="T14">
        <v>6</v>
      </c>
      <c r="U14" t="s">
        <v>89</v>
      </c>
    </row>
    <row r="15" spans="1:22" outlineLevel="1" x14ac:dyDescent="0.25">
      <c r="H15" s="9" t="s">
        <v>535</v>
      </c>
      <c r="N15">
        <f>SUBTOTAL(9,N14:N14)</f>
        <v>228.5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8656</v>
      </c>
      <c r="H16" t="s">
        <v>31</v>
      </c>
      <c r="I16">
        <v>1000008656</v>
      </c>
      <c r="J16">
        <v>28825023</v>
      </c>
      <c r="K16" t="s">
        <v>557</v>
      </c>
      <c r="L16" t="s">
        <v>87</v>
      </c>
      <c r="M16" t="s">
        <v>88</v>
      </c>
      <c r="N16">
        <v>194.5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589</v>
      </c>
      <c r="T16">
        <v>6</v>
      </c>
      <c r="U16" t="s">
        <v>89</v>
      </c>
    </row>
    <row r="17" spans="1:21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8656</v>
      </c>
      <c r="H17" t="s">
        <v>31</v>
      </c>
      <c r="I17">
        <v>1000008656</v>
      </c>
      <c r="J17">
        <v>28825438</v>
      </c>
      <c r="K17" t="s">
        <v>560</v>
      </c>
      <c r="L17" t="s">
        <v>87</v>
      </c>
      <c r="M17" t="s">
        <v>88</v>
      </c>
      <c r="N17">
        <v>221.5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590</v>
      </c>
      <c r="T17">
        <v>6</v>
      </c>
      <c r="U17" t="s">
        <v>89</v>
      </c>
    </row>
    <row r="18" spans="1:21" outlineLevel="1" x14ac:dyDescent="0.25">
      <c r="H18" s="9" t="s">
        <v>536</v>
      </c>
      <c r="N18">
        <f>SUBTOTAL(9,N16:N17)</f>
        <v>416</v>
      </c>
    </row>
    <row r="19" spans="1:21" outlineLevel="2" x14ac:dyDescent="0.25">
      <c r="A19" t="s">
        <v>82</v>
      </c>
      <c r="B19" t="s">
        <v>83</v>
      </c>
      <c r="C19">
        <v>30</v>
      </c>
      <c r="D19" t="s">
        <v>84</v>
      </c>
      <c r="E19">
        <v>184</v>
      </c>
      <c r="F19" t="s">
        <v>85</v>
      </c>
      <c r="G19">
        <v>8657</v>
      </c>
      <c r="H19" t="s">
        <v>44</v>
      </c>
      <c r="I19">
        <v>1000008657</v>
      </c>
      <c r="J19">
        <v>28826305</v>
      </c>
      <c r="K19" t="s">
        <v>566</v>
      </c>
      <c r="L19" t="s">
        <v>87</v>
      </c>
      <c r="M19" t="s">
        <v>88</v>
      </c>
      <c r="N19">
        <v>757.5</v>
      </c>
      <c r="O19">
        <v>14.22</v>
      </c>
      <c r="P19">
        <v>2.2799999999999998</v>
      </c>
      <c r="Q19">
        <v>4.2561999999999998</v>
      </c>
      <c r="R19">
        <v>0.68100000000000005</v>
      </c>
      <c r="S19" t="s">
        <v>591</v>
      </c>
      <c r="T19">
        <v>6</v>
      </c>
      <c r="U19" t="s">
        <v>89</v>
      </c>
    </row>
    <row r="20" spans="1:21" outlineLevel="1" x14ac:dyDescent="0.25">
      <c r="H20" s="9" t="s">
        <v>537</v>
      </c>
      <c r="N20">
        <f>SUBTOTAL(9,N19:N19)</f>
        <v>757.5</v>
      </c>
    </row>
    <row r="21" spans="1:21" outlineLevel="2" x14ac:dyDescent="0.25">
      <c r="A21" t="s">
        <v>82</v>
      </c>
      <c r="B21" t="s">
        <v>83</v>
      </c>
      <c r="C21">
        <v>30</v>
      </c>
      <c r="D21" t="s">
        <v>84</v>
      </c>
      <c r="E21">
        <v>184</v>
      </c>
      <c r="F21" t="s">
        <v>85</v>
      </c>
      <c r="G21">
        <v>8658</v>
      </c>
      <c r="H21" t="s">
        <v>33</v>
      </c>
      <c r="I21">
        <v>1000008658</v>
      </c>
      <c r="J21">
        <v>28828197</v>
      </c>
      <c r="K21" t="s">
        <v>577</v>
      </c>
      <c r="L21" t="s">
        <v>87</v>
      </c>
      <c r="M21" t="s">
        <v>88</v>
      </c>
      <c r="N21">
        <v>119.5</v>
      </c>
      <c r="O21">
        <v>14.22</v>
      </c>
      <c r="P21">
        <v>2.2799999999999998</v>
      </c>
      <c r="Q21">
        <v>4.2561999999999998</v>
      </c>
      <c r="R21">
        <v>0.68100000000000005</v>
      </c>
      <c r="S21" t="s">
        <v>592</v>
      </c>
      <c r="T21">
        <v>6</v>
      </c>
      <c r="U21" t="s">
        <v>89</v>
      </c>
    </row>
    <row r="22" spans="1:21" outlineLevel="1" x14ac:dyDescent="0.25">
      <c r="H22" s="9" t="s">
        <v>538</v>
      </c>
      <c r="N22">
        <f>SUBTOTAL(9,N21:N21)</f>
        <v>119.5</v>
      </c>
    </row>
    <row r="23" spans="1:21" outlineLevel="2" x14ac:dyDescent="0.25">
      <c r="A23" t="s">
        <v>82</v>
      </c>
      <c r="B23" t="s">
        <v>83</v>
      </c>
      <c r="C23">
        <v>30</v>
      </c>
      <c r="D23" t="s">
        <v>84</v>
      </c>
      <c r="E23">
        <v>184</v>
      </c>
      <c r="F23" t="s">
        <v>85</v>
      </c>
      <c r="G23">
        <v>8659</v>
      </c>
      <c r="H23" t="s">
        <v>32</v>
      </c>
      <c r="I23">
        <v>1000008659</v>
      </c>
      <c r="J23">
        <v>28824676</v>
      </c>
      <c r="K23" t="s">
        <v>554</v>
      </c>
      <c r="L23" t="s">
        <v>87</v>
      </c>
      <c r="M23" t="s">
        <v>88</v>
      </c>
      <c r="N23">
        <v>44.5</v>
      </c>
      <c r="O23">
        <v>14.22</v>
      </c>
      <c r="P23">
        <v>2.2799999999999998</v>
      </c>
      <c r="Q23">
        <v>4.2561999999999998</v>
      </c>
      <c r="R23">
        <v>0.68100000000000005</v>
      </c>
      <c r="S23" t="s">
        <v>593</v>
      </c>
      <c r="T23">
        <v>6</v>
      </c>
      <c r="U23" t="s">
        <v>89</v>
      </c>
    </row>
    <row r="24" spans="1:21" outlineLevel="1" x14ac:dyDescent="0.25">
      <c r="H24" s="9" t="s">
        <v>539</v>
      </c>
      <c r="N24">
        <f>SUBTOTAL(9,N23:N23)</f>
        <v>44.5</v>
      </c>
    </row>
    <row r="25" spans="1:21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8660</v>
      </c>
      <c r="H25" t="s">
        <v>35</v>
      </c>
      <c r="I25">
        <v>1000008660</v>
      </c>
      <c r="J25">
        <v>28824933</v>
      </c>
      <c r="K25" t="s">
        <v>555</v>
      </c>
      <c r="L25" t="s">
        <v>556</v>
      </c>
      <c r="M25" t="s">
        <v>88</v>
      </c>
      <c r="N25">
        <v>121.5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594</v>
      </c>
      <c r="T25">
        <v>6</v>
      </c>
      <c r="U25" t="s">
        <v>89</v>
      </c>
    </row>
    <row r="26" spans="1:21" outlineLevel="1" x14ac:dyDescent="0.25">
      <c r="H26" s="9" t="s">
        <v>540</v>
      </c>
      <c r="N26">
        <f>SUBTOTAL(9,N25:N25)</f>
        <v>121.5</v>
      </c>
    </row>
    <row r="27" spans="1:21" outlineLevel="2" x14ac:dyDescent="0.25">
      <c r="A27" t="s">
        <v>82</v>
      </c>
      <c r="B27" t="s">
        <v>83</v>
      </c>
      <c r="C27">
        <v>30</v>
      </c>
      <c r="D27" t="s">
        <v>84</v>
      </c>
      <c r="E27">
        <v>184</v>
      </c>
      <c r="F27" t="s">
        <v>85</v>
      </c>
      <c r="G27">
        <v>8661</v>
      </c>
      <c r="H27" t="s">
        <v>39</v>
      </c>
      <c r="I27">
        <v>1000008661</v>
      </c>
      <c r="J27">
        <v>28827269</v>
      </c>
      <c r="K27" t="s">
        <v>573</v>
      </c>
      <c r="L27" t="s">
        <v>87</v>
      </c>
      <c r="M27" t="s">
        <v>88</v>
      </c>
      <c r="N27">
        <v>43.5</v>
      </c>
      <c r="O27">
        <v>14.22</v>
      </c>
      <c r="P27">
        <v>2.2799999999999998</v>
      </c>
      <c r="Q27">
        <v>4.2561999999999998</v>
      </c>
      <c r="R27">
        <v>0.68100000000000005</v>
      </c>
      <c r="S27" t="s">
        <v>595</v>
      </c>
      <c r="T27">
        <v>6</v>
      </c>
      <c r="U27" t="s">
        <v>89</v>
      </c>
    </row>
    <row r="28" spans="1:21" outlineLevel="1" x14ac:dyDescent="0.25">
      <c r="H28" s="9" t="s">
        <v>541</v>
      </c>
      <c r="N28">
        <f>SUBTOTAL(9,N27:N27)</f>
        <v>43.5</v>
      </c>
    </row>
    <row r="29" spans="1:21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8662</v>
      </c>
      <c r="H29" t="s">
        <v>36</v>
      </c>
      <c r="I29">
        <v>1000008662</v>
      </c>
      <c r="J29">
        <v>28826855</v>
      </c>
      <c r="K29" t="s">
        <v>569</v>
      </c>
      <c r="L29" t="s">
        <v>87</v>
      </c>
      <c r="M29" t="s">
        <v>88</v>
      </c>
      <c r="N29">
        <v>201.5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596</v>
      </c>
      <c r="T29">
        <v>6</v>
      </c>
      <c r="U29" t="s">
        <v>89</v>
      </c>
    </row>
    <row r="30" spans="1:21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8662</v>
      </c>
      <c r="H30" t="s">
        <v>36</v>
      </c>
      <c r="I30">
        <v>1000008662</v>
      </c>
      <c r="J30">
        <v>28828182</v>
      </c>
      <c r="K30" t="s">
        <v>576</v>
      </c>
      <c r="L30" t="s">
        <v>87</v>
      </c>
      <c r="M30" t="s">
        <v>88</v>
      </c>
      <c r="N30">
        <v>142.5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597</v>
      </c>
      <c r="T30">
        <v>6</v>
      </c>
      <c r="U30" t="s">
        <v>89</v>
      </c>
    </row>
    <row r="31" spans="1:21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8662</v>
      </c>
      <c r="H31" t="s">
        <v>36</v>
      </c>
      <c r="I31">
        <v>1000008662</v>
      </c>
      <c r="J31">
        <v>28828404</v>
      </c>
      <c r="K31" t="s">
        <v>578</v>
      </c>
      <c r="L31" t="s">
        <v>87</v>
      </c>
      <c r="M31" t="s">
        <v>88</v>
      </c>
      <c r="N31">
        <v>44.5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598</v>
      </c>
      <c r="T31">
        <v>6</v>
      </c>
      <c r="U31" t="s">
        <v>89</v>
      </c>
    </row>
    <row r="32" spans="1:21" outlineLevel="1" x14ac:dyDescent="0.25">
      <c r="H32" s="9" t="s">
        <v>542</v>
      </c>
      <c r="N32">
        <f>SUBTOTAL(9,N29:N31)</f>
        <v>388.5</v>
      </c>
    </row>
    <row r="33" spans="1:21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8663</v>
      </c>
      <c r="H33" t="s">
        <v>42</v>
      </c>
      <c r="I33">
        <v>1000008663</v>
      </c>
      <c r="J33">
        <v>28825612</v>
      </c>
      <c r="K33" t="s">
        <v>561</v>
      </c>
      <c r="L33" t="s">
        <v>87</v>
      </c>
      <c r="M33" t="s">
        <v>88</v>
      </c>
      <c r="N33">
        <v>54.5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599</v>
      </c>
      <c r="T33">
        <v>6</v>
      </c>
      <c r="U33" t="s">
        <v>89</v>
      </c>
    </row>
    <row r="34" spans="1:21" outlineLevel="2" x14ac:dyDescent="0.25">
      <c r="A34" t="s">
        <v>82</v>
      </c>
      <c r="B34" t="s">
        <v>83</v>
      </c>
      <c r="C34">
        <v>30</v>
      </c>
      <c r="D34" t="s">
        <v>84</v>
      </c>
      <c r="E34">
        <v>184</v>
      </c>
      <c r="F34" t="s">
        <v>85</v>
      </c>
      <c r="G34">
        <v>8663</v>
      </c>
      <c r="H34" t="s">
        <v>42</v>
      </c>
      <c r="I34">
        <v>1000008663</v>
      </c>
      <c r="J34">
        <v>28826082</v>
      </c>
      <c r="K34" t="s">
        <v>564</v>
      </c>
      <c r="L34" t="s">
        <v>87</v>
      </c>
      <c r="M34" t="s">
        <v>88</v>
      </c>
      <c r="N34">
        <v>121.5</v>
      </c>
      <c r="O34">
        <v>14.22</v>
      </c>
      <c r="P34">
        <v>2.2799999999999998</v>
      </c>
      <c r="Q34">
        <v>4.2561999999999998</v>
      </c>
      <c r="R34">
        <v>0.68100000000000005</v>
      </c>
      <c r="S34" t="s">
        <v>600</v>
      </c>
      <c r="T34">
        <v>6</v>
      </c>
      <c r="U34" t="s">
        <v>89</v>
      </c>
    </row>
    <row r="35" spans="1:21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8663</v>
      </c>
      <c r="H35" t="s">
        <v>42</v>
      </c>
      <c r="I35">
        <v>1000008663</v>
      </c>
      <c r="J35">
        <v>28827550</v>
      </c>
      <c r="K35" t="s">
        <v>574</v>
      </c>
      <c r="L35" t="s">
        <v>556</v>
      </c>
      <c r="M35" t="s">
        <v>88</v>
      </c>
      <c r="N35">
        <v>102.5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601</v>
      </c>
      <c r="T35">
        <v>6</v>
      </c>
      <c r="U35" t="s">
        <v>89</v>
      </c>
    </row>
    <row r="36" spans="1:21" outlineLevel="1" x14ac:dyDescent="0.25">
      <c r="H36" s="9" t="s">
        <v>543</v>
      </c>
      <c r="N36">
        <f>SUBTOTAL(9,N33:N35)</f>
        <v>278.5</v>
      </c>
    </row>
    <row r="37" spans="1:21" outlineLevel="2" x14ac:dyDescent="0.25">
      <c r="A37" t="s">
        <v>82</v>
      </c>
      <c r="B37" t="s">
        <v>83</v>
      </c>
      <c r="C37">
        <v>30</v>
      </c>
      <c r="D37" t="s">
        <v>84</v>
      </c>
      <c r="E37">
        <v>184</v>
      </c>
      <c r="F37" t="s">
        <v>85</v>
      </c>
      <c r="G37">
        <v>8664</v>
      </c>
      <c r="H37" t="s">
        <v>27</v>
      </c>
      <c r="I37">
        <v>1000008664</v>
      </c>
      <c r="J37">
        <v>28825794</v>
      </c>
      <c r="K37" t="s">
        <v>562</v>
      </c>
      <c r="L37" t="s">
        <v>87</v>
      </c>
      <c r="M37" t="s">
        <v>88</v>
      </c>
      <c r="N37">
        <v>107.5</v>
      </c>
      <c r="O37">
        <v>14.22</v>
      </c>
      <c r="P37">
        <v>2.2799999999999998</v>
      </c>
      <c r="Q37">
        <v>4.2561999999999998</v>
      </c>
      <c r="R37">
        <v>0.68100000000000005</v>
      </c>
      <c r="S37" t="s">
        <v>602</v>
      </c>
      <c r="T37">
        <v>6</v>
      </c>
      <c r="U37" t="s">
        <v>89</v>
      </c>
    </row>
    <row r="38" spans="1:21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8664</v>
      </c>
      <c r="H38" t="s">
        <v>27</v>
      </c>
      <c r="I38">
        <v>1000008664</v>
      </c>
      <c r="J38">
        <v>28827020</v>
      </c>
      <c r="K38" t="s">
        <v>571</v>
      </c>
      <c r="L38" t="s">
        <v>87</v>
      </c>
      <c r="M38" t="s">
        <v>88</v>
      </c>
      <c r="N38">
        <v>153.5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603</v>
      </c>
      <c r="T38">
        <v>6</v>
      </c>
      <c r="U38" t="s">
        <v>89</v>
      </c>
    </row>
    <row r="39" spans="1:21" outlineLevel="1" x14ac:dyDescent="0.25">
      <c r="H39" s="9" t="s">
        <v>544</v>
      </c>
      <c r="N39">
        <f>SUBTOTAL(9,N37:N38)</f>
        <v>261</v>
      </c>
    </row>
    <row r="40" spans="1:21" outlineLevel="2" x14ac:dyDescent="0.25">
      <c r="A40" t="s">
        <v>82</v>
      </c>
      <c r="B40" t="s">
        <v>83</v>
      </c>
      <c r="C40">
        <v>30</v>
      </c>
      <c r="D40" t="s">
        <v>84</v>
      </c>
      <c r="E40">
        <v>184</v>
      </c>
      <c r="F40" t="s">
        <v>85</v>
      </c>
      <c r="G40">
        <v>8673</v>
      </c>
      <c r="H40" t="s">
        <v>51</v>
      </c>
      <c r="I40">
        <v>1000008673</v>
      </c>
      <c r="J40">
        <v>28827018</v>
      </c>
      <c r="K40" t="s">
        <v>570</v>
      </c>
      <c r="L40" t="s">
        <v>556</v>
      </c>
      <c r="M40" t="s">
        <v>88</v>
      </c>
      <c r="N40">
        <v>108.5</v>
      </c>
      <c r="O40">
        <v>14.22</v>
      </c>
      <c r="P40">
        <v>2.2799999999999998</v>
      </c>
      <c r="Q40">
        <v>4.2561999999999998</v>
      </c>
      <c r="R40">
        <v>0.68100000000000005</v>
      </c>
      <c r="S40" t="s">
        <v>604</v>
      </c>
      <c r="T40">
        <v>6</v>
      </c>
      <c r="U40" t="s">
        <v>89</v>
      </c>
    </row>
    <row r="41" spans="1:21" outlineLevel="1" x14ac:dyDescent="0.25">
      <c r="H41" s="9" t="s">
        <v>547</v>
      </c>
      <c r="N41">
        <f>SUBTOTAL(9,N40:N40)</f>
        <v>108.5</v>
      </c>
    </row>
    <row r="42" spans="1:21" outlineLevel="2" x14ac:dyDescent="0.25">
      <c r="A42" t="s">
        <v>82</v>
      </c>
      <c r="B42" t="s">
        <v>83</v>
      </c>
      <c r="C42">
        <v>30</v>
      </c>
      <c r="D42" t="s">
        <v>84</v>
      </c>
      <c r="E42">
        <v>184</v>
      </c>
      <c r="F42" t="s">
        <v>85</v>
      </c>
      <c r="G42">
        <v>8676</v>
      </c>
      <c r="H42" t="s">
        <v>54</v>
      </c>
      <c r="I42">
        <v>1000008676</v>
      </c>
      <c r="J42">
        <v>28825171</v>
      </c>
      <c r="K42" t="s">
        <v>558</v>
      </c>
      <c r="L42" t="s">
        <v>87</v>
      </c>
      <c r="M42" t="s">
        <v>88</v>
      </c>
      <c r="N42">
        <v>72.5</v>
      </c>
      <c r="O42">
        <v>14.22</v>
      </c>
      <c r="P42">
        <v>2.2799999999999998</v>
      </c>
      <c r="Q42">
        <v>4.2561999999999998</v>
      </c>
      <c r="R42">
        <v>0.68100000000000005</v>
      </c>
      <c r="S42" t="s">
        <v>605</v>
      </c>
      <c r="T42">
        <v>6</v>
      </c>
      <c r="U42" t="s">
        <v>89</v>
      </c>
    </row>
    <row r="43" spans="1:21" outlineLevel="2" x14ac:dyDescent="0.25">
      <c r="A43" t="s">
        <v>82</v>
      </c>
      <c r="B43" t="s">
        <v>83</v>
      </c>
      <c r="C43">
        <v>30</v>
      </c>
      <c r="D43" t="s">
        <v>84</v>
      </c>
      <c r="E43">
        <v>184</v>
      </c>
      <c r="F43" t="s">
        <v>85</v>
      </c>
      <c r="G43">
        <v>8676</v>
      </c>
      <c r="H43" t="s">
        <v>54</v>
      </c>
      <c r="I43">
        <v>1000008676</v>
      </c>
      <c r="J43">
        <v>28825199</v>
      </c>
      <c r="K43" t="s">
        <v>559</v>
      </c>
      <c r="L43" t="s">
        <v>87</v>
      </c>
      <c r="M43" t="s">
        <v>88</v>
      </c>
      <c r="N43">
        <v>88.5</v>
      </c>
      <c r="O43">
        <v>14.22</v>
      </c>
      <c r="P43">
        <v>2.2799999999999998</v>
      </c>
      <c r="Q43">
        <v>4.2561999999999998</v>
      </c>
      <c r="R43">
        <v>0.68100000000000005</v>
      </c>
      <c r="S43" t="s">
        <v>606</v>
      </c>
      <c r="T43">
        <v>6</v>
      </c>
      <c r="U43" t="s">
        <v>89</v>
      </c>
    </row>
    <row r="44" spans="1:21" outlineLevel="1" x14ac:dyDescent="0.25">
      <c r="H44" s="9" t="s">
        <v>548</v>
      </c>
      <c r="N44">
        <f>SUBTOTAL(9,N42:N43)</f>
        <v>161</v>
      </c>
    </row>
    <row r="45" spans="1:21" x14ac:dyDescent="0.25">
      <c r="H45" s="9" t="s">
        <v>553</v>
      </c>
      <c r="N45">
        <f>SUBTOTAL(9,N4:N43)</f>
        <v>4585</v>
      </c>
      <c r="Q45">
        <f>COUNT(O3:O44)</f>
        <v>26</v>
      </c>
      <c r="R45">
        <f>Q45*4.94</f>
        <v>128.44</v>
      </c>
      <c r="S45" s="12">
        <f>N45-R45</f>
        <v>4456.5600000000004</v>
      </c>
    </row>
  </sheetData>
  <sortState xmlns:xlrd2="http://schemas.microsoft.com/office/spreadsheetml/2017/richdata2" ref="A4:V43">
    <sortCondition ref="H4:H43"/>
    <sortCondition ref="K4:K4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1C351-7F1C-4DD1-BD67-E290C8675BCD}">
  <sheetPr codeName="Hoja9"/>
  <dimension ref="A3:V247"/>
  <sheetViews>
    <sheetView topLeftCell="H1" workbookViewId="0"/>
    <sheetView topLeftCell="H1" workbookViewId="1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28807370</v>
      </c>
      <c r="K4" t="s">
        <v>93</v>
      </c>
      <c r="L4" t="s">
        <v>87</v>
      </c>
      <c r="M4" t="s">
        <v>88</v>
      </c>
      <c r="N4">
        <v>140.5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310</v>
      </c>
      <c r="T4">
        <v>6</v>
      </c>
      <c r="U4" t="s">
        <v>89</v>
      </c>
    </row>
    <row r="5" spans="1:22" outlineLevel="2" x14ac:dyDescent="0.25">
      <c r="A5" t="s">
        <v>82</v>
      </c>
      <c r="B5" t="s">
        <v>83</v>
      </c>
      <c r="C5">
        <v>30</v>
      </c>
      <c r="D5" t="s">
        <v>84</v>
      </c>
      <c r="E5">
        <v>184</v>
      </c>
      <c r="F5" t="s">
        <v>85</v>
      </c>
      <c r="G5">
        <v>8651</v>
      </c>
      <c r="H5" t="s">
        <v>38</v>
      </c>
      <c r="I5">
        <v>1000008651</v>
      </c>
      <c r="J5">
        <v>28811507</v>
      </c>
      <c r="K5" t="s">
        <v>171</v>
      </c>
      <c r="L5" t="s">
        <v>87</v>
      </c>
      <c r="M5" t="s">
        <v>88</v>
      </c>
      <c r="N5">
        <v>100.5</v>
      </c>
      <c r="O5">
        <v>14.22</v>
      </c>
      <c r="P5">
        <v>2.2799999999999998</v>
      </c>
      <c r="Q5">
        <v>4.2561999999999998</v>
      </c>
      <c r="R5">
        <v>0.68100000000000005</v>
      </c>
      <c r="S5" t="s">
        <v>311</v>
      </c>
      <c r="T5">
        <v>6</v>
      </c>
      <c r="U5" t="s">
        <v>89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8651</v>
      </c>
      <c r="H6" t="s">
        <v>38</v>
      </c>
      <c r="I6">
        <v>1000008651</v>
      </c>
      <c r="J6">
        <v>28814615</v>
      </c>
      <c r="K6" t="s">
        <v>211</v>
      </c>
      <c r="L6" t="s">
        <v>87</v>
      </c>
      <c r="M6" t="s">
        <v>88</v>
      </c>
      <c r="N6">
        <v>96.5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312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8651</v>
      </c>
      <c r="H7" t="s">
        <v>38</v>
      </c>
      <c r="I7">
        <v>1000008651</v>
      </c>
      <c r="J7">
        <v>28822559</v>
      </c>
      <c r="K7" t="s">
        <v>288</v>
      </c>
      <c r="L7" t="s">
        <v>87</v>
      </c>
      <c r="M7" t="s">
        <v>88</v>
      </c>
      <c r="N7">
        <v>107.5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313</v>
      </c>
      <c r="T7">
        <v>6</v>
      </c>
      <c r="U7" t="s">
        <v>89</v>
      </c>
    </row>
    <row r="8" spans="1:22" outlineLevel="2" x14ac:dyDescent="0.25">
      <c r="A8" t="s">
        <v>82</v>
      </c>
      <c r="B8" t="s">
        <v>83</v>
      </c>
      <c r="C8">
        <v>30</v>
      </c>
      <c r="D8" t="s">
        <v>84</v>
      </c>
      <c r="E8">
        <v>184</v>
      </c>
      <c r="F8" t="s">
        <v>85</v>
      </c>
      <c r="G8">
        <v>8651</v>
      </c>
      <c r="H8" t="s">
        <v>38</v>
      </c>
      <c r="I8">
        <v>1000008651</v>
      </c>
      <c r="J8">
        <v>28824400</v>
      </c>
      <c r="K8" t="s">
        <v>308</v>
      </c>
      <c r="L8" t="s">
        <v>87</v>
      </c>
      <c r="M8" t="s">
        <v>88</v>
      </c>
      <c r="N8">
        <v>70.5</v>
      </c>
      <c r="O8">
        <v>14.22</v>
      </c>
      <c r="P8">
        <v>2.2799999999999998</v>
      </c>
      <c r="Q8">
        <v>4.2561999999999998</v>
      </c>
      <c r="R8">
        <v>0.68100000000000005</v>
      </c>
      <c r="S8" t="s">
        <v>314</v>
      </c>
      <c r="T8">
        <v>6</v>
      </c>
      <c r="U8" t="s">
        <v>89</v>
      </c>
    </row>
    <row r="9" spans="1:22" outlineLevel="1" x14ac:dyDescent="0.25">
      <c r="H9" s="9" t="s">
        <v>531</v>
      </c>
      <c r="N9">
        <f>SUBTOTAL(9,N4:N8)</f>
        <v>515.5</v>
      </c>
    </row>
    <row r="10" spans="1:22" outlineLevel="2" x14ac:dyDescent="0.25">
      <c r="A10" t="s">
        <v>82</v>
      </c>
      <c r="B10" t="s">
        <v>83</v>
      </c>
      <c r="C10">
        <v>30</v>
      </c>
      <c r="D10" t="s">
        <v>84</v>
      </c>
      <c r="E10">
        <v>184</v>
      </c>
      <c r="F10" t="s">
        <v>85</v>
      </c>
      <c r="G10">
        <v>8652</v>
      </c>
      <c r="H10" t="s">
        <v>40</v>
      </c>
      <c r="I10">
        <v>1000008652</v>
      </c>
      <c r="J10">
        <v>28808765</v>
      </c>
      <c r="K10" t="s">
        <v>125</v>
      </c>
      <c r="L10" t="s">
        <v>87</v>
      </c>
      <c r="M10" t="s">
        <v>88</v>
      </c>
      <c r="N10">
        <v>174.5</v>
      </c>
      <c r="O10">
        <v>14.22</v>
      </c>
      <c r="P10">
        <v>2.2799999999999998</v>
      </c>
      <c r="Q10">
        <v>4.2561999999999998</v>
      </c>
      <c r="R10">
        <v>0.68100000000000005</v>
      </c>
      <c r="S10" t="s">
        <v>315</v>
      </c>
      <c r="T10">
        <v>6</v>
      </c>
      <c r="U10" t="s">
        <v>89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8652</v>
      </c>
      <c r="H11" t="s">
        <v>40</v>
      </c>
      <c r="I11">
        <v>1000008652</v>
      </c>
      <c r="J11">
        <v>28809239</v>
      </c>
      <c r="K11" t="s">
        <v>133</v>
      </c>
      <c r="L11" t="s">
        <v>87</v>
      </c>
      <c r="M11" t="s">
        <v>88</v>
      </c>
      <c r="N11">
        <v>85.5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316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8652</v>
      </c>
      <c r="H12" t="s">
        <v>40</v>
      </c>
      <c r="I12">
        <v>1000008652</v>
      </c>
      <c r="J12">
        <v>28809890</v>
      </c>
      <c r="K12" t="s">
        <v>143</v>
      </c>
      <c r="L12" t="s">
        <v>87</v>
      </c>
      <c r="M12" t="s">
        <v>88</v>
      </c>
      <c r="N12">
        <v>232.5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317</v>
      </c>
      <c r="T12">
        <v>6</v>
      </c>
      <c r="U12" t="s">
        <v>89</v>
      </c>
    </row>
    <row r="13" spans="1:22" outlineLevel="2" x14ac:dyDescent="0.25">
      <c r="A13" t="s">
        <v>82</v>
      </c>
      <c r="B13" t="s">
        <v>83</v>
      </c>
      <c r="C13">
        <v>30</v>
      </c>
      <c r="D13" t="s">
        <v>84</v>
      </c>
      <c r="E13">
        <v>184</v>
      </c>
      <c r="F13" t="s">
        <v>85</v>
      </c>
      <c r="G13">
        <v>8652</v>
      </c>
      <c r="H13" t="s">
        <v>40</v>
      </c>
      <c r="I13">
        <v>1000008652</v>
      </c>
      <c r="J13">
        <v>28818276</v>
      </c>
      <c r="K13" t="s">
        <v>240</v>
      </c>
      <c r="L13" t="s">
        <v>87</v>
      </c>
      <c r="M13" t="s">
        <v>88</v>
      </c>
      <c r="N13">
        <v>97.5</v>
      </c>
      <c r="O13">
        <v>14.22</v>
      </c>
      <c r="P13">
        <v>2.2799999999999998</v>
      </c>
      <c r="Q13">
        <v>4.2561999999999998</v>
      </c>
      <c r="R13">
        <v>0.68100000000000005</v>
      </c>
      <c r="S13" t="s">
        <v>318</v>
      </c>
      <c r="T13">
        <v>6</v>
      </c>
      <c r="U13" t="s">
        <v>89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8652</v>
      </c>
      <c r="H14" t="s">
        <v>40</v>
      </c>
      <c r="I14">
        <v>1000008652</v>
      </c>
      <c r="J14">
        <v>28822072</v>
      </c>
      <c r="K14" t="s">
        <v>282</v>
      </c>
      <c r="L14" t="s">
        <v>87</v>
      </c>
      <c r="M14" t="s">
        <v>88</v>
      </c>
      <c r="N14">
        <v>216.5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319</v>
      </c>
      <c r="T14">
        <v>6</v>
      </c>
      <c r="U14" t="s">
        <v>89</v>
      </c>
    </row>
    <row r="15" spans="1:22" outlineLevel="1" x14ac:dyDescent="0.25">
      <c r="H15" s="9" t="s">
        <v>532</v>
      </c>
      <c r="N15">
        <f>SUBTOTAL(9,N10:N14)</f>
        <v>806.5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8653</v>
      </c>
      <c r="H16" t="s">
        <v>37</v>
      </c>
      <c r="I16">
        <v>1000008653</v>
      </c>
      <c r="J16">
        <v>28807313</v>
      </c>
      <c r="K16" t="s">
        <v>86</v>
      </c>
      <c r="L16" t="s">
        <v>87</v>
      </c>
      <c r="M16" t="s">
        <v>88</v>
      </c>
      <c r="N16">
        <v>256.5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320</v>
      </c>
      <c r="T16">
        <v>6</v>
      </c>
      <c r="U16" t="s">
        <v>89</v>
      </c>
    </row>
    <row r="17" spans="1:22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8653</v>
      </c>
      <c r="H17" t="s">
        <v>37</v>
      </c>
      <c r="I17">
        <v>1000008653</v>
      </c>
      <c r="J17">
        <v>28808456</v>
      </c>
      <c r="K17" t="s">
        <v>118</v>
      </c>
      <c r="L17" t="s">
        <v>87</v>
      </c>
      <c r="M17" t="s">
        <v>88</v>
      </c>
      <c r="N17">
        <v>142.5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321</v>
      </c>
      <c r="T17">
        <v>6</v>
      </c>
      <c r="U17" t="s">
        <v>89</v>
      </c>
    </row>
    <row r="18" spans="1:22" outlineLevel="2" x14ac:dyDescent="0.25">
      <c r="A18" t="s">
        <v>82</v>
      </c>
      <c r="B18" t="s">
        <v>83</v>
      </c>
      <c r="C18">
        <v>30</v>
      </c>
      <c r="D18" t="s">
        <v>84</v>
      </c>
      <c r="E18">
        <v>184</v>
      </c>
      <c r="F18" t="s">
        <v>85</v>
      </c>
      <c r="G18">
        <v>8653</v>
      </c>
      <c r="H18" t="s">
        <v>37</v>
      </c>
      <c r="I18">
        <v>1000008653</v>
      </c>
      <c r="J18">
        <v>28809367</v>
      </c>
      <c r="K18" t="s">
        <v>135</v>
      </c>
      <c r="L18" t="s">
        <v>87</v>
      </c>
      <c r="M18" t="s">
        <v>88</v>
      </c>
      <c r="N18">
        <v>124.5</v>
      </c>
      <c r="O18">
        <v>14.22</v>
      </c>
      <c r="P18">
        <v>2.2799999999999998</v>
      </c>
      <c r="Q18">
        <v>4.2561999999999998</v>
      </c>
      <c r="R18">
        <v>0.68100000000000005</v>
      </c>
      <c r="S18" t="s">
        <v>322</v>
      </c>
      <c r="T18">
        <v>6</v>
      </c>
      <c r="U18" t="s">
        <v>89</v>
      </c>
    </row>
    <row r="19" spans="1:22" outlineLevel="2" x14ac:dyDescent="0.25">
      <c r="A19" t="s">
        <v>82</v>
      </c>
      <c r="B19" t="s">
        <v>83</v>
      </c>
      <c r="C19">
        <v>30</v>
      </c>
      <c r="D19" t="s">
        <v>84</v>
      </c>
      <c r="E19">
        <v>184</v>
      </c>
      <c r="F19" t="s">
        <v>85</v>
      </c>
      <c r="G19">
        <v>8653</v>
      </c>
      <c r="H19" t="s">
        <v>37</v>
      </c>
      <c r="I19">
        <v>1000008653</v>
      </c>
      <c r="J19">
        <v>28809503</v>
      </c>
      <c r="K19" t="s">
        <v>137</v>
      </c>
      <c r="L19" t="s">
        <v>87</v>
      </c>
      <c r="M19" t="s">
        <v>88</v>
      </c>
      <c r="N19">
        <v>43.5</v>
      </c>
      <c r="O19">
        <v>14.22</v>
      </c>
      <c r="P19">
        <v>2.2799999999999998</v>
      </c>
      <c r="Q19">
        <v>4.2561999999999998</v>
      </c>
      <c r="R19">
        <v>0.68100000000000005</v>
      </c>
      <c r="S19" t="s">
        <v>323</v>
      </c>
      <c r="T19">
        <v>6</v>
      </c>
      <c r="U19" t="s">
        <v>89</v>
      </c>
    </row>
    <row r="20" spans="1:22" outlineLevel="2" x14ac:dyDescent="0.25">
      <c r="A20" t="s">
        <v>82</v>
      </c>
      <c r="B20" t="s">
        <v>83</v>
      </c>
      <c r="C20">
        <v>30</v>
      </c>
      <c r="D20" t="s">
        <v>84</v>
      </c>
      <c r="E20">
        <v>184</v>
      </c>
      <c r="F20" t="s">
        <v>85</v>
      </c>
      <c r="G20">
        <v>8653</v>
      </c>
      <c r="H20" t="s">
        <v>37</v>
      </c>
      <c r="I20">
        <v>1000008653</v>
      </c>
      <c r="J20">
        <v>28809579</v>
      </c>
      <c r="K20" t="s">
        <v>139</v>
      </c>
      <c r="L20" t="s">
        <v>87</v>
      </c>
      <c r="M20" t="s">
        <v>88</v>
      </c>
      <c r="N20">
        <v>80.5</v>
      </c>
      <c r="O20">
        <v>14.22</v>
      </c>
      <c r="P20">
        <v>2.2799999999999998</v>
      </c>
      <c r="Q20">
        <v>4.2561999999999998</v>
      </c>
      <c r="R20">
        <v>0.68100000000000005</v>
      </c>
      <c r="S20" t="s">
        <v>324</v>
      </c>
      <c r="T20">
        <v>6</v>
      </c>
      <c r="U20" t="s">
        <v>89</v>
      </c>
    </row>
    <row r="21" spans="1:22" outlineLevel="2" x14ac:dyDescent="0.25">
      <c r="A21" t="s">
        <v>82</v>
      </c>
      <c r="B21" t="s">
        <v>83</v>
      </c>
      <c r="C21">
        <v>30</v>
      </c>
      <c r="D21" t="s">
        <v>84</v>
      </c>
      <c r="E21">
        <v>184</v>
      </c>
      <c r="F21" t="s">
        <v>85</v>
      </c>
      <c r="G21">
        <v>8653</v>
      </c>
      <c r="H21" t="s">
        <v>37</v>
      </c>
      <c r="I21">
        <v>1000008653</v>
      </c>
      <c r="J21">
        <v>28809696</v>
      </c>
      <c r="K21" t="s">
        <v>141</v>
      </c>
      <c r="L21" t="s">
        <v>87</v>
      </c>
      <c r="M21" t="s">
        <v>88</v>
      </c>
      <c r="N21">
        <v>193.5</v>
      </c>
      <c r="O21">
        <v>14.22</v>
      </c>
      <c r="P21">
        <v>2.2799999999999998</v>
      </c>
      <c r="Q21">
        <v>4.2561999999999998</v>
      </c>
      <c r="R21">
        <v>0.68100000000000005</v>
      </c>
      <c r="S21" t="s">
        <v>325</v>
      </c>
      <c r="T21">
        <v>6</v>
      </c>
      <c r="U21" t="s">
        <v>89</v>
      </c>
    </row>
    <row r="22" spans="1:22" outlineLevel="2" x14ac:dyDescent="0.25">
      <c r="A22" t="s">
        <v>82</v>
      </c>
      <c r="B22" t="s">
        <v>83</v>
      </c>
      <c r="C22">
        <v>30</v>
      </c>
      <c r="D22" t="s">
        <v>84</v>
      </c>
      <c r="E22">
        <v>184</v>
      </c>
      <c r="F22" t="s">
        <v>85</v>
      </c>
      <c r="G22">
        <v>8653</v>
      </c>
      <c r="H22" t="s">
        <v>37</v>
      </c>
      <c r="I22">
        <v>1000008653</v>
      </c>
      <c r="J22">
        <v>28811278</v>
      </c>
      <c r="K22" t="s">
        <v>169</v>
      </c>
      <c r="L22" t="s">
        <v>87</v>
      </c>
      <c r="M22" t="s">
        <v>88</v>
      </c>
      <c r="N22">
        <v>106.5</v>
      </c>
      <c r="O22">
        <v>14.22</v>
      </c>
      <c r="P22">
        <v>2.2799999999999998</v>
      </c>
      <c r="Q22">
        <v>4.2561999999999998</v>
      </c>
      <c r="R22">
        <v>0.68100000000000005</v>
      </c>
      <c r="S22" t="s">
        <v>326</v>
      </c>
      <c r="T22">
        <v>6</v>
      </c>
      <c r="U22" t="s">
        <v>89</v>
      </c>
    </row>
    <row r="23" spans="1:22" outlineLevel="2" x14ac:dyDescent="0.25">
      <c r="A23" s="8" t="s">
        <v>82</v>
      </c>
      <c r="B23" s="8" t="s">
        <v>83</v>
      </c>
      <c r="C23" s="8">
        <v>30</v>
      </c>
      <c r="D23" s="8" t="s">
        <v>84</v>
      </c>
      <c r="E23" s="8">
        <v>184</v>
      </c>
      <c r="F23" s="8" t="s">
        <v>85</v>
      </c>
      <c r="G23" s="8">
        <v>8653</v>
      </c>
      <c r="H23" s="8" t="s">
        <v>37</v>
      </c>
      <c r="I23" s="8">
        <v>1000008653</v>
      </c>
      <c r="J23" s="8">
        <v>28812322</v>
      </c>
      <c r="K23" s="8" t="s">
        <v>179</v>
      </c>
      <c r="L23" s="8" t="s">
        <v>87</v>
      </c>
      <c r="M23" s="8" t="s">
        <v>88</v>
      </c>
      <c r="N23" s="8">
        <v>158.5</v>
      </c>
      <c r="O23" s="8">
        <v>14.22</v>
      </c>
      <c r="P23" s="8">
        <v>2.2799999999999998</v>
      </c>
      <c r="Q23" s="8">
        <v>4.2561999999999998</v>
      </c>
      <c r="R23" s="8">
        <v>0.68100000000000005</v>
      </c>
      <c r="S23" s="8" t="s">
        <v>526</v>
      </c>
      <c r="T23" s="8">
        <v>6</v>
      </c>
      <c r="U23" s="8" t="s">
        <v>89</v>
      </c>
      <c r="V23" s="8"/>
    </row>
    <row r="24" spans="1:22" outlineLevel="2" x14ac:dyDescent="0.25">
      <c r="A24" t="s">
        <v>82</v>
      </c>
      <c r="B24" t="s">
        <v>83</v>
      </c>
      <c r="C24">
        <v>30</v>
      </c>
      <c r="D24" t="s">
        <v>84</v>
      </c>
      <c r="E24">
        <v>184</v>
      </c>
      <c r="F24" t="s">
        <v>85</v>
      </c>
      <c r="G24">
        <v>8653</v>
      </c>
      <c r="H24" t="s">
        <v>37</v>
      </c>
      <c r="I24">
        <v>1000008653</v>
      </c>
      <c r="J24">
        <v>28812611</v>
      </c>
      <c r="K24" t="s">
        <v>186</v>
      </c>
      <c r="L24" t="s">
        <v>87</v>
      </c>
      <c r="M24" t="s">
        <v>88</v>
      </c>
      <c r="N24">
        <v>327.5</v>
      </c>
      <c r="O24">
        <v>14.22</v>
      </c>
      <c r="P24">
        <v>2.2799999999999998</v>
      </c>
      <c r="Q24">
        <v>4.2561999999999998</v>
      </c>
      <c r="R24">
        <v>0.68100000000000005</v>
      </c>
      <c r="S24" t="s">
        <v>327</v>
      </c>
      <c r="T24">
        <v>6</v>
      </c>
      <c r="U24" t="s">
        <v>89</v>
      </c>
    </row>
    <row r="25" spans="1:22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8653</v>
      </c>
      <c r="H25" t="s">
        <v>37</v>
      </c>
      <c r="I25">
        <v>1000008653</v>
      </c>
      <c r="J25">
        <v>28816248</v>
      </c>
      <c r="K25" t="s">
        <v>224</v>
      </c>
      <c r="L25" t="s">
        <v>87</v>
      </c>
      <c r="M25" t="s">
        <v>88</v>
      </c>
      <c r="N25">
        <v>115.5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328</v>
      </c>
      <c r="T25">
        <v>6</v>
      </c>
      <c r="U25" t="s">
        <v>89</v>
      </c>
    </row>
    <row r="26" spans="1:22" outlineLevel="2" x14ac:dyDescent="0.25">
      <c r="A26" t="s">
        <v>82</v>
      </c>
      <c r="B26" t="s">
        <v>83</v>
      </c>
      <c r="C26">
        <v>30</v>
      </c>
      <c r="D26" t="s">
        <v>84</v>
      </c>
      <c r="E26">
        <v>184</v>
      </c>
      <c r="F26" t="s">
        <v>85</v>
      </c>
      <c r="G26">
        <v>8653</v>
      </c>
      <c r="H26" t="s">
        <v>37</v>
      </c>
      <c r="I26">
        <v>1000008653</v>
      </c>
      <c r="J26">
        <v>28816902</v>
      </c>
      <c r="K26" t="s">
        <v>227</v>
      </c>
      <c r="L26" t="s">
        <v>87</v>
      </c>
      <c r="M26" t="s">
        <v>88</v>
      </c>
      <c r="N26">
        <v>435.5</v>
      </c>
      <c r="O26">
        <v>14.22</v>
      </c>
      <c r="P26">
        <v>2.2799999999999998</v>
      </c>
      <c r="Q26">
        <v>4.2561999999999998</v>
      </c>
      <c r="R26">
        <v>0.68100000000000005</v>
      </c>
      <c r="S26" t="s">
        <v>329</v>
      </c>
      <c r="T26">
        <v>6</v>
      </c>
      <c r="U26" t="s">
        <v>89</v>
      </c>
    </row>
    <row r="27" spans="1:22" outlineLevel="1" x14ac:dyDescent="0.25">
      <c r="H27" s="9" t="s">
        <v>533</v>
      </c>
      <c r="N27">
        <f>SUBTOTAL(9,N16:N26)</f>
        <v>1984.5</v>
      </c>
    </row>
    <row r="28" spans="1:22" outlineLevel="2" x14ac:dyDescent="0.25">
      <c r="A28" t="s">
        <v>82</v>
      </c>
      <c r="B28" t="s">
        <v>83</v>
      </c>
      <c r="C28">
        <v>30</v>
      </c>
      <c r="D28" t="s">
        <v>84</v>
      </c>
      <c r="E28">
        <v>184</v>
      </c>
      <c r="F28" t="s">
        <v>85</v>
      </c>
      <c r="G28">
        <v>8654</v>
      </c>
      <c r="H28" t="s">
        <v>30</v>
      </c>
      <c r="I28">
        <v>1000008654</v>
      </c>
      <c r="J28">
        <v>28808569</v>
      </c>
      <c r="K28" t="s">
        <v>119</v>
      </c>
      <c r="L28" t="s">
        <v>87</v>
      </c>
      <c r="M28" t="s">
        <v>88</v>
      </c>
      <c r="N28">
        <v>122.5</v>
      </c>
      <c r="O28">
        <v>14.22</v>
      </c>
      <c r="P28">
        <v>2.2799999999999998</v>
      </c>
      <c r="Q28">
        <v>4.2561999999999998</v>
      </c>
      <c r="R28">
        <v>0.68100000000000005</v>
      </c>
      <c r="S28" t="s">
        <v>330</v>
      </c>
      <c r="T28">
        <v>6</v>
      </c>
      <c r="U28" t="s">
        <v>89</v>
      </c>
    </row>
    <row r="29" spans="1:22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8654</v>
      </c>
      <c r="H29" t="s">
        <v>30</v>
      </c>
      <c r="I29">
        <v>1000008654</v>
      </c>
      <c r="J29">
        <v>28808825</v>
      </c>
      <c r="K29" t="s">
        <v>127</v>
      </c>
      <c r="L29" t="s">
        <v>87</v>
      </c>
      <c r="M29" t="s">
        <v>88</v>
      </c>
      <c r="N29">
        <v>227.5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331</v>
      </c>
      <c r="T29">
        <v>6</v>
      </c>
      <c r="U29" t="s">
        <v>89</v>
      </c>
    </row>
    <row r="30" spans="1:22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8654</v>
      </c>
      <c r="H30" t="s">
        <v>30</v>
      </c>
      <c r="I30">
        <v>1000008654</v>
      </c>
      <c r="J30">
        <v>28817743</v>
      </c>
      <c r="K30" t="s">
        <v>238</v>
      </c>
      <c r="L30" t="s">
        <v>87</v>
      </c>
      <c r="M30" t="s">
        <v>88</v>
      </c>
      <c r="N30">
        <v>185.5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332</v>
      </c>
      <c r="T30">
        <v>6</v>
      </c>
      <c r="U30" t="s">
        <v>89</v>
      </c>
    </row>
    <row r="31" spans="1:22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8654</v>
      </c>
      <c r="H31" t="s">
        <v>30</v>
      </c>
      <c r="I31">
        <v>1000008654</v>
      </c>
      <c r="J31">
        <v>28820601</v>
      </c>
      <c r="K31" t="s">
        <v>268</v>
      </c>
      <c r="L31" t="s">
        <v>87</v>
      </c>
      <c r="M31" t="s">
        <v>88</v>
      </c>
      <c r="N31">
        <v>139.5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333</v>
      </c>
      <c r="T31">
        <v>6</v>
      </c>
      <c r="U31" t="s">
        <v>89</v>
      </c>
    </row>
    <row r="32" spans="1:22" outlineLevel="1" x14ac:dyDescent="0.25">
      <c r="H32" s="9" t="s">
        <v>534</v>
      </c>
      <c r="N32">
        <f>SUBTOTAL(9,N28:N31)</f>
        <v>675</v>
      </c>
    </row>
    <row r="33" spans="1:22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8655</v>
      </c>
      <c r="H33" t="s">
        <v>29</v>
      </c>
      <c r="I33">
        <v>1000008655</v>
      </c>
      <c r="J33">
        <v>28807455</v>
      </c>
      <c r="K33" t="s">
        <v>94</v>
      </c>
      <c r="L33" t="s">
        <v>87</v>
      </c>
      <c r="M33" t="s">
        <v>88</v>
      </c>
      <c r="N33">
        <v>98.5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334</v>
      </c>
      <c r="T33">
        <v>6</v>
      </c>
      <c r="U33" t="s">
        <v>89</v>
      </c>
    </row>
    <row r="34" spans="1:22" outlineLevel="2" x14ac:dyDescent="0.25">
      <c r="A34" t="s">
        <v>82</v>
      </c>
      <c r="B34" t="s">
        <v>83</v>
      </c>
      <c r="C34">
        <v>30</v>
      </c>
      <c r="D34" t="s">
        <v>84</v>
      </c>
      <c r="E34">
        <v>184</v>
      </c>
      <c r="F34" t="s">
        <v>85</v>
      </c>
      <c r="G34">
        <v>8655</v>
      </c>
      <c r="H34" t="s">
        <v>29</v>
      </c>
      <c r="I34">
        <v>1000008655</v>
      </c>
      <c r="J34">
        <v>28808347</v>
      </c>
      <c r="K34" t="s">
        <v>113</v>
      </c>
      <c r="L34" t="s">
        <v>87</v>
      </c>
      <c r="M34" t="s">
        <v>88</v>
      </c>
      <c r="N34">
        <v>451.5</v>
      </c>
      <c r="O34">
        <v>14.22</v>
      </c>
      <c r="P34">
        <v>2.2799999999999998</v>
      </c>
      <c r="Q34">
        <v>4.2561999999999998</v>
      </c>
      <c r="R34">
        <v>0.68100000000000005</v>
      </c>
      <c r="S34" t="s">
        <v>335</v>
      </c>
      <c r="T34">
        <v>6</v>
      </c>
      <c r="U34" t="s">
        <v>89</v>
      </c>
    </row>
    <row r="35" spans="1:22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8655</v>
      </c>
      <c r="H35" t="s">
        <v>29</v>
      </c>
      <c r="I35">
        <v>1000008655</v>
      </c>
      <c r="J35">
        <v>28808830</v>
      </c>
      <c r="K35" t="s">
        <v>128</v>
      </c>
      <c r="L35" t="s">
        <v>87</v>
      </c>
      <c r="M35" t="s">
        <v>88</v>
      </c>
      <c r="N35">
        <v>122.5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336</v>
      </c>
      <c r="T35">
        <v>6</v>
      </c>
      <c r="U35" t="s">
        <v>89</v>
      </c>
    </row>
    <row r="36" spans="1:22" outlineLevel="2" x14ac:dyDescent="0.25">
      <c r="A36" t="s">
        <v>82</v>
      </c>
      <c r="B36" t="s">
        <v>83</v>
      </c>
      <c r="C36">
        <v>30</v>
      </c>
      <c r="D36" t="s">
        <v>84</v>
      </c>
      <c r="E36">
        <v>184</v>
      </c>
      <c r="F36" t="s">
        <v>85</v>
      </c>
      <c r="G36">
        <v>8655</v>
      </c>
      <c r="H36" t="s">
        <v>29</v>
      </c>
      <c r="I36">
        <v>1000008655</v>
      </c>
      <c r="J36">
        <v>28810266</v>
      </c>
      <c r="K36" t="s">
        <v>153</v>
      </c>
      <c r="L36" t="s">
        <v>87</v>
      </c>
      <c r="M36" t="s">
        <v>88</v>
      </c>
      <c r="N36">
        <v>663.5</v>
      </c>
      <c r="O36">
        <v>14.22</v>
      </c>
      <c r="P36">
        <v>2.2799999999999998</v>
      </c>
      <c r="Q36">
        <v>4.2561999999999998</v>
      </c>
      <c r="R36">
        <v>0.68100000000000005</v>
      </c>
      <c r="S36" t="s">
        <v>337</v>
      </c>
      <c r="T36">
        <v>6</v>
      </c>
      <c r="U36" t="s">
        <v>89</v>
      </c>
    </row>
    <row r="37" spans="1:22" outlineLevel="2" x14ac:dyDescent="0.25">
      <c r="A37" t="s">
        <v>82</v>
      </c>
      <c r="B37" t="s">
        <v>83</v>
      </c>
      <c r="C37">
        <v>30</v>
      </c>
      <c r="D37" t="s">
        <v>84</v>
      </c>
      <c r="E37">
        <v>184</v>
      </c>
      <c r="F37" t="s">
        <v>85</v>
      </c>
      <c r="G37">
        <v>8655</v>
      </c>
      <c r="H37" t="s">
        <v>29</v>
      </c>
      <c r="I37">
        <v>1000008655</v>
      </c>
      <c r="J37">
        <v>28810412</v>
      </c>
      <c r="K37" t="s">
        <v>155</v>
      </c>
      <c r="L37" t="s">
        <v>87</v>
      </c>
      <c r="M37" t="s">
        <v>88</v>
      </c>
      <c r="N37">
        <v>68.5</v>
      </c>
      <c r="O37">
        <v>14.22</v>
      </c>
      <c r="P37">
        <v>2.2799999999999998</v>
      </c>
      <c r="Q37">
        <v>4.2561999999999998</v>
      </c>
      <c r="R37">
        <v>0.68100000000000005</v>
      </c>
      <c r="S37" t="s">
        <v>338</v>
      </c>
      <c r="T37">
        <v>6</v>
      </c>
      <c r="U37" t="s">
        <v>89</v>
      </c>
    </row>
    <row r="38" spans="1:22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8655</v>
      </c>
      <c r="H38" t="s">
        <v>29</v>
      </c>
      <c r="I38">
        <v>1000008655</v>
      </c>
      <c r="J38">
        <v>28814805</v>
      </c>
      <c r="K38" t="s">
        <v>212</v>
      </c>
      <c r="L38" t="s">
        <v>87</v>
      </c>
      <c r="M38" t="s">
        <v>88</v>
      </c>
      <c r="N38">
        <v>277.5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339</v>
      </c>
      <c r="T38">
        <v>6</v>
      </c>
      <c r="U38" t="s">
        <v>89</v>
      </c>
    </row>
    <row r="39" spans="1:22" outlineLevel="2" x14ac:dyDescent="0.25">
      <c r="A39" t="s">
        <v>82</v>
      </c>
      <c r="B39" t="s">
        <v>83</v>
      </c>
      <c r="C39">
        <v>30</v>
      </c>
      <c r="D39" t="s">
        <v>84</v>
      </c>
      <c r="E39">
        <v>184</v>
      </c>
      <c r="F39" t="s">
        <v>85</v>
      </c>
      <c r="G39">
        <v>8655</v>
      </c>
      <c r="H39" t="s">
        <v>29</v>
      </c>
      <c r="I39">
        <v>1000008655</v>
      </c>
      <c r="J39">
        <v>28818751</v>
      </c>
      <c r="K39" t="s">
        <v>245</v>
      </c>
      <c r="L39" t="s">
        <v>87</v>
      </c>
      <c r="M39" t="s">
        <v>88</v>
      </c>
      <c r="N39">
        <v>44.5</v>
      </c>
      <c r="O39">
        <v>14.22</v>
      </c>
      <c r="P39">
        <v>2.2799999999999998</v>
      </c>
      <c r="Q39">
        <v>4.2561999999999998</v>
      </c>
      <c r="R39">
        <v>0.68100000000000005</v>
      </c>
      <c r="S39" t="s">
        <v>340</v>
      </c>
      <c r="T39">
        <v>6</v>
      </c>
      <c r="U39" t="s">
        <v>89</v>
      </c>
    </row>
    <row r="40" spans="1:22" outlineLevel="2" x14ac:dyDescent="0.25">
      <c r="A40" t="s">
        <v>82</v>
      </c>
      <c r="B40" t="s">
        <v>83</v>
      </c>
      <c r="C40">
        <v>30</v>
      </c>
      <c r="D40" t="s">
        <v>84</v>
      </c>
      <c r="E40">
        <v>184</v>
      </c>
      <c r="F40" t="s">
        <v>85</v>
      </c>
      <c r="G40">
        <v>8655</v>
      </c>
      <c r="H40" t="s">
        <v>29</v>
      </c>
      <c r="I40">
        <v>1000008655</v>
      </c>
      <c r="J40">
        <v>28819554</v>
      </c>
      <c r="K40" t="s">
        <v>257</v>
      </c>
      <c r="L40" t="s">
        <v>87</v>
      </c>
      <c r="M40" t="s">
        <v>88</v>
      </c>
      <c r="N40">
        <v>154.5</v>
      </c>
      <c r="O40">
        <v>14.22</v>
      </c>
      <c r="P40">
        <v>2.2799999999999998</v>
      </c>
      <c r="Q40">
        <v>4.2561999999999998</v>
      </c>
      <c r="R40">
        <v>0.68100000000000005</v>
      </c>
      <c r="S40" t="s">
        <v>341</v>
      </c>
      <c r="T40">
        <v>6</v>
      </c>
      <c r="U40" t="s">
        <v>89</v>
      </c>
    </row>
    <row r="41" spans="1:22" outlineLevel="2" x14ac:dyDescent="0.25">
      <c r="A41" s="8" t="s">
        <v>82</v>
      </c>
      <c r="B41" s="8" t="s">
        <v>83</v>
      </c>
      <c r="C41" s="8">
        <v>30</v>
      </c>
      <c r="D41" s="8" t="s">
        <v>84</v>
      </c>
      <c r="E41" s="8">
        <v>184</v>
      </c>
      <c r="F41" s="8" t="s">
        <v>85</v>
      </c>
      <c r="G41" s="8">
        <v>8655</v>
      </c>
      <c r="H41" s="8" t="s">
        <v>29</v>
      </c>
      <c r="I41" s="8">
        <v>1000008655</v>
      </c>
      <c r="J41" s="8">
        <v>28822083</v>
      </c>
      <c r="K41" s="8" t="s">
        <v>283</v>
      </c>
      <c r="L41" s="8" t="s">
        <v>87</v>
      </c>
      <c r="M41" s="8" t="s">
        <v>88</v>
      </c>
      <c r="N41" s="8">
        <v>186.5</v>
      </c>
      <c r="O41" s="8">
        <v>14.22</v>
      </c>
      <c r="P41" s="8">
        <v>2.2799999999999998</v>
      </c>
      <c r="Q41" s="8">
        <v>4.2561999999999998</v>
      </c>
      <c r="R41" s="8">
        <v>0.68100000000000005</v>
      </c>
      <c r="S41" s="8" t="s">
        <v>527</v>
      </c>
      <c r="T41" s="8">
        <v>6</v>
      </c>
      <c r="U41" s="8" t="s">
        <v>89</v>
      </c>
      <c r="V41" s="8"/>
    </row>
    <row r="42" spans="1:22" outlineLevel="1" x14ac:dyDescent="0.25">
      <c r="A42" s="8"/>
      <c r="B42" s="8"/>
      <c r="C42" s="8"/>
      <c r="D42" s="8"/>
      <c r="E42" s="8"/>
      <c r="F42" s="8"/>
      <c r="G42" s="8"/>
      <c r="H42" s="10" t="s">
        <v>535</v>
      </c>
      <c r="I42" s="8"/>
      <c r="J42" s="8"/>
      <c r="K42" s="8"/>
      <c r="L42" s="8"/>
      <c r="M42" s="8"/>
      <c r="N42" s="8">
        <f>SUBTOTAL(9,N33:N41)</f>
        <v>2067.5</v>
      </c>
      <c r="O42" s="8"/>
      <c r="P42" s="8"/>
      <c r="Q42" s="8"/>
      <c r="R42" s="8"/>
      <c r="S42" s="8"/>
      <c r="T42" s="8"/>
      <c r="U42" s="8"/>
      <c r="V42" s="8"/>
    </row>
    <row r="43" spans="1:22" outlineLevel="2" x14ac:dyDescent="0.25">
      <c r="A43" t="s">
        <v>82</v>
      </c>
      <c r="B43" t="s">
        <v>83</v>
      </c>
      <c r="C43">
        <v>30</v>
      </c>
      <c r="D43" t="s">
        <v>84</v>
      </c>
      <c r="E43">
        <v>184</v>
      </c>
      <c r="F43" t="s">
        <v>85</v>
      </c>
      <c r="G43">
        <v>8656</v>
      </c>
      <c r="H43" t="s">
        <v>31</v>
      </c>
      <c r="I43">
        <v>1000008656</v>
      </c>
      <c r="J43">
        <v>28807320</v>
      </c>
      <c r="K43" t="s">
        <v>90</v>
      </c>
      <c r="L43" t="s">
        <v>87</v>
      </c>
      <c r="M43" t="s">
        <v>88</v>
      </c>
      <c r="N43">
        <v>112.5</v>
      </c>
      <c r="O43">
        <v>14.22</v>
      </c>
      <c r="P43">
        <v>2.2799999999999998</v>
      </c>
      <c r="Q43">
        <v>4.2561999999999998</v>
      </c>
      <c r="R43">
        <v>0.68100000000000005</v>
      </c>
      <c r="S43" t="s">
        <v>342</v>
      </c>
      <c r="T43">
        <v>6</v>
      </c>
      <c r="U43" t="s">
        <v>89</v>
      </c>
    </row>
    <row r="44" spans="1:22" outlineLevel="2" x14ac:dyDescent="0.25">
      <c r="A44" t="s">
        <v>82</v>
      </c>
      <c r="B44" t="s">
        <v>83</v>
      </c>
      <c r="C44">
        <v>30</v>
      </c>
      <c r="D44" t="s">
        <v>84</v>
      </c>
      <c r="E44">
        <v>184</v>
      </c>
      <c r="F44" t="s">
        <v>85</v>
      </c>
      <c r="G44">
        <v>8656</v>
      </c>
      <c r="H44" t="s">
        <v>31</v>
      </c>
      <c r="I44">
        <v>1000008656</v>
      </c>
      <c r="J44">
        <v>28808428</v>
      </c>
      <c r="K44" t="s">
        <v>116</v>
      </c>
      <c r="L44" t="s">
        <v>87</v>
      </c>
      <c r="M44" t="s">
        <v>88</v>
      </c>
      <c r="N44">
        <v>1008.5</v>
      </c>
      <c r="O44">
        <v>14.22</v>
      </c>
      <c r="P44">
        <v>2.2799999999999998</v>
      </c>
      <c r="Q44">
        <v>4.2561999999999998</v>
      </c>
      <c r="R44">
        <v>0.68100000000000005</v>
      </c>
      <c r="S44" t="s">
        <v>343</v>
      </c>
      <c r="T44">
        <v>6</v>
      </c>
      <c r="U44" t="s">
        <v>89</v>
      </c>
    </row>
    <row r="45" spans="1:22" outlineLevel="2" x14ac:dyDescent="0.25">
      <c r="A45" t="s">
        <v>82</v>
      </c>
      <c r="B45" t="s">
        <v>83</v>
      </c>
      <c r="C45">
        <v>30</v>
      </c>
      <c r="D45" t="s">
        <v>84</v>
      </c>
      <c r="E45">
        <v>184</v>
      </c>
      <c r="F45" t="s">
        <v>85</v>
      </c>
      <c r="G45">
        <v>8656</v>
      </c>
      <c r="H45" t="s">
        <v>31</v>
      </c>
      <c r="I45">
        <v>1000008656</v>
      </c>
      <c r="J45">
        <v>28810849</v>
      </c>
      <c r="K45" t="s">
        <v>163</v>
      </c>
      <c r="L45" t="s">
        <v>87</v>
      </c>
      <c r="M45" t="s">
        <v>88</v>
      </c>
      <c r="N45">
        <v>123.5</v>
      </c>
      <c r="O45">
        <v>14.22</v>
      </c>
      <c r="P45">
        <v>2.2799999999999998</v>
      </c>
      <c r="Q45">
        <v>4.2561999999999998</v>
      </c>
      <c r="R45">
        <v>0.68100000000000005</v>
      </c>
      <c r="S45" t="s">
        <v>344</v>
      </c>
      <c r="T45">
        <v>6</v>
      </c>
      <c r="U45" t="s">
        <v>89</v>
      </c>
    </row>
    <row r="46" spans="1:22" outlineLevel="2" x14ac:dyDescent="0.25">
      <c r="A46" t="s">
        <v>82</v>
      </c>
      <c r="B46" t="s">
        <v>83</v>
      </c>
      <c r="C46">
        <v>30</v>
      </c>
      <c r="D46" t="s">
        <v>84</v>
      </c>
      <c r="E46">
        <v>184</v>
      </c>
      <c r="F46" t="s">
        <v>85</v>
      </c>
      <c r="G46">
        <v>8656</v>
      </c>
      <c r="H46" t="s">
        <v>31</v>
      </c>
      <c r="I46">
        <v>1000008656</v>
      </c>
      <c r="J46">
        <v>28811242</v>
      </c>
      <c r="K46" t="s">
        <v>167</v>
      </c>
      <c r="L46" t="s">
        <v>87</v>
      </c>
      <c r="M46" t="s">
        <v>88</v>
      </c>
      <c r="N46">
        <v>137.5</v>
      </c>
      <c r="O46">
        <v>14.22</v>
      </c>
      <c r="P46">
        <v>2.2799999999999998</v>
      </c>
      <c r="Q46">
        <v>4.2561999999999998</v>
      </c>
      <c r="R46">
        <v>0.68100000000000005</v>
      </c>
      <c r="S46" t="s">
        <v>345</v>
      </c>
      <c r="T46">
        <v>6</v>
      </c>
      <c r="U46" t="s">
        <v>89</v>
      </c>
    </row>
    <row r="47" spans="1:22" outlineLevel="2" x14ac:dyDescent="0.25">
      <c r="A47" t="s">
        <v>82</v>
      </c>
      <c r="B47" t="s">
        <v>83</v>
      </c>
      <c r="C47">
        <v>30</v>
      </c>
      <c r="D47" t="s">
        <v>84</v>
      </c>
      <c r="E47">
        <v>184</v>
      </c>
      <c r="F47" t="s">
        <v>85</v>
      </c>
      <c r="G47">
        <v>8656</v>
      </c>
      <c r="H47" t="s">
        <v>31</v>
      </c>
      <c r="I47">
        <v>1000008656</v>
      </c>
      <c r="J47">
        <v>28813315</v>
      </c>
      <c r="K47" t="s">
        <v>200</v>
      </c>
      <c r="L47" t="s">
        <v>87</v>
      </c>
      <c r="M47" t="s">
        <v>88</v>
      </c>
      <c r="N47">
        <v>710.5</v>
      </c>
      <c r="O47">
        <v>14.22</v>
      </c>
      <c r="P47">
        <v>2.2799999999999998</v>
      </c>
      <c r="Q47">
        <v>4.2561999999999998</v>
      </c>
      <c r="R47">
        <v>0.68100000000000005</v>
      </c>
      <c r="S47" t="s">
        <v>346</v>
      </c>
      <c r="T47">
        <v>6</v>
      </c>
      <c r="U47" t="s">
        <v>89</v>
      </c>
    </row>
    <row r="48" spans="1:22" outlineLevel="2" x14ac:dyDescent="0.25">
      <c r="A48" t="s">
        <v>82</v>
      </c>
      <c r="B48" t="s">
        <v>83</v>
      </c>
      <c r="C48">
        <v>30</v>
      </c>
      <c r="D48" t="s">
        <v>84</v>
      </c>
      <c r="E48">
        <v>184</v>
      </c>
      <c r="F48" t="s">
        <v>85</v>
      </c>
      <c r="G48">
        <v>8656</v>
      </c>
      <c r="H48" t="s">
        <v>31</v>
      </c>
      <c r="I48">
        <v>1000008656</v>
      </c>
      <c r="J48">
        <v>28813704</v>
      </c>
      <c r="K48" t="s">
        <v>204</v>
      </c>
      <c r="L48" t="s">
        <v>87</v>
      </c>
      <c r="M48" t="s">
        <v>88</v>
      </c>
      <c r="N48">
        <v>118.5</v>
      </c>
      <c r="O48">
        <v>14.22</v>
      </c>
      <c r="P48">
        <v>2.2799999999999998</v>
      </c>
      <c r="Q48">
        <v>4.2561999999999998</v>
      </c>
      <c r="R48">
        <v>0.68100000000000005</v>
      </c>
      <c r="S48" t="s">
        <v>347</v>
      </c>
      <c r="T48">
        <v>6</v>
      </c>
      <c r="U48" t="s">
        <v>89</v>
      </c>
    </row>
    <row r="49" spans="1:21" outlineLevel="2" x14ac:dyDescent="0.25">
      <c r="A49" t="s">
        <v>82</v>
      </c>
      <c r="B49" t="s">
        <v>83</v>
      </c>
      <c r="C49">
        <v>30</v>
      </c>
      <c r="D49" t="s">
        <v>84</v>
      </c>
      <c r="E49">
        <v>184</v>
      </c>
      <c r="F49" t="s">
        <v>85</v>
      </c>
      <c r="G49">
        <v>8656</v>
      </c>
      <c r="H49" t="s">
        <v>31</v>
      </c>
      <c r="I49">
        <v>1000008656</v>
      </c>
      <c r="J49">
        <v>28824174</v>
      </c>
      <c r="K49" t="s">
        <v>306</v>
      </c>
      <c r="L49" t="s">
        <v>87</v>
      </c>
      <c r="M49" t="s">
        <v>88</v>
      </c>
      <c r="N49">
        <v>45.5</v>
      </c>
      <c r="O49">
        <v>14.22</v>
      </c>
      <c r="P49">
        <v>2.2799999999999998</v>
      </c>
      <c r="Q49">
        <v>4.2561999999999998</v>
      </c>
      <c r="R49">
        <v>0.68100000000000005</v>
      </c>
      <c r="S49" t="s">
        <v>348</v>
      </c>
      <c r="T49">
        <v>6</v>
      </c>
      <c r="U49" t="s">
        <v>89</v>
      </c>
    </row>
    <row r="50" spans="1:21" outlineLevel="1" x14ac:dyDescent="0.25">
      <c r="H50" s="9" t="s">
        <v>536</v>
      </c>
      <c r="N50">
        <f>SUBTOTAL(9,N43:N49)</f>
        <v>2256.5</v>
      </c>
    </row>
    <row r="51" spans="1:21" outlineLevel="2" x14ac:dyDescent="0.25">
      <c r="A51" t="s">
        <v>82</v>
      </c>
      <c r="B51" t="s">
        <v>83</v>
      </c>
      <c r="C51">
        <v>30</v>
      </c>
      <c r="D51" t="s">
        <v>84</v>
      </c>
      <c r="E51">
        <v>184</v>
      </c>
      <c r="F51" t="s">
        <v>85</v>
      </c>
      <c r="G51">
        <v>8657</v>
      </c>
      <c r="H51" t="s">
        <v>44</v>
      </c>
      <c r="I51">
        <v>1000008657</v>
      </c>
      <c r="J51">
        <v>28808684</v>
      </c>
      <c r="K51" t="s">
        <v>121</v>
      </c>
      <c r="L51" t="s">
        <v>87</v>
      </c>
      <c r="M51" t="s">
        <v>88</v>
      </c>
      <c r="N51">
        <v>88.5</v>
      </c>
      <c r="O51">
        <v>14.22</v>
      </c>
      <c r="P51">
        <v>2.2799999999999998</v>
      </c>
      <c r="Q51">
        <v>4.2561999999999998</v>
      </c>
      <c r="R51">
        <v>0.68100000000000005</v>
      </c>
      <c r="S51" t="s">
        <v>349</v>
      </c>
      <c r="T51">
        <v>6</v>
      </c>
      <c r="U51" t="s">
        <v>89</v>
      </c>
    </row>
    <row r="52" spans="1:21" outlineLevel="2" x14ac:dyDescent="0.25">
      <c r="A52" t="s">
        <v>82</v>
      </c>
      <c r="B52" t="s">
        <v>83</v>
      </c>
      <c r="C52">
        <v>30</v>
      </c>
      <c r="D52" t="s">
        <v>84</v>
      </c>
      <c r="E52">
        <v>184</v>
      </c>
      <c r="F52" t="s">
        <v>85</v>
      </c>
      <c r="G52">
        <v>8657</v>
      </c>
      <c r="H52" t="s">
        <v>44</v>
      </c>
      <c r="I52">
        <v>1000008657</v>
      </c>
      <c r="J52">
        <v>28808755</v>
      </c>
      <c r="K52" t="s">
        <v>124</v>
      </c>
      <c r="L52" t="s">
        <v>87</v>
      </c>
      <c r="M52" t="s">
        <v>88</v>
      </c>
      <c r="N52">
        <v>88.5</v>
      </c>
      <c r="O52">
        <v>14.22</v>
      </c>
      <c r="P52">
        <v>2.2799999999999998</v>
      </c>
      <c r="Q52">
        <v>4.2561999999999998</v>
      </c>
      <c r="R52">
        <v>0.68100000000000005</v>
      </c>
      <c r="S52" t="s">
        <v>350</v>
      </c>
      <c r="T52">
        <v>6</v>
      </c>
      <c r="U52" t="s">
        <v>89</v>
      </c>
    </row>
    <row r="53" spans="1:21" outlineLevel="2" x14ac:dyDescent="0.25">
      <c r="A53" t="s">
        <v>82</v>
      </c>
      <c r="B53" t="s">
        <v>83</v>
      </c>
      <c r="C53">
        <v>30</v>
      </c>
      <c r="D53" t="s">
        <v>84</v>
      </c>
      <c r="E53">
        <v>184</v>
      </c>
      <c r="F53" t="s">
        <v>85</v>
      </c>
      <c r="G53">
        <v>8657</v>
      </c>
      <c r="H53" t="s">
        <v>44</v>
      </c>
      <c r="I53">
        <v>1000008657</v>
      </c>
      <c r="J53">
        <v>28809008</v>
      </c>
      <c r="K53" t="s">
        <v>130</v>
      </c>
      <c r="L53" t="s">
        <v>87</v>
      </c>
      <c r="M53" t="s">
        <v>88</v>
      </c>
      <c r="N53">
        <v>44.5</v>
      </c>
      <c r="O53">
        <v>14.22</v>
      </c>
      <c r="P53">
        <v>2.2799999999999998</v>
      </c>
      <c r="Q53">
        <v>4.2561999999999998</v>
      </c>
      <c r="R53">
        <v>0.68100000000000005</v>
      </c>
      <c r="S53" t="s">
        <v>351</v>
      </c>
      <c r="T53">
        <v>6</v>
      </c>
      <c r="U53" t="s">
        <v>89</v>
      </c>
    </row>
    <row r="54" spans="1:21" outlineLevel="2" x14ac:dyDescent="0.25">
      <c r="A54" t="s">
        <v>82</v>
      </c>
      <c r="B54" t="s">
        <v>83</v>
      </c>
      <c r="C54">
        <v>30</v>
      </c>
      <c r="D54" t="s">
        <v>84</v>
      </c>
      <c r="E54">
        <v>184</v>
      </c>
      <c r="F54" t="s">
        <v>85</v>
      </c>
      <c r="G54">
        <v>8657</v>
      </c>
      <c r="H54" t="s">
        <v>44</v>
      </c>
      <c r="I54">
        <v>1000008657</v>
      </c>
      <c r="J54">
        <v>28809813</v>
      </c>
      <c r="K54" t="s">
        <v>142</v>
      </c>
      <c r="L54" t="s">
        <v>87</v>
      </c>
      <c r="M54" t="s">
        <v>88</v>
      </c>
      <c r="N54">
        <v>118.5</v>
      </c>
      <c r="O54">
        <v>14.22</v>
      </c>
      <c r="P54">
        <v>2.2799999999999998</v>
      </c>
      <c r="Q54">
        <v>4.2561999999999998</v>
      </c>
      <c r="R54">
        <v>0.68100000000000005</v>
      </c>
      <c r="S54" t="s">
        <v>352</v>
      </c>
      <c r="T54">
        <v>6</v>
      </c>
      <c r="U54" t="s">
        <v>89</v>
      </c>
    </row>
    <row r="55" spans="1:21" outlineLevel="2" x14ac:dyDescent="0.25">
      <c r="A55" t="s">
        <v>82</v>
      </c>
      <c r="B55" t="s">
        <v>83</v>
      </c>
      <c r="C55">
        <v>30</v>
      </c>
      <c r="D55" t="s">
        <v>84</v>
      </c>
      <c r="E55">
        <v>184</v>
      </c>
      <c r="F55" t="s">
        <v>85</v>
      </c>
      <c r="G55">
        <v>8657</v>
      </c>
      <c r="H55" t="s">
        <v>44</v>
      </c>
      <c r="I55">
        <v>1000008657</v>
      </c>
      <c r="J55">
        <v>28812692</v>
      </c>
      <c r="K55" t="s">
        <v>187</v>
      </c>
      <c r="L55" t="s">
        <v>87</v>
      </c>
      <c r="M55" t="s">
        <v>88</v>
      </c>
      <c r="N55">
        <v>77.5</v>
      </c>
      <c r="O55">
        <v>14.22</v>
      </c>
      <c r="P55">
        <v>2.2799999999999998</v>
      </c>
      <c r="Q55">
        <v>4.2561999999999998</v>
      </c>
      <c r="R55">
        <v>0.68100000000000005</v>
      </c>
      <c r="S55" t="s">
        <v>353</v>
      </c>
      <c r="T55">
        <v>6</v>
      </c>
      <c r="U55" t="s">
        <v>89</v>
      </c>
    </row>
    <row r="56" spans="1:21" outlineLevel="2" x14ac:dyDescent="0.25">
      <c r="A56" t="s">
        <v>82</v>
      </c>
      <c r="B56" t="s">
        <v>83</v>
      </c>
      <c r="C56">
        <v>30</v>
      </c>
      <c r="D56" t="s">
        <v>84</v>
      </c>
      <c r="E56">
        <v>184</v>
      </c>
      <c r="F56" t="s">
        <v>85</v>
      </c>
      <c r="G56">
        <v>8657</v>
      </c>
      <c r="H56" t="s">
        <v>44</v>
      </c>
      <c r="I56">
        <v>1000008657</v>
      </c>
      <c r="J56">
        <v>28819137</v>
      </c>
      <c r="K56" t="s">
        <v>249</v>
      </c>
      <c r="L56" t="s">
        <v>87</v>
      </c>
      <c r="M56" t="s">
        <v>88</v>
      </c>
      <c r="N56">
        <v>154.5</v>
      </c>
      <c r="O56">
        <v>14.22</v>
      </c>
      <c r="P56">
        <v>2.2799999999999998</v>
      </c>
      <c r="Q56">
        <v>4.2561999999999998</v>
      </c>
      <c r="R56">
        <v>0.68100000000000005</v>
      </c>
      <c r="S56" t="s">
        <v>354</v>
      </c>
      <c r="T56">
        <v>6</v>
      </c>
      <c r="U56" t="s">
        <v>89</v>
      </c>
    </row>
    <row r="57" spans="1:21" outlineLevel="2" x14ac:dyDescent="0.25">
      <c r="A57" t="s">
        <v>82</v>
      </c>
      <c r="B57" t="s">
        <v>83</v>
      </c>
      <c r="C57">
        <v>30</v>
      </c>
      <c r="D57" t="s">
        <v>84</v>
      </c>
      <c r="E57">
        <v>184</v>
      </c>
      <c r="F57" t="s">
        <v>85</v>
      </c>
      <c r="G57">
        <v>8657</v>
      </c>
      <c r="H57" t="s">
        <v>44</v>
      </c>
      <c r="I57">
        <v>1000008657</v>
      </c>
      <c r="J57">
        <v>28819770</v>
      </c>
      <c r="K57" t="s">
        <v>262</v>
      </c>
      <c r="L57" t="s">
        <v>87</v>
      </c>
      <c r="M57" t="s">
        <v>88</v>
      </c>
      <c r="N57">
        <v>100.5</v>
      </c>
      <c r="O57">
        <v>14.22</v>
      </c>
      <c r="P57">
        <v>2.2799999999999998</v>
      </c>
      <c r="Q57">
        <v>4.2561999999999998</v>
      </c>
      <c r="R57">
        <v>0.68100000000000005</v>
      </c>
      <c r="S57" t="s">
        <v>355</v>
      </c>
      <c r="T57">
        <v>6</v>
      </c>
      <c r="U57" t="s">
        <v>89</v>
      </c>
    </row>
    <row r="58" spans="1:21" outlineLevel="2" x14ac:dyDescent="0.25">
      <c r="A58" t="s">
        <v>82</v>
      </c>
      <c r="B58" t="s">
        <v>83</v>
      </c>
      <c r="C58">
        <v>30</v>
      </c>
      <c r="D58" t="s">
        <v>84</v>
      </c>
      <c r="E58">
        <v>184</v>
      </c>
      <c r="F58" t="s">
        <v>85</v>
      </c>
      <c r="G58">
        <v>8657</v>
      </c>
      <c r="H58" t="s">
        <v>44</v>
      </c>
      <c r="I58">
        <v>1000008657</v>
      </c>
      <c r="J58">
        <v>28819787</v>
      </c>
      <c r="K58" t="s">
        <v>263</v>
      </c>
      <c r="L58" t="s">
        <v>87</v>
      </c>
      <c r="M58" t="s">
        <v>88</v>
      </c>
      <c r="N58">
        <v>256.5</v>
      </c>
      <c r="O58">
        <v>14.22</v>
      </c>
      <c r="P58">
        <v>2.2799999999999998</v>
      </c>
      <c r="Q58">
        <v>4.2561999999999998</v>
      </c>
      <c r="R58">
        <v>0.68100000000000005</v>
      </c>
      <c r="S58" t="s">
        <v>356</v>
      </c>
      <c r="T58">
        <v>6</v>
      </c>
      <c r="U58" t="s">
        <v>89</v>
      </c>
    </row>
    <row r="59" spans="1:21" outlineLevel="1" x14ac:dyDescent="0.25">
      <c r="H59" s="9" t="s">
        <v>537</v>
      </c>
      <c r="N59">
        <f>SUBTOTAL(9,N51:N58)</f>
        <v>929</v>
      </c>
    </row>
    <row r="60" spans="1:21" outlineLevel="2" x14ac:dyDescent="0.25">
      <c r="A60" t="s">
        <v>82</v>
      </c>
      <c r="B60" t="s">
        <v>83</v>
      </c>
      <c r="C60">
        <v>30</v>
      </c>
      <c r="D60" t="s">
        <v>84</v>
      </c>
      <c r="E60">
        <v>184</v>
      </c>
      <c r="F60" t="s">
        <v>85</v>
      </c>
      <c r="G60">
        <v>8658</v>
      </c>
      <c r="H60" t="s">
        <v>33</v>
      </c>
      <c r="I60">
        <v>1000008658</v>
      </c>
      <c r="J60">
        <v>28807584</v>
      </c>
      <c r="K60" t="s">
        <v>98</v>
      </c>
      <c r="L60" t="s">
        <v>87</v>
      </c>
      <c r="M60" t="s">
        <v>88</v>
      </c>
      <c r="N60">
        <v>248.5</v>
      </c>
      <c r="O60">
        <v>14.22</v>
      </c>
      <c r="P60">
        <v>2.2799999999999998</v>
      </c>
      <c r="Q60">
        <v>4.2561999999999998</v>
      </c>
      <c r="R60">
        <v>0.68100000000000005</v>
      </c>
      <c r="S60" t="s">
        <v>357</v>
      </c>
      <c r="T60">
        <v>6</v>
      </c>
      <c r="U60" t="s">
        <v>89</v>
      </c>
    </row>
    <row r="61" spans="1:21" outlineLevel="2" x14ac:dyDescent="0.25">
      <c r="A61" t="s">
        <v>82</v>
      </c>
      <c r="B61" t="s">
        <v>83</v>
      </c>
      <c r="C61">
        <v>30</v>
      </c>
      <c r="D61" t="s">
        <v>84</v>
      </c>
      <c r="E61">
        <v>184</v>
      </c>
      <c r="F61" t="s">
        <v>85</v>
      </c>
      <c r="G61">
        <v>8658</v>
      </c>
      <c r="H61" t="s">
        <v>33</v>
      </c>
      <c r="I61">
        <v>1000008658</v>
      </c>
      <c r="J61">
        <v>28808208</v>
      </c>
      <c r="K61" t="s">
        <v>110</v>
      </c>
      <c r="L61" t="s">
        <v>87</v>
      </c>
      <c r="M61" t="s">
        <v>88</v>
      </c>
      <c r="N61">
        <v>196.5</v>
      </c>
      <c r="O61">
        <v>14.22</v>
      </c>
      <c r="P61">
        <v>2.2799999999999998</v>
      </c>
      <c r="Q61">
        <v>4.2561999999999998</v>
      </c>
      <c r="R61">
        <v>0.68100000000000005</v>
      </c>
      <c r="S61" t="s">
        <v>358</v>
      </c>
      <c r="T61">
        <v>6</v>
      </c>
      <c r="U61" t="s">
        <v>89</v>
      </c>
    </row>
    <row r="62" spans="1:21" outlineLevel="2" x14ac:dyDescent="0.25">
      <c r="A62" t="s">
        <v>82</v>
      </c>
      <c r="B62" t="s">
        <v>83</v>
      </c>
      <c r="C62">
        <v>30</v>
      </c>
      <c r="D62" t="s">
        <v>84</v>
      </c>
      <c r="E62">
        <v>184</v>
      </c>
      <c r="F62" t="s">
        <v>85</v>
      </c>
      <c r="G62">
        <v>8658</v>
      </c>
      <c r="H62" t="s">
        <v>33</v>
      </c>
      <c r="I62">
        <v>1000008658</v>
      </c>
      <c r="J62">
        <v>28808305</v>
      </c>
      <c r="K62" t="s">
        <v>112</v>
      </c>
      <c r="L62" t="s">
        <v>87</v>
      </c>
      <c r="M62" t="s">
        <v>88</v>
      </c>
      <c r="N62">
        <v>168.5</v>
      </c>
      <c r="O62">
        <v>14.22</v>
      </c>
      <c r="P62">
        <v>2.2799999999999998</v>
      </c>
      <c r="Q62">
        <v>4.2561999999999998</v>
      </c>
      <c r="R62">
        <v>0.68100000000000005</v>
      </c>
      <c r="S62" t="s">
        <v>359</v>
      </c>
      <c r="T62">
        <v>6</v>
      </c>
      <c r="U62" t="s">
        <v>89</v>
      </c>
    </row>
    <row r="63" spans="1:21" outlineLevel="2" x14ac:dyDescent="0.25">
      <c r="A63" t="s">
        <v>82</v>
      </c>
      <c r="B63" t="s">
        <v>83</v>
      </c>
      <c r="C63">
        <v>30</v>
      </c>
      <c r="D63" t="s">
        <v>84</v>
      </c>
      <c r="E63">
        <v>184</v>
      </c>
      <c r="F63" t="s">
        <v>85</v>
      </c>
      <c r="G63">
        <v>8658</v>
      </c>
      <c r="H63" t="s">
        <v>33</v>
      </c>
      <c r="I63">
        <v>1000008658</v>
      </c>
      <c r="J63">
        <v>28808580</v>
      </c>
      <c r="K63" t="s">
        <v>120</v>
      </c>
      <c r="L63" t="s">
        <v>87</v>
      </c>
      <c r="M63" t="s">
        <v>88</v>
      </c>
      <c r="N63">
        <v>90.5</v>
      </c>
      <c r="O63">
        <v>14.22</v>
      </c>
      <c r="P63">
        <v>2.2799999999999998</v>
      </c>
      <c r="Q63">
        <v>4.2561999999999998</v>
      </c>
      <c r="R63">
        <v>0.68100000000000005</v>
      </c>
      <c r="S63" t="s">
        <v>360</v>
      </c>
      <c r="T63">
        <v>6</v>
      </c>
      <c r="U63" t="s">
        <v>89</v>
      </c>
    </row>
    <row r="64" spans="1:21" outlineLevel="2" x14ac:dyDescent="0.25">
      <c r="A64" t="s">
        <v>82</v>
      </c>
      <c r="B64" t="s">
        <v>83</v>
      </c>
      <c r="C64">
        <v>30</v>
      </c>
      <c r="D64" t="s">
        <v>84</v>
      </c>
      <c r="E64">
        <v>184</v>
      </c>
      <c r="F64" t="s">
        <v>85</v>
      </c>
      <c r="G64">
        <v>8658</v>
      </c>
      <c r="H64" t="s">
        <v>33</v>
      </c>
      <c r="I64">
        <v>1000008658</v>
      </c>
      <c r="J64">
        <v>28808738</v>
      </c>
      <c r="K64" t="s">
        <v>123</v>
      </c>
      <c r="L64" t="s">
        <v>87</v>
      </c>
      <c r="M64" t="s">
        <v>88</v>
      </c>
      <c r="N64">
        <v>558.5</v>
      </c>
      <c r="O64">
        <v>14.22</v>
      </c>
      <c r="P64">
        <v>2.2799999999999998</v>
      </c>
      <c r="Q64">
        <v>4.2561999999999998</v>
      </c>
      <c r="R64">
        <v>0.68100000000000005</v>
      </c>
      <c r="S64" t="s">
        <v>361</v>
      </c>
      <c r="T64">
        <v>6</v>
      </c>
      <c r="U64" t="s">
        <v>89</v>
      </c>
    </row>
    <row r="65" spans="1:21" outlineLevel="2" x14ac:dyDescent="0.25">
      <c r="A65" t="s">
        <v>82</v>
      </c>
      <c r="B65" t="s">
        <v>83</v>
      </c>
      <c r="C65">
        <v>30</v>
      </c>
      <c r="D65" t="s">
        <v>84</v>
      </c>
      <c r="E65">
        <v>184</v>
      </c>
      <c r="F65" t="s">
        <v>85</v>
      </c>
      <c r="G65">
        <v>8658</v>
      </c>
      <c r="H65" t="s">
        <v>33</v>
      </c>
      <c r="I65">
        <v>1000008658</v>
      </c>
      <c r="J65">
        <v>28809068</v>
      </c>
      <c r="K65" t="s">
        <v>131</v>
      </c>
      <c r="L65" t="s">
        <v>87</v>
      </c>
      <c r="M65" t="s">
        <v>88</v>
      </c>
      <c r="N65">
        <v>84.5</v>
      </c>
      <c r="O65">
        <v>14.22</v>
      </c>
      <c r="P65">
        <v>2.2799999999999998</v>
      </c>
      <c r="Q65">
        <v>4.2561999999999998</v>
      </c>
      <c r="R65">
        <v>0.68100000000000005</v>
      </c>
      <c r="S65" t="s">
        <v>362</v>
      </c>
      <c r="T65">
        <v>6</v>
      </c>
      <c r="U65" t="s">
        <v>89</v>
      </c>
    </row>
    <row r="66" spans="1:21" outlineLevel="2" x14ac:dyDescent="0.25">
      <c r="A66" t="s">
        <v>82</v>
      </c>
      <c r="B66" t="s">
        <v>83</v>
      </c>
      <c r="C66">
        <v>30</v>
      </c>
      <c r="D66" t="s">
        <v>84</v>
      </c>
      <c r="E66">
        <v>184</v>
      </c>
      <c r="F66" t="s">
        <v>85</v>
      </c>
      <c r="G66">
        <v>8658</v>
      </c>
      <c r="H66" t="s">
        <v>33</v>
      </c>
      <c r="I66">
        <v>1000008658</v>
      </c>
      <c r="J66">
        <v>28809142</v>
      </c>
      <c r="K66" t="s">
        <v>132</v>
      </c>
      <c r="L66" t="s">
        <v>87</v>
      </c>
      <c r="M66" t="s">
        <v>88</v>
      </c>
      <c r="N66">
        <v>315.5</v>
      </c>
      <c r="O66">
        <v>14.22</v>
      </c>
      <c r="P66">
        <v>2.2799999999999998</v>
      </c>
      <c r="Q66">
        <v>4.2561999999999998</v>
      </c>
      <c r="R66">
        <v>0.68100000000000005</v>
      </c>
      <c r="S66" t="s">
        <v>363</v>
      </c>
      <c r="T66">
        <v>6</v>
      </c>
      <c r="U66" t="s">
        <v>89</v>
      </c>
    </row>
    <row r="67" spans="1:21" outlineLevel="2" x14ac:dyDescent="0.25">
      <c r="A67" t="s">
        <v>82</v>
      </c>
      <c r="B67" t="s">
        <v>83</v>
      </c>
      <c r="C67">
        <v>30</v>
      </c>
      <c r="D67" t="s">
        <v>84</v>
      </c>
      <c r="E67">
        <v>184</v>
      </c>
      <c r="F67" t="s">
        <v>85</v>
      </c>
      <c r="G67">
        <v>8658</v>
      </c>
      <c r="H67" t="s">
        <v>33</v>
      </c>
      <c r="I67">
        <v>1000008658</v>
      </c>
      <c r="J67">
        <v>28810050</v>
      </c>
      <c r="K67" t="s">
        <v>149</v>
      </c>
      <c r="L67" t="s">
        <v>87</v>
      </c>
      <c r="M67" t="s">
        <v>88</v>
      </c>
      <c r="N67">
        <v>124.5</v>
      </c>
      <c r="O67">
        <v>14.22</v>
      </c>
      <c r="P67">
        <v>2.2799999999999998</v>
      </c>
      <c r="Q67">
        <v>4.2561999999999998</v>
      </c>
      <c r="R67">
        <v>0.68100000000000005</v>
      </c>
      <c r="S67" t="s">
        <v>364</v>
      </c>
      <c r="T67">
        <v>6</v>
      </c>
      <c r="U67" t="s">
        <v>89</v>
      </c>
    </row>
    <row r="68" spans="1:21" outlineLevel="2" x14ac:dyDescent="0.25">
      <c r="A68" t="s">
        <v>82</v>
      </c>
      <c r="B68" t="s">
        <v>83</v>
      </c>
      <c r="C68">
        <v>30</v>
      </c>
      <c r="D68" t="s">
        <v>84</v>
      </c>
      <c r="E68">
        <v>184</v>
      </c>
      <c r="F68" t="s">
        <v>85</v>
      </c>
      <c r="G68">
        <v>8658</v>
      </c>
      <c r="H68" t="s">
        <v>33</v>
      </c>
      <c r="I68">
        <v>1000008658</v>
      </c>
      <c r="J68">
        <v>28810100</v>
      </c>
      <c r="K68" t="s">
        <v>151</v>
      </c>
      <c r="L68" t="s">
        <v>87</v>
      </c>
      <c r="M68" t="s">
        <v>88</v>
      </c>
      <c r="N68">
        <v>252.5</v>
      </c>
      <c r="O68">
        <v>14.22</v>
      </c>
      <c r="P68">
        <v>2.2799999999999998</v>
      </c>
      <c r="Q68">
        <v>4.2561999999999998</v>
      </c>
      <c r="R68">
        <v>0.68100000000000005</v>
      </c>
      <c r="S68" t="s">
        <v>365</v>
      </c>
      <c r="T68">
        <v>6</v>
      </c>
      <c r="U68" t="s">
        <v>89</v>
      </c>
    </row>
    <row r="69" spans="1:21" outlineLevel="2" x14ac:dyDescent="0.25">
      <c r="A69" t="s">
        <v>82</v>
      </c>
      <c r="B69" t="s">
        <v>83</v>
      </c>
      <c r="C69">
        <v>30</v>
      </c>
      <c r="D69" t="s">
        <v>84</v>
      </c>
      <c r="E69">
        <v>184</v>
      </c>
      <c r="F69" t="s">
        <v>85</v>
      </c>
      <c r="G69">
        <v>8658</v>
      </c>
      <c r="H69" t="s">
        <v>33</v>
      </c>
      <c r="I69">
        <v>1000008658</v>
      </c>
      <c r="J69">
        <v>28810740</v>
      </c>
      <c r="K69" t="s">
        <v>161</v>
      </c>
      <c r="L69" t="s">
        <v>87</v>
      </c>
      <c r="M69" t="s">
        <v>88</v>
      </c>
      <c r="N69">
        <v>165.5</v>
      </c>
      <c r="O69">
        <v>14.22</v>
      </c>
      <c r="P69">
        <v>2.2799999999999998</v>
      </c>
      <c r="Q69">
        <v>4.2561999999999998</v>
      </c>
      <c r="R69">
        <v>0.68100000000000005</v>
      </c>
      <c r="S69" t="s">
        <v>366</v>
      </c>
      <c r="T69">
        <v>6</v>
      </c>
      <c r="U69" t="s">
        <v>89</v>
      </c>
    </row>
    <row r="70" spans="1:21" outlineLevel="2" x14ac:dyDescent="0.25">
      <c r="A70" t="s">
        <v>82</v>
      </c>
      <c r="B70" t="s">
        <v>83</v>
      </c>
      <c r="C70">
        <v>30</v>
      </c>
      <c r="D70" t="s">
        <v>84</v>
      </c>
      <c r="E70">
        <v>184</v>
      </c>
      <c r="F70" t="s">
        <v>85</v>
      </c>
      <c r="G70">
        <v>8658</v>
      </c>
      <c r="H70" t="s">
        <v>33</v>
      </c>
      <c r="I70">
        <v>1000008658</v>
      </c>
      <c r="J70">
        <v>28815001</v>
      </c>
      <c r="K70" t="s">
        <v>215</v>
      </c>
      <c r="L70" t="s">
        <v>87</v>
      </c>
      <c r="M70" t="s">
        <v>88</v>
      </c>
      <c r="N70">
        <v>131.5</v>
      </c>
      <c r="O70">
        <v>14.22</v>
      </c>
      <c r="P70">
        <v>2.2799999999999998</v>
      </c>
      <c r="Q70">
        <v>4.2561999999999998</v>
      </c>
      <c r="R70">
        <v>0.68100000000000005</v>
      </c>
      <c r="S70" t="s">
        <v>367</v>
      </c>
      <c r="T70">
        <v>6</v>
      </c>
      <c r="U70" t="s">
        <v>89</v>
      </c>
    </row>
    <row r="71" spans="1:21" outlineLevel="2" x14ac:dyDescent="0.25">
      <c r="A71" t="s">
        <v>82</v>
      </c>
      <c r="B71" t="s">
        <v>83</v>
      </c>
      <c r="C71">
        <v>30</v>
      </c>
      <c r="D71" t="s">
        <v>84</v>
      </c>
      <c r="E71">
        <v>184</v>
      </c>
      <c r="F71" t="s">
        <v>85</v>
      </c>
      <c r="G71">
        <v>8658</v>
      </c>
      <c r="H71" t="s">
        <v>33</v>
      </c>
      <c r="I71">
        <v>1000008658</v>
      </c>
      <c r="J71">
        <v>28819582</v>
      </c>
      <c r="K71" t="s">
        <v>258</v>
      </c>
      <c r="L71" t="s">
        <v>87</v>
      </c>
      <c r="M71" t="s">
        <v>88</v>
      </c>
      <c r="N71">
        <v>145.5</v>
      </c>
      <c r="O71">
        <v>14.22</v>
      </c>
      <c r="P71">
        <v>2.2799999999999998</v>
      </c>
      <c r="Q71">
        <v>4.2561999999999998</v>
      </c>
      <c r="R71">
        <v>0.68100000000000005</v>
      </c>
      <c r="S71" t="s">
        <v>368</v>
      </c>
      <c r="T71">
        <v>6</v>
      </c>
      <c r="U71" t="s">
        <v>89</v>
      </c>
    </row>
    <row r="72" spans="1:21" outlineLevel="2" x14ac:dyDescent="0.25">
      <c r="A72" t="s">
        <v>82</v>
      </c>
      <c r="B72" t="s">
        <v>83</v>
      </c>
      <c r="C72">
        <v>30</v>
      </c>
      <c r="D72" t="s">
        <v>84</v>
      </c>
      <c r="E72">
        <v>184</v>
      </c>
      <c r="F72" t="s">
        <v>85</v>
      </c>
      <c r="G72">
        <v>8658</v>
      </c>
      <c r="H72" t="s">
        <v>33</v>
      </c>
      <c r="I72">
        <v>1000008658</v>
      </c>
      <c r="J72">
        <v>28819592</v>
      </c>
      <c r="K72" t="s">
        <v>259</v>
      </c>
      <c r="L72" t="s">
        <v>87</v>
      </c>
      <c r="M72" t="s">
        <v>88</v>
      </c>
      <c r="N72">
        <v>44.5</v>
      </c>
      <c r="O72">
        <v>14.22</v>
      </c>
      <c r="P72">
        <v>2.2799999999999998</v>
      </c>
      <c r="Q72">
        <v>4.2561999999999998</v>
      </c>
      <c r="R72">
        <v>0.68100000000000005</v>
      </c>
      <c r="S72" t="s">
        <v>369</v>
      </c>
      <c r="T72">
        <v>6</v>
      </c>
      <c r="U72" t="s">
        <v>89</v>
      </c>
    </row>
    <row r="73" spans="1:21" outlineLevel="2" x14ac:dyDescent="0.25">
      <c r="A73" t="s">
        <v>82</v>
      </c>
      <c r="B73" t="s">
        <v>83</v>
      </c>
      <c r="C73">
        <v>30</v>
      </c>
      <c r="D73" t="s">
        <v>84</v>
      </c>
      <c r="E73">
        <v>184</v>
      </c>
      <c r="F73" t="s">
        <v>85</v>
      </c>
      <c r="G73">
        <v>8658</v>
      </c>
      <c r="H73" t="s">
        <v>33</v>
      </c>
      <c r="I73">
        <v>1000008658</v>
      </c>
      <c r="J73">
        <v>28820837</v>
      </c>
      <c r="K73" t="s">
        <v>270</v>
      </c>
      <c r="L73" t="s">
        <v>87</v>
      </c>
      <c r="M73" t="s">
        <v>88</v>
      </c>
      <c r="N73">
        <v>72.5</v>
      </c>
      <c r="O73">
        <v>14.22</v>
      </c>
      <c r="P73">
        <v>2.2799999999999998</v>
      </c>
      <c r="Q73">
        <v>4.2561999999999998</v>
      </c>
      <c r="R73">
        <v>0.68100000000000005</v>
      </c>
      <c r="S73" t="s">
        <v>370</v>
      </c>
      <c r="T73">
        <v>6</v>
      </c>
      <c r="U73" t="s">
        <v>89</v>
      </c>
    </row>
    <row r="74" spans="1:21" outlineLevel="2" x14ac:dyDescent="0.25">
      <c r="A74" t="s">
        <v>82</v>
      </c>
      <c r="B74" t="s">
        <v>83</v>
      </c>
      <c r="C74">
        <v>30</v>
      </c>
      <c r="D74" t="s">
        <v>84</v>
      </c>
      <c r="E74">
        <v>184</v>
      </c>
      <c r="F74" t="s">
        <v>85</v>
      </c>
      <c r="G74">
        <v>8658</v>
      </c>
      <c r="H74" t="s">
        <v>33</v>
      </c>
      <c r="I74">
        <v>1000008658</v>
      </c>
      <c r="J74">
        <v>28823837</v>
      </c>
      <c r="K74" t="s">
        <v>303</v>
      </c>
      <c r="L74" t="s">
        <v>87</v>
      </c>
      <c r="M74" t="s">
        <v>88</v>
      </c>
      <c r="N74">
        <v>80.5</v>
      </c>
      <c r="O74">
        <v>14.22</v>
      </c>
      <c r="P74">
        <v>2.2799999999999998</v>
      </c>
      <c r="Q74">
        <v>4.2561999999999998</v>
      </c>
      <c r="R74">
        <v>0.68100000000000005</v>
      </c>
      <c r="S74" t="s">
        <v>371</v>
      </c>
      <c r="T74">
        <v>6</v>
      </c>
      <c r="U74" t="s">
        <v>89</v>
      </c>
    </row>
    <row r="75" spans="1:21" outlineLevel="2" x14ac:dyDescent="0.25">
      <c r="A75" t="s">
        <v>82</v>
      </c>
      <c r="B75" t="s">
        <v>83</v>
      </c>
      <c r="C75">
        <v>30</v>
      </c>
      <c r="D75" t="s">
        <v>84</v>
      </c>
      <c r="E75">
        <v>184</v>
      </c>
      <c r="F75" t="s">
        <v>85</v>
      </c>
      <c r="G75">
        <v>8658</v>
      </c>
      <c r="H75" t="s">
        <v>33</v>
      </c>
      <c r="I75">
        <v>1000008658</v>
      </c>
      <c r="J75">
        <v>28823964</v>
      </c>
      <c r="K75" t="s">
        <v>304</v>
      </c>
      <c r="L75" t="s">
        <v>87</v>
      </c>
      <c r="M75" t="s">
        <v>88</v>
      </c>
      <c r="N75">
        <v>44.5</v>
      </c>
      <c r="O75">
        <v>14.22</v>
      </c>
      <c r="P75">
        <v>2.2799999999999998</v>
      </c>
      <c r="Q75">
        <v>4.2561999999999998</v>
      </c>
      <c r="R75">
        <v>0.68100000000000005</v>
      </c>
      <c r="S75" t="s">
        <v>372</v>
      </c>
      <c r="T75">
        <v>6</v>
      </c>
      <c r="U75" t="s">
        <v>89</v>
      </c>
    </row>
    <row r="76" spans="1:21" outlineLevel="1" x14ac:dyDescent="0.25">
      <c r="H76" s="9" t="s">
        <v>538</v>
      </c>
      <c r="N76">
        <f>SUBTOTAL(9,N60:N75)</f>
        <v>2724</v>
      </c>
    </row>
    <row r="77" spans="1:21" outlineLevel="2" x14ac:dyDescent="0.25">
      <c r="A77" t="s">
        <v>82</v>
      </c>
      <c r="B77" t="s">
        <v>83</v>
      </c>
      <c r="C77">
        <v>30</v>
      </c>
      <c r="D77" t="s">
        <v>84</v>
      </c>
      <c r="E77">
        <v>184</v>
      </c>
      <c r="F77" t="s">
        <v>85</v>
      </c>
      <c r="G77">
        <v>8659</v>
      </c>
      <c r="H77" t="s">
        <v>32</v>
      </c>
      <c r="I77">
        <v>1000008659</v>
      </c>
      <c r="J77">
        <v>28808138</v>
      </c>
      <c r="K77" t="s">
        <v>109</v>
      </c>
      <c r="L77" t="s">
        <v>87</v>
      </c>
      <c r="M77" t="s">
        <v>88</v>
      </c>
      <c r="N77">
        <v>158.5</v>
      </c>
      <c r="O77">
        <v>14.22</v>
      </c>
      <c r="P77">
        <v>2.2799999999999998</v>
      </c>
      <c r="Q77">
        <v>4.2561999999999998</v>
      </c>
      <c r="R77">
        <v>0.68100000000000005</v>
      </c>
      <c r="S77" t="s">
        <v>373</v>
      </c>
      <c r="T77">
        <v>6</v>
      </c>
      <c r="U77" t="s">
        <v>89</v>
      </c>
    </row>
    <row r="78" spans="1:21" outlineLevel="2" x14ac:dyDescent="0.25">
      <c r="A78" t="s">
        <v>82</v>
      </c>
      <c r="B78" t="s">
        <v>83</v>
      </c>
      <c r="C78">
        <v>30</v>
      </c>
      <c r="D78" t="s">
        <v>84</v>
      </c>
      <c r="E78">
        <v>184</v>
      </c>
      <c r="F78" t="s">
        <v>85</v>
      </c>
      <c r="G78">
        <v>8659</v>
      </c>
      <c r="H78" t="s">
        <v>32</v>
      </c>
      <c r="I78">
        <v>1000008659</v>
      </c>
      <c r="J78">
        <v>28809418</v>
      </c>
      <c r="K78" t="s">
        <v>136</v>
      </c>
      <c r="L78" t="s">
        <v>87</v>
      </c>
      <c r="M78" t="s">
        <v>88</v>
      </c>
      <c r="N78">
        <v>161.5</v>
      </c>
      <c r="O78">
        <v>14.22</v>
      </c>
      <c r="P78">
        <v>2.2799999999999998</v>
      </c>
      <c r="Q78">
        <v>4.2561999999999998</v>
      </c>
      <c r="R78">
        <v>0.68100000000000005</v>
      </c>
      <c r="S78" t="s">
        <v>374</v>
      </c>
      <c r="T78">
        <v>6</v>
      </c>
      <c r="U78" t="s">
        <v>89</v>
      </c>
    </row>
    <row r="79" spans="1:21" outlineLevel="2" x14ac:dyDescent="0.25">
      <c r="A79" t="s">
        <v>82</v>
      </c>
      <c r="B79" t="s">
        <v>83</v>
      </c>
      <c r="C79">
        <v>30</v>
      </c>
      <c r="D79" t="s">
        <v>84</v>
      </c>
      <c r="E79">
        <v>184</v>
      </c>
      <c r="F79" t="s">
        <v>85</v>
      </c>
      <c r="G79">
        <v>8659</v>
      </c>
      <c r="H79" t="s">
        <v>32</v>
      </c>
      <c r="I79">
        <v>1000008659</v>
      </c>
      <c r="J79">
        <v>28809531</v>
      </c>
      <c r="K79" t="s">
        <v>138</v>
      </c>
      <c r="L79" t="s">
        <v>87</v>
      </c>
      <c r="M79" t="s">
        <v>88</v>
      </c>
      <c r="N79">
        <v>312.5</v>
      </c>
      <c r="O79">
        <v>14.22</v>
      </c>
      <c r="P79">
        <v>2.2799999999999998</v>
      </c>
      <c r="Q79">
        <v>4.2561999999999998</v>
      </c>
      <c r="R79">
        <v>0.68100000000000005</v>
      </c>
      <c r="S79" t="s">
        <v>375</v>
      </c>
      <c r="T79">
        <v>6</v>
      </c>
      <c r="U79" t="s">
        <v>89</v>
      </c>
    </row>
    <row r="80" spans="1:21" outlineLevel="2" x14ac:dyDescent="0.25">
      <c r="A80" t="s">
        <v>82</v>
      </c>
      <c r="B80" t="s">
        <v>83</v>
      </c>
      <c r="C80">
        <v>30</v>
      </c>
      <c r="D80" t="s">
        <v>84</v>
      </c>
      <c r="E80">
        <v>184</v>
      </c>
      <c r="F80" t="s">
        <v>85</v>
      </c>
      <c r="G80">
        <v>8659</v>
      </c>
      <c r="H80" t="s">
        <v>32</v>
      </c>
      <c r="I80">
        <v>1000008659</v>
      </c>
      <c r="J80">
        <v>28809939</v>
      </c>
      <c r="K80" t="s">
        <v>144</v>
      </c>
      <c r="L80" t="s">
        <v>87</v>
      </c>
      <c r="M80" t="s">
        <v>88</v>
      </c>
      <c r="N80">
        <v>138.5</v>
      </c>
      <c r="O80">
        <v>14.22</v>
      </c>
      <c r="P80">
        <v>2.2799999999999998</v>
      </c>
      <c r="Q80">
        <v>4.2561999999999998</v>
      </c>
      <c r="R80">
        <v>0.68100000000000005</v>
      </c>
      <c r="S80" t="s">
        <v>376</v>
      </c>
      <c r="T80">
        <v>6</v>
      </c>
      <c r="U80" t="s">
        <v>89</v>
      </c>
    </row>
    <row r="81" spans="1:22" outlineLevel="2" x14ac:dyDescent="0.25">
      <c r="A81" t="s">
        <v>82</v>
      </c>
      <c r="B81" t="s">
        <v>83</v>
      </c>
      <c r="C81">
        <v>30</v>
      </c>
      <c r="D81" t="s">
        <v>84</v>
      </c>
      <c r="E81">
        <v>184</v>
      </c>
      <c r="F81" t="s">
        <v>85</v>
      </c>
      <c r="G81">
        <v>8659</v>
      </c>
      <c r="H81" t="s">
        <v>32</v>
      </c>
      <c r="I81">
        <v>1000008659</v>
      </c>
      <c r="J81">
        <v>28810481</v>
      </c>
      <c r="K81" t="s">
        <v>157</v>
      </c>
      <c r="L81" t="s">
        <v>87</v>
      </c>
      <c r="M81" t="s">
        <v>88</v>
      </c>
      <c r="N81">
        <v>104.5</v>
      </c>
      <c r="O81">
        <v>14.22</v>
      </c>
      <c r="P81">
        <v>2.2799999999999998</v>
      </c>
      <c r="Q81">
        <v>4.2561999999999998</v>
      </c>
      <c r="R81">
        <v>0.68100000000000005</v>
      </c>
      <c r="S81" t="s">
        <v>377</v>
      </c>
      <c r="T81">
        <v>6</v>
      </c>
      <c r="U81" t="s">
        <v>89</v>
      </c>
    </row>
    <row r="82" spans="1:22" outlineLevel="2" x14ac:dyDescent="0.25">
      <c r="A82" t="s">
        <v>82</v>
      </c>
      <c r="B82" t="s">
        <v>83</v>
      </c>
      <c r="C82">
        <v>30</v>
      </c>
      <c r="D82" t="s">
        <v>84</v>
      </c>
      <c r="E82">
        <v>184</v>
      </c>
      <c r="F82" t="s">
        <v>85</v>
      </c>
      <c r="G82">
        <v>8659</v>
      </c>
      <c r="H82" t="s">
        <v>32</v>
      </c>
      <c r="I82">
        <v>1000008659</v>
      </c>
      <c r="J82">
        <v>28810580</v>
      </c>
      <c r="K82" t="s">
        <v>160</v>
      </c>
      <c r="L82" t="s">
        <v>87</v>
      </c>
      <c r="M82" t="s">
        <v>88</v>
      </c>
      <c r="N82">
        <v>535.5</v>
      </c>
      <c r="O82">
        <v>14.22</v>
      </c>
      <c r="P82">
        <v>2.2799999999999998</v>
      </c>
      <c r="Q82">
        <v>4.2561999999999998</v>
      </c>
      <c r="R82">
        <v>0.68100000000000005</v>
      </c>
      <c r="S82" t="s">
        <v>378</v>
      </c>
      <c r="T82">
        <v>6</v>
      </c>
      <c r="U82" t="s">
        <v>89</v>
      </c>
    </row>
    <row r="83" spans="1:22" outlineLevel="2" x14ac:dyDescent="0.25">
      <c r="A83" t="s">
        <v>82</v>
      </c>
      <c r="B83" t="s">
        <v>83</v>
      </c>
      <c r="C83">
        <v>30</v>
      </c>
      <c r="D83" t="s">
        <v>84</v>
      </c>
      <c r="E83">
        <v>184</v>
      </c>
      <c r="F83" t="s">
        <v>85</v>
      </c>
      <c r="G83">
        <v>8659</v>
      </c>
      <c r="H83" t="s">
        <v>32</v>
      </c>
      <c r="I83">
        <v>1000008659</v>
      </c>
      <c r="J83">
        <v>28810931</v>
      </c>
      <c r="K83" t="s">
        <v>164</v>
      </c>
      <c r="L83" t="s">
        <v>87</v>
      </c>
      <c r="M83" t="s">
        <v>88</v>
      </c>
      <c r="N83">
        <v>110.5</v>
      </c>
      <c r="O83">
        <v>14.22</v>
      </c>
      <c r="P83">
        <v>2.2799999999999998</v>
      </c>
      <c r="Q83">
        <v>4.2561999999999998</v>
      </c>
      <c r="R83">
        <v>0.68100000000000005</v>
      </c>
      <c r="S83" t="s">
        <v>379</v>
      </c>
      <c r="T83">
        <v>6</v>
      </c>
      <c r="U83" t="s">
        <v>89</v>
      </c>
    </row>
    <row r="84" spans="1:22" outlineLevel="2" x14ac:dyDescent="0.25">
      <c r="A84" t="s">
        <v>82</v>
      </c>
      <c r="B84" t="s">
        <v>83</v>
      </c>
      <c r="C84">
        <v>30</v>
      </c>
      <c r="D84" t="s">
        <v>84</v>
      </c>
      <c r="E84">
        <v>184</v>
      </c>
      <c r="F84" t="s">
        <v>85</v>
      </c>
      <c r="G84">
        <v>8659</v>
      </c>
      <c r="H84" t="s">
        <v>32</v>
      </c>
      <c r="I84">
        <v>1000008659</v>
      </c>
      <c r="J84">
        <v>28811228</v>
      </c>
      <c r="K84" t="s">
        <v>166</v>
      </c>
      <c r="L84" t="s">
        <v>87</v>
      </c>
      <c r="M84" t="s">
        <v>88</v>
      </c>
      <c r="N84">
        <v>61.5</v>
      </c>
      <c r="O84">
        <v>14.22</v>
      </c>
      <c r="P84">
        <v>2.2799999999999998</v>
      </c>
      <c r="Q84">
        <v>4.2561999999999998</v>
      </c>
      <c r="R84">
        <v>0.68100000000000005</v>
      </c>
      <c r="S84" t="s">
        <v>380</v>
      </c>
      <c r="T84">
        <v>6</v>
      </c>
      <c r="U84" t="s">
        <v>89</v>
      </c>
    </row>
    <row r="85" spans="1:22" outlineLevel="2" x14ac:dyDescent="0.25">
      <c r="A85" t="s">
        <v>82</v>
      </c>
      <c r="B85" t="s">
        <v>83</v>
      </c>
      <c r="C85">
        <v>30</v>
      </c>
      <c r="D85" t="s">
        <v>84</v>
      </c>
      <c r="E85">
        <v>184</v>
      </c>
      <c r="F85" t="s">
        <v>85</v>
      </c>
      <c r="G85">
        <v>8659</v>
      </c>
      <c r="H85" t="s">
        <v>32</v>
      </c>
      <c r="I85">
        <v>1000008659</v>
      </c>
      <c r="J85">
        <v>28811724</v>
      </c>
      <c r="K85" t="s">
        <v>177</v>
      </c>
      <c r="L85" t="s">
        <v>87</v>
      </c>
      <c r="M85" t="s">
        <v>88</v>
      </c>
      <c r="N85">
        <v>182.5</v>
      </c>
      <c r="O85">
        <v>14.22</v>
      </c>
      <c r="P85">
        <v>2.2799999999999998</v>
      </c>
      <c r="Q85">
        <v>4.2561999999999998</v>
      </c>
      <c r="R85">
        <v>0.68100000000000005</v>
      </c>
      <c r="S85" t="s">
        <v>381</v>
      </c>
      <c r="T85">
        <v>6</v>
      </c>
      <c r="U85" t="s">
        <v>89</v>
      </c>
    </row>
    <row r="86" spans="1:22" outlineLevel="2" x14ac:dyDescent="0.25">
      <c r="A86" t="s">
        <v>82</v>
      </c>
      <c r="B86" t="s">
        <v>83</v>
      </c>
      <c r="C86">
        <v>30</v>
      </c>
      <c r="D86" t="s">
        <v>84</v>
      </c>
      <c r="E86">
        <v>184</v>
      </c>
      <c r="F86" t="s">
        <v>85</v>
      </c>
      <c r="G86">
        <v>8659</v>
      </c>
      <c r="H86" t="s">
        <v>32</v>
      </c>
      <c r="I86">
        <v>1000008659</v>
      </c>
      <c r="J86">
        <v>28812362</v>
      </c>
      <c r="K86" t="s">
        <v>181</v>
      </c>
      <c r="L86" t="s">
        <v>87</v>
      </c>
      <c r="M86" t="s">
        <v>88</v>
      </c>
      <c r="N86">
        <v>388.5</v>
      </c>
      <c r="O86">
        <v>14.22</v>
      </c>
      <c r="P86">
        <v>2.2799999999999998</v>
      </c>
      <c r="Q86">
        <v>4.2561999999999998</v>
      </c>
      <c r="R86">
        <v>0.68100000000000005</v>
      </c>
      <c r="S86" t="s">
        <v>382</v>
      </c>
      <c r="T86">
        <v>6</v>
      </c>
      <c r="U86" t="s">
        <v>89</v>
      </c>
    </row>
    <row r="87" spans="1:22" outlineLevel="2" x14ac:dyDescent="0.25">
      <c r="A87" t="s">
        <v>82</v>
      </c>
      <c r="B87" t="s">
        <v>83</v>
      </c>
      <c r="C87">
        <v>30</v>
      </c>
      <c r="D87" t="s">
        <v>84</v>
      </c>
      <c r="E87">
        <v>184</v>
      </c>
      <c r="F87" t="s">
        <v>85</v>
      </c>
      <c r="G87">
        <v>8659</v>
      </c>
      <c r="H87" t="s">
        <v>32</v>
      </c>
      <c r="I87">
        <v>1000008659</v>
      </c>
      <c r="J87">
        <v>28813330</v>
      </c>
      <c r="K87" t="s">
        <v>201</v>
      </c>
      <c r="L87" t="s">
        <v>87</v>
      </c>
      <c r="M87" t="s">
        <v>88</v>
      </c>
      <c r="N87">
        <v>140.5</v>
      </c>
      <c r="O87">
        <v>14.22</v>
      </c>
      <c r="P87">
        <v>2.2799999999999998</v>
      </c>
      <c r="Q87">
        <v>4.2561999999999998</v>
      </c>
      <c r="R87">
        <v>0.68100000000000005</v>
      </c>
      <c r="S87" t="s">
        <v>383</v>
      </c>
      <c r="T87">
        <v>6</v>
      </c>
      <c r="U87" t="s">
        <v>89</v>
      </c>
    </row>
    <row r="88" spans="1:22" outlineLevel="2" x14ac:dyDescent="0.25">
      <c r="A88" t="s">
        <v>82</v>
      </c>
      <c r="B88" t="s">
        <v>83</v>
      </c>
      <c r="C88">
        <v>30</v>
      </c>
      <c r="D88" t="s">
        <v>84</v>
      </c>
      <c r="E88">
        <v>184</v>
      </c>
      <c r="F88" t="s">
        <v>85</v>
      </c>
      <c r="G88">
        <v>8659</v>
      </c>
      <c r="H88" t="s">
        <v>32</v>
      </c>
      <c r="I88">
        <v>1000008659</v>
      </c>
      <c r="J88">
        <v>28813756</v>
      </c>
      <c r="K88" t="s">
        <v>205</v>
      </c>
      <c r="L88" t="s">
        <v>87</v>
      </c>
      <c r="M88" t="s">
        <v>88</v>
      </c>
      <c r="N88">
        <v>48.5</v>
      </c>
      <c r="O88">
        <v>14.22</v>
      </c>
      <c r="P88">
        <v>2.2799999999999998</v>
      </c>
      <c r="Q88">
        <v>4.2561999999999998</v>
      </c>
      <c r="R88">
        <v>0.68100000000000005</v>
      </c>
      <c r="S88" t="s">
        <v>384</v>
      </c>
      <c r="T88">
        <v>6</v>
      </c>
      <c r="U88" t="s">
        <v>89</v>
      </c>
    </row>
    <row r="89" spans="1:22" outlineLevel="2" x14ac:dyDescent="0.25">
      <c r="A89" t="s">
        <v>82</v>
      </c>
      <c r="B89" t="s">
        <v>83</v>
      </c>
      <c r="C89">
        <v>30</v>
      </c>
      <c r="D89" t="s">
        <v>84</v>
      </c>
      <c r="E89">
        <v>184</v>
      </c>
      <c r="F89" t="s">
        <v>85</v>
      </c>
      <c r="G89">
        <v>8659</v>
      </c>
      <c r="H89" t="s">
        <v>32</v>
      </c>
      <c r="I89">
        <v>1000008659</v>
      </c>
      <c r="J89">
        <v>28813950</v>
      </c>
      <c r="K89" t="s">
        <v>207</v>
      </c>
      <c r="L89" t="s">
        <v>87</v>
      </c>
      <c r="M89" t="s">
        <v>88</v>
      </c>
      <c r="N89">
        <v>57.5</v>
      </c>
      <c r="O89">
        <v>14.22</v>
      </c>
      <c r="P89">
        <v>2.2799999999999998</v>
      </c>
      <c r="Q89">
        <v>4.2561999999999998</v>
      </c>
      <c r="R89">
        <v>0.68100000000000005</v>
      </c>
      <c r="S89" t="s">
        <v>385</v>
      </c>
      <c r="T89">
        <v>6</v>
      </c>
      <c r="U89" t="s">
        <v>89</v>
      </c>
    </row>
    <row r="90" spans="1:22" outlineLevel="2" x14ac:dyDescent="0.25">
      <c r="A90" t="s">
        <v>82</v>
      </c>
      <c r="B90" t="s">
        <v>83</v>
      </c>
      <c r="C90">
        <v>30</v>
      </c>
      <c r="D90" t="s">
        <v>84</v>
      </c>
      <c r="E90">
        <v>184</v>
      </c>
      <c r="F90" t="s">
        <v>85</v>
      </c>
      <c r="G90">
        <v>8659</v>
      </c>
      <c r="H90" t="s">
        <v>32</v>
      </c>
      <c r="I90">
        <v>1000008659</v>
      </c>
      <c r="J90">
        <v>28814459</v>
      </c>
      <c r="K90" t="s">
        <v>209</v>
      </c>
      <c r="L90" t="s">
        <v>87</v>
      </c>
      <c r="M90" t="s">
        <v>88</v>
      </c>
      <c r="N90">
        <v>224.5</v>
      </c>
      <c r="O90">
        <v>14.22</v>
      </c>
      <c r="P90">
        <v>2.2799999999999998</v>
      </c>
      <c r="Q90">
        <v>4.2561999999999998</v>
      </c>
      <c r="R90">
        <v>0.68100000000000005</v>
      </c>
      <c r="S90" t="s">
        <v>386</v>
      </c>
      <c r="T90">
        <v>6</v>
      </c>
      <c r="U90" t="s">
        <v>89</v>
      </c>
    </row>
    <row r="91" spans="1:22" outlineLevel="2" x14ac:dyDescent="0.25">
      <c r="A91" t="s">
        <v>82</v>
      </c>
      <c r="B91" t="s">
        <v>83</v>
      </c>
      <c r="C91">
        <v>30</v>
      </c>
      <c r="D91" t="s">
        <v>84</v>
      </c>
      <c r="E91">
        <v>184</v>
      </c>
      <c r="F91" t="s">
        <v>85</v>
      </c>
      <c r="G91">
        <v>8659</v>
      </c>
      <c r="H91" t="s">
        <v>32</v>
      </c>
      <c r="I91">
        <v>1000008659</v>
      </c>
      <c r="J91">
        <v>28815054</v>
      </c>
      <c r="K91" t="s">
        <v>217</v>
      </c>
      <c r="L91" t="s">
        <v>87</v>
      </c>
      <c r="M91" t="s">
        <v>88</v>
      </c>
      <c r="N91">
        <v>339.5</v>
      </c>
      <c r="O91">
        <v>14.22</v>
      </c>
      <c r="P91">
        <v>2.2799999999999998</v>
      </c>
      <c r="Q91">
        <v>4.2561999999999998</v>
      </c>
      <c r="R91">
        <v>0.68100000000000005</v>
      </c>
      <c r="S91" t="s">
        <v>387</v>
      </c>
      <c r="T91">
        <v>6</v>
      </c>
      <c r="U91" t="s">
        <v>89</v>
      </c>
    </row>
    <row r="92" spans="1:22" outlineLevel="2" x14ac:dyDescent="0.25">
      <c r="A92" t="s">
        <v>82</v>
      </c>
      <c r="B92" t="s">
        <v>83</v>
      </c>
      <c r="C92">
        <v>30</v>
      </c>
      <c r="D92" t="s">
        <v>84</v>
      </c>
      <c r="E92">
        <v>184</v>
      </c>
      <c r="F92" t="s">
        <v>85</v>
      </c>
      <c r="G92">
        <v>8659</v>
      </c>
      <c r="H92" t="s">
        <v>32</v>
      </c>
      <c r="I92">
        <v>1000008659</v>
      </c>
      <c r="J92">
        <v>28817244</v>
      </c>
      <c r="K92" t="s">
        <v>230</v>
      </c>
      <c r="L92" t="s">
        <v>87</v>
      </c>
      <c r="M92" t="s">
        <v>88</v>
      </c>
      <c r="N92">
        <v>43.5</v>
      </c>
      <c r="O92">
        <v>14.22</v>
      </c>
      <c r="P92">
        <v>2.2799999999999998</v>
      </c>
      <c r="Q92">
        <v>4.2561999999999998</v>
      </c>
      <c r="R92">
        <v>0.68100000000000005</v>
      </c>
      <c r="S92" t="s">
        <v>388</v>
      </c>
      <c r="T92">
        <v>6</v>
      </c>
      <c r="U92" t="s">
        <v>89</v>
      </c>
    </row>
    <row r="93" spans="1:22" outlineLevel="2" x14ac:dyDescent="0.25">
      <c r="A93" t="s">
        <v>82</v>
      </c>
      <c r="B93" t="s">
        <v>83</v>
      </c>
      <c r="C93">
        <v>30</v>
      </c>
      <c r="D93" t="s">
        <v>84</v>
      </c>
      <c r="E93">
        <v>184</v>
      </c>
      <c r="F93" t="s">
        <v>85</v>
      </c>
      <c r="G93">
        <v>8659</v>
      </c>
      <c r="H93" t="s">
        <v>32</v>
      </c>
      <c r="I93">
        <v>1000008659</v>
      </c>
      <c r="J93">
        <v>28817811</v>
      </c>
      <c r="K93" t="s">
        <v>239</v>
      </c>
      <c r="L93" t="s">
        <v>87</v>
      </c>
      <c r="M93" t="s">
        <v>88</v>
      </c>
      <c r="N93">
        <v>76.5</v>
      </c>
      <c r="O93">
        <v>14.22</v>
      </c>
      <c r="P93">
        <v>2.2799999999999998</v>
      </c>
      <c r="Q93">
        <v>4.2561999999999998</v>
      </c>
      <c r="R93">
        <v>0.68100000000000005</v>
      </c>
      <c r="S93" t="s">
        <v>389</v>
      </c>
      <c r="T93">
        <v>6</v>
      </c>
      <c r="U93" t="s">
        <v>89</v>
      </c>
    </row>
    <row r="94" spans="1:22" outlineLevel="2" x14ac:dyDescent="0.25">
      <c r="A94" t="s">
        <v>82</v>
      </c>
      <c r="B94" t="s">
        <v>83</v>
      </c>
      <c r="C94">
        <v>30</v>
      </c>
      <c r="D94" t="s">
        <v>84</v>
      </c>
      <c r="E94">
        <v>184</v>
      </c>
      <c r="F94" t="s">
        <v>85</v>
      </c>
      <c r="G94">
        <v>8659</v>
      </c>
      <c r="H94" t="s">
        <v>32</v>
      </c>
      <c r="I94">
        <v>1000008659</v>
      </c>
      <c r="J94">
        <v>28819115</v>
      </c>
      <c r="K94" t="s">
        <v>248</v>
      </c>
      <c r="L94" t="s">
        <v>87</v>
      </c>
      <c r="M94" t="s">
        <v>88</v>
      </c>
      <c r="N94">
        <v>44.5</v>
      </c>
      <c r="O94">
        <v>14.22</v>
      </c>
      <c r="P94">
        <v>2.2799999999999998</v>
      </c>
      <c r="Q94">
        <v>4.2561999999999998</v>
      </c>
      <c r="R94">
        <v>0.68100000000000005</v>
      </c>
      <c r="S94" t="s">
        <v>390</v>
      </c>
      <c r="T94">
        <v>6</v>
      </c>
      <c r="U94" t="s">
        <v>89</v>
      </c>
    </row>
    <row r="95" spans="1:22" outlineLevel="2" x14ac:dyDescent="0.25">
      <c r="A95" s="7" t="s">
        <v>82</v>
      </c>
      <c r="B95" s="7" t="s">
        <v>83</v>
      </c>
      <c r="C95" s="7">
        <v>30</v>
      </c>
      <c r="D95" s="7" t="s">
        <v>84</v>
      </c>
      <c r="E95" s="7">
        <v>184</v>
      </c>
      <c r="F95" s="7" t="s">
        <v>85</v>
      </c>
      <c r="G95" s="7">
        <v>8659</v>
      </c>
      <c r="H95" s="7" t="s">
        <v>32</v>
      </c>
      <c r="I95" s="7">
        <v>1000008659</v>
      </c>
      <c r="J95" s="7">
        <v>28820201</v>
      </c>
      <c r="K95" s="7" t="s">
        <v>266</v>
      </c>
      <c r="L95" s="7" t="s">
        <v>87</v>
      </c>
      <c r="M95" s="7" t="s">
        <v>88</v>
      </c>
      <c r="N95" s="7">
        <v>20.5</v>
      </c>
      <c r="O95" s="7">
        <v>14.22</v>
      </c>
      <c r="P95" s="7">
        <v>2.2799999999999998</v>
      </c>
      <c r="Q95" s="7">
        <v>4.2561999999999998</v>
      </c>
      <c r="R95" s="7">
        <v>0.68100000000000005</v>
      </c>
      <c r="S95" s="7" t="s">
        <v>391</v>
      </c>
      <c r="T95" s="7">
        <v>6</v>
      </c>
      <c r="U95" s="7" t="s">
        <v>89</v>
      </c>
      <c r="V95" s="7"/>
    </row>
    <row r="96" spans="1:22" outlineLevel="1" x14ac:dyDescent="0.25">
      <c r="A96" s="7"/>
      <c r="B96" s="7"/>
      <c r="C96" s="7"/>
      <c r="D96" s="7"/>
      <c r="E96" s="7"/>
      <c r="F96" s="7"/>
      <c r="G96" s="7"/>
      <c r="H96" s="11" t="s">
        <v>539</v>
      </c>
      <c r="I96" s="7"/>
      <c r="J96" s="7"/>
      <c r="K96" s="7"/>
      <c r="L96" s="7"/>
      <c r="M96" s="7"/>
      <c r="N96" s="7">
        <f>SUBTOTAL(9,N77:N95)</f>
        <v>3149.5</v>
      </c>
      <c r="O96" s="7"/>
      <c r="P96" s="7"/>
      <c r="Q96" s="7"/>
      <c r="R96" s="7"/>
      <c r="S96" s="7"/>
      <c r="T96" s="7"/>
      <c r="U96" s="7"/>
      <c r="V96" s="7"/>
    </row>
    <row r="97" spans="1:21" outlineLevel="2" x14ac:dyDescent="0.25">
      <c r="A97" t="s">
        <v>82</v>
      </c>
      <c r="B97" t="s">
        <v>83</v>
      </c>
      <c r="C97">
        <v>30</v>
      </c>
      <c r="D97" t="s">
        <v>84</v>
      </c>
      <c r="E97">
        <v>184</v>
      </c>
      <c r="F97" t="s">
        <v>85</v>
      </c>
      <c r="G97">
        <v>8660</v>
      </c>
      <c r="H97" t="s">
        <v>35</v>
      </c>
      <c r="I97">
        <v>1000008660</v>
      </c>
      <c r="J97">
        <v>28808098</v>
      </c>
      <c r="K97" t="s">
        <v>107</v>
      </c>
      <c r="L97" t="s">
        <v>87</v>
      </c>
      <c r="M97" t="s">
        <v>88</v>
      </c>
      <c r="N97">
        <v>66.5</v>
      </c>
      <c r="O97">
        <v>14.22</v>
      </c>
      <c r="P97">
        <v>2.2799999999999998</v>
      </c>
      <c r="Q97">
        <v>4.2561999999999998</v>
      </c>
      <c r="R97">
        <v>0.68100000000000005</v>
      </c>
      <c r="S97" t="s">
        <v>392</v>
      </c>
      <c r="T97">
        <v>6</v>
      </c>
      <c r="U97" t="s">
        <v>89</v>
      </c>
    </row>
    <row r="98" spans="1:21" outlineLevel="2" x14ac:dyDescent="0.25">
      <c r="A98" t="s">
        <v>82</v>
      </c>
      <c r="B98" t="s">
        <v>83</v>
      </c>
      <c r="C98">
        <v>30</v>
      </c>
      <c r="D98" t="s">
        <v>84</v>
      </c>
      <c r="E98">
        <v>184</v>
      </c>
      <c r="F98" t="s">
        <v>85</v>
      </c>
      <c r="G98">
        <v>8660</v>
      </c>
      <c r="H98" t="s">
        <v>35</v>
      </c>
      <c r="I98">
        <v>1000008660</v>
      </c>
      <c r="J98">
        <v>28809284</v>
      </c>
      <c r="K98" t="s">
        <v>134</v>
      </c>
      <c r="L98" t="s">
        <v>87</v>
      </c>
      <c r="M98" t="s">
        <v>88</v>
      </c>
      <c r="N98">
        <v>159.5</v>
      </c>
      <c r="O98">
        <v>14.22</v>
      </c>
      <c r="P98">
        <v>2.2799999999999998</v>
      </c>
      <c r="Q98">
        <v>4.2561999999999998</v>
      </c>
      <c r="R98">
        <v>0.68100000000000005</v>
      </c>
      <c r="S98" t="s">
        <v>393</v>
      </c>
      <c r="T98">
        <v>6</v>
      </c>
      <c r="U98" t="s">
        <v>89</v>
      </c>
    </row>
    <row r="99" spans="1:21" outlineLevel="2" x14ac:dyDescent="0.25">
      <c r="A99" t="s">
        <v>82</v>
      </c>
      <c r="B99" t="s">
        <v>83</v>
      </c>
      <c r="C99">
        <v>30</v>
      </c>
      <c r="D99" t="s">
        <v>84</v>
      </c>
      <c r="E99">
        <v>184</v>
      </c>
      <c r="F99" t="s">
        <v>85</v>
      </c>
      <c r="G99">
        <v>8660</v>
      </c>
      <c r="H99" t="s">
        <v>35</v>
      </c>
      <c r="I99">
        <v>1000008660</v>
      </c>
      <c r="J99">
        <v>28818310</v>
      </c>
      <c r="K99" t="s">
        <v>241</v>
      </c>
      <c r="L99" t="s">
        <v>87</v>
      </c>
      <c r="M99" t="s">
        <v>88</v>
      </c>
      <c r="N99">
        <v>88.5</v>
      </c>
      <c r="O99">
        <v>14.22</v>
      </c>
      <c r="P99">
        <v>2.2799999999999998</v>
      </c>
      <c r="Q99">
        <v>4.2561999999999998</v>
      </c>
      <c r="R99">
        <v>0.68100000000000005</v>
      </c>
      <c r="S99" t="s">
        <v>394</v>
      </c>
      <c r="T99">
        <v>6</v>
      </c>
      <c r="U99" t="s">
        <v>89</v>
      </c>
    </row>
    <row r="100" spans="1:21" outlineLevel="2" x14ac:dyDescent="0.25">
      <c r="A100" t="s">
        <v>82</v>
      </c>
      <c r="B100" t="s">
        <v>83</v>
      </c>
      <c r="C100">
        <v>30</v>
      </c>
      <c r="D100" t="s">
        <v>84</v>
      </c>
      <c r="E100">
        <v>184</v>
      </c>
      <c r="F100" t="s">
        <v>85</v>
      </c>
      <c r="G100">
        <v>8660</v>
      </c>
      <c r="H100" t="s">
        <v>35</v>
      </c>
      <c r="I100">
        <v>1000008660</v>
      </c>
      <c r="J100">
        <v>28819160</v>
      </c>
      <c r="K100" t="s">
        <v>250</v>
      </c>
      <c r="L100" t="s">
        <v>87</v>
      </c>
      <c r="M100" t="s">
        <v>88</v>
      </c>
      <c r="N100">
        <v>85.5</v>
      </c>
      <c r="O100">
        <v>14.22</v>
      </c>
      <c r="P100">
        <v>2.2799999999999998</v>
      </c>
      <c r="Q100">
        <v>4.2561999999999998</v>
      </c>
      <c r="R100">
        <v>0.68100000000000005</v>
      </c>
      <c r="S100" t="s">
        <v>395</v>
      </c>
      <c r="T100">
        <v>6</v>
      </c>
      <c r="U100" t="s">
        <v>89</v>
      </c>
    </row>
    <row r="101" spans="1:21" outlineLevel="2" x14ac:dyDescent="0.25">
      <c r="A101" t="s">
        <v>82</v>
      </c>
      <c r="B101" t="s">
        <v>83</v>
      </c>
      <c r="C101">
        <v>30</v>
      </c>
      <c r="D101" t="s">
        <v>84</v>
      </c>
      <c r="E101">
        <v>184</v>
      </c>
      <c r="F101" t="s">
        <v>85</v>
      </c>
      <c r="G101">
        <v>8660</v>
      </c>
      <c r="H101" t="s">
        <v>35</v>
      </c>
      <c r="I101">
        <v>1000008660</v>
      </c>
      <c r="J101">
        <v>28821286</v>
      </c>
      <c r="K101" t="s">
        <v>277</v>
      </c>
      <c r="L101" t="s">
        <v>87</v>
      </c>
      <c r="M101" t="s">
        <v>88</v>
      </c>
      <c r="N101">
        <v>56.5</v>
      </c>
      <c r="O101">
        <v>14.22</v>
      </c>
      <c r="P101">
        <v>2.2799999999999998</v>
      </c>
      <c r="Q101">
        <v>4.2561999999999998</v>
      </c>
      <c r="R101">
        <v>0.68100000000000005</v>
      </c>
      <c r="S101" t="s">
        <v>396</v>
      </c>
      <c r="T101">
        <v>6</v>
      </c>
      <c r="U101" t="s">
        <v>89</v>
      </c>
    </row>
    <row r="102" spans="1:21" outlineLevel="2" x14ac:dyDescent="0.25">
      <c r="A102" t="s">
        <v>82</v>
      </c>
      <c r="B102" t="s">
        <v>83</v>
      </c>
      <c r="C102">
        <v>30</v>
      </c>
      <c r="D102" t="s">
        <v>84</v>
      </c>
      <c r="E102">
        <v>184</v>
      </c>
      <c r="F102" t="s">
        <v>85</v>
      </c>
      <c r="G102">
        <v>8660</v>
      </c>
      <c r="H102" t="s">
        <v>35</v>
      </c>
      <c r="I102">
        <v>1000008660</v>
      </c>
      <c r="J102">
        <v>28822784</v>
      </c>
      <c r="K102" t="s">
        <v>291</v>
      </c>
      <c r="L102" t="s">
        <v>87</v>
      </c>
      <c r="M102" t="s">
        <v>88</v>
      </c>
      <c r="N102">
        <v>85.5</v>
      </c>
      <c r="O102">
        <v>14.22</v>
      </c>
      <c r="P102">
        <v>2.2799999999999998</v>
      </c>
      <c r="Q102">
        <v>4.2561999999999998</v>
      </c>
      <c r="R102">
        <v>0.68100000000000005</v>
      </c>
      <c r="S102" t="s">
        <v>397</v>
      </c>
      <c r="T102">
        <v>6</v>
      </c>
      <c r="U102" t="s">
        <v>89</v>
      </c>
    </row>
    <row r="103" spans="1:21" outlineLevel="2" x14ac:dyDescent="0.25">
      <c r="A103" t="s">
        <v>82</v>
      </c>
      <c r="B103" t="s">
        <v>83</v>
      </c>
      <c r="C103">
        <v>30</v>
      </c>
      <c r="D103" t="s">
        <v>84</v>
      </c>
      <c r="E103">
        <v>184</v>
      </c>
      <c r="F103" t="s">
        <v>85</v>
      </c>
      <c r="G103">
        <v>8660</v>
      </c>
      <c r="H103" t="s">
        <v>35</v>
      </c>
      <c r="I103">
        <v>1000008660</v>
      </c>
      <c r="J103">
        <v>28822813</v>
      </c>
      <c r="K103" t="s">
        <v>294</v>
      </c>
      <c r="L103" t="s">
        <v>87</v>
      </c>
      <c r="M103" t="s">
        <v>88</v>
      </c>
      <c r="N103">
        <v>74.5</v>
      </c>
      <c r="O103">
        <v>14.22</v>
      </c>
      <c r="P103">
        <v>2.2799999999999998</v>
      </c>
      <c r="Q103">
        <v>4.2561999999999998</v>
      </c>
      <c r="R103">
        <v>0.68100000000000005</v>
      </c>
      <c r="S103" t="s">
        <v>398</v>
      </c>
      <c r="T103">
        <v>6</v>
      </c>
      <c r="U103" t="s">
        <v>89</v>
      </c>
    </row>
    <row r="104" spans="1:21" outlineLevel="1" x14ac:dyDescent="0.25">
      <c r="H104" s="9" t="s">
        <v>540</v>
      </c>
      <c r="N104">
        <f>SUBTOTAL(9,N97:N103)</f>
        <v>616.5</v>
      </c>
    </row>
    <row r="105" spans="1:21" outlineLevel="2" x14ac:dyDescent="0.25">
      <c r="A105" t="s">
        <v>82</v>
      </c>
      <c r="B105" t="s">
        <v>83</v>
      </c>
      <c r="C105">
        <v>30</v>
      </c>
      <c r="D105" t="s">
        <v>84</v>
      </c>
      <c r="E105">
        <v>184</v>
      </c>
      <c r="F105" t="s">
        <v>85</v>
      </c>
      <c r="G105">
        <v>8661</v>
      </c>
      <c r="H105" t="s">
        <v>39</v>
      </c>
      <c r="I105">
        <v>1000008661</v>
      </c>
      <c r="J105">
        <v>28807350</v>
      </c>
      <c r="K105" t="s">
        <v>91</v>
      </c>
      <c r="L105" t="s">
        <v>87</v>
      </c>
      <c r="M105" t="s">
        <v>88</v>
      </c>
      <c r="N105">
        <v>78.5</v>
      </c>
      <c r="O105">
        <v>14.22</v>
      </c>
      <c r="P105">
        <v>2.2799999999999998</v>
      </c>
      <c r="Q105">
        <v>4.2561999999999998</v>
      </c>
      <c r="R105">
        <v>0.68100000000000005</v>
      </c>
      <c r="S105" t="s">
        <v>399</v>
      </c>
      <c r="T105">
        <v>6</v>
      </c>
      <c r="U105" t="s">
        <v>89</v>
      </c>
    </row>
    <row r="106" spans="1:21" outlineLevel="2" x14ac:dyDescent="0.25">
      <c r="A106" t="s">
        <v>82</v>
      </c>
      <c r="B106" t="s">
        <v>83</v>
      </c>
      <c r="C106">
        <v>30</v>
      </c>
      <c r="D106" t="s">
        <v>84</v>
      </c>
      <c r="E106">
        <v>184</v>
      </c>
      <c r="F106" t="s">
        <v>85</v>
      </c>
      <c r="G106">
        <v>8661</v>
      </c>
      <c r="H106" t="s">
        <v>39</v>
      </c>
      <c r="I106">
        <v>1000008661</v>
      </c>
      <c r="J106">
        <v>28807498</v>
      </c>
      <c r="K106" t="s">
        <v>95</v>
      </c>
      <c r="L106" t="s">
        <v>87</v>
      </c>
      <c r="M106" t="s">
        <v>88</v>
      </c>
      <c r="N106">
        <v>129.5</v>
      </c>
      <c r="O106">
        <v>14.22</v>
      </c>
      <c r="P106">
        <v>2.2799999999999998</v>
      </c>
      <c r="Q106">
        <v>4.2561999999999998</v>
      </c>
      <c r="R106">
        <v>0.68100000000000005</v>
      </c>
      <c r="S106" t="s">
        <v>400</v>
      </c>
      <c r="T106">
        <v>6</v>
      </c>
      <c r="U106" t="s">
        <v>89</v>
      </c>
    </row>
    <row r="107" spans="1:21" outlineLevel="2" x14ac:dyDescent="0.25">
      <c r="A107" t="s">
        <v>82</v>
      </c>
      <c r="B107" t="s">
        <v>83</v>
      </c>
      <c r="C107">
        <v>30</v>
      </c>
      <c r="D107" t="s">
        <v>84</v>
      </c>
      <c r="E107">
        <v>184</v>
      </c>
      <c r="F107" t="s">
        <v>85</v>
      </c>
      <c r="G107">
        <v>8661</v>
      </c>
      <c r="H107" t="s">
        <v>39</v>
      </c>
      <c r="I107">
        <v>1000008661</v>
      </c>
      <c r="J107">
        <v>28807639</v>
      </c>
      <c r="K107" t="s">
        <v>99</v>
      </c>
      <c r="L107" t="s">
        <v>87</v>
      </c>
      <c r="M107" t="s">
        <v>88</v>
      </c>
      <c r="N107">
        <v>132.5</v>
      </c>
      <c r="O107">
        <v>14.22</v>
      </c>
      <c r="P107">
        <v>2.2799999999999998</v>
      </c>
      <c r="Q107">
        <v>4.2561999999999998</v>
      </c>
      <c r="R107">
        <v>0.68100000000000005</v>
      </c>
      <c r="S107" t="s">
        <v>401</v>
      </c>
      <c r="T107">
        <v>6</v>
      </c>
      <c r="U107" t="s">
        <v>89</v>
      </c>
    </row>
    <row r="108" spans="1:21" outlineLevel="2" x14ac:dyDescent="0.25">
      <c r="A108" t="s">
        <v>82</v>
      </c>
      <c r="B108" t="s">
        <v>83</v>
      </c>
      <c r="C108">
        <v>30</v>
      </c>
      <c r="D108" t="s">
        <v>84</v>
      </c>
      <c r="E108">
        <v>184</v>
      </c>
      <c r="F108" t="s">
        <v>85</v>
      </c>
      <c r="G108">
        <v>8661</v>
      </c>
      <c r="H108" t="s">
        <v>39</v>
      </c>
      <c r="I108">
        <v>1000008661</v>
      </c>
      <c r="J108">
        <v>28808105</v>
      </c>
      <c r="K108" t="s">
        <v>108</v>
      </c>
      <c r="L108" t="s">
        <v>87</v>
      </c>
      <c r="M108" t="s">
        <v>88</v>
      </c>
      <c r="N108">
        <v>178.5</v>
      </c>
      <c r="O108">
        <v>14.22</v>
      </c>
      <c r="P108">
        <v>2.2799999999999998</v>
      </c>
      <c r="Q108">
        <v>4.2561999999999998</v>
      </c>
      <c r="R108">
        <v>0.68100000000000005</v>
      </c>
      <c r="S108" t="s">
        <v>402</v>
      </c>
      <c r="T108">
        <v>6</v>
      </c>
      <c r="U108" t="s">
        <v>89</v>
      </c>
    </row>
    <row r="109" spans="1:21" outlineLevel="2" x14ac:dyDescent="0.25">
      <c r="A109" t="s">
        <v>82</v>
      </c>
      <c r="B109" t="s">
        <v>83</v>
      </c>
      <c r="C109">
        <v>30</v>
      </c>
      <c r="D109" t="s">
        <v>84</v>
      </c>
      <c r="E109">
        <v>184</v>
      </c>
      <c r="F109" t="s">
        <v>85</v>
      </c>
      <c r="G109">
        <v>8661</v>
      </c>
      <c r="H109" t="s">
        <v>39</v>
      </c>
      <c r="I109">
        <v>1000008661</v>
      </c>
      <c r="J109">
        <v>28811639</v>
      </c>
      <c r="K109" t="s">
        <v>175</v>
      </c>
      <c r="L109" t="s">
        <v>87</v>
      </c>
      <c r="M109" t="s">
        <v>88</v>
      </c>
      <c r="N109">
        <v>428.5</v>
      </c>
      <c r="O109">
        <v>14.22</v>
      </c>
      <c r="P109">
        <v>2.2799999999999998</v>
      </c>
      <c r="Q109">
        <v>4.2561999999999998</v>
      </c>
      <c r="R109">
        <v>0.68100000000000005</v>
      </c>
      <c r="S109" t="s">
        <v>403</v>
      </c>
      <c r="T109">
        <v>6</v>
      </c>
      <c r="U109" t="s">
        <v>89</v>
      </c>
    </row>
    <row r="110" spans="1:21" outlineLevel="2" x14ac:dyDescent="0.25">
      <c r="A110" t="s">
        <v>82</v>
      </c>
      <c r="B110" t="s">
        <v>83</v>
      </c>
      <c r="C110">
        <v>30</v>
      </c>
      <c r="D110" t="s">
        <v>84</v>
      </c>
      <c r="E110">
        <v>184</v>
      </c>
      <c r="F110" t="s">
        <v>85</v>
      </c>
      <c r="G110">
        <v>8661</v>
      </c>
      <c r="H110" t="s">
        <v>39</v>
      </c>
      <c r="I110">
        <v>1000008661</v>
      </c>
      <c r="J110">
        <v>28812501</v>
      </c>
      <c r="K110" t="s">
        <v>183</v>
      </c>
      <c r="L110" t="s">
        <v>87</v>
      </c>
      <c r="M110" t="s">
        <v>88</v>
      </c>
      <c r="N110">
        <v>82.5</v>
      </c>
      <c r="O110">
        <v>14.22</v>
      </c>
      <c r="P110">
        <v>2.2799999999999998</v>
      </c>
      <c r="Q110">
        <v>4.2561999999999998</v>
      </c>
      <c r="R110">
        <v>0.68100000000000005</v>
      </c>
      <c r="S110" t="s">
        <v>404</v>
      </c>
      <c r="T110">
        <v>6</v>
      </c>
      <c r="U110" t="s">
        <v>89</v>
      </c>
    </row>
    <row r="111" spans="1:21" outlineLevel="2" x14ac:dyDescent="0.25">
      <c r="A111" t="s">
        <v>82</v>
      </c>
      <c r="B111" t="s">
        <v>83</v>
      </c>
      <c r="C111">
        <v>30</v>
      </c>
      <c r="D111" t="s">
        <v>84</v>
      </c>
      <c r="E111">
        <v>184</v>
      </c>
      <c r="F111" t="s">
        <v>85</v>
      </c>
      <c r="G111">
        <v>8661</v>
      </c>
      <c r="H111" t="s">
        <v>39</v>
      </c>
      <c r="I111">
        <v>1000008661</v>
      </c>
      <c r="J111">
        <v>28813104</v>
      </c>
      <c r="K111" t="s">
        <v>197</v>
      </c>
      <c r="L111" t="s">
        <v>87</v>
      </c>
      <c r="M111" t="s">
        <v>88</v>
      </c>
      <c r="N111">
        <v>420.5</v>
      </c>
      <c r="O111">
        <v>14.22</v>
      </c>
      <c r="P111">
        <v>2.2799999999999998</v>
      </c>
      <c r="Q111">
        <v>4.2561999999999998</v>
      </c>
      <c r="R111">
        <v>0.68100000000000005</v>
      </c>
      <c r="S111" t="s">
        <v>405</v>
      </c>
      <c r="T111">
        <v>6</v>
      </c>
      <c r="U111" t="s">
        <v>89</v>
      </c>
    </row>
    <row r="112" spans="1:21" outlineLevel="2" x14ac:dyDescent="0.25">
      <c r="A112" t="s">
        <v>82</v>
      </c>
      <c r="B112" t="s">
        <v>83</v>
      </c>
      <c r="C112">
        <v>30</v>
      </c>
      <c r="D112" t="s">
        <v>84</v>
      </c>
      <c r="E112">
        <v>184</v>
      </c>
      <c r="F112" t="s">
        <v>85</v>
      </c>
      <c r="G112">
        <v>8661</v>
      </c>
      <c r="H112" t="s">
        <v>39</v>
      </c>
      <c r="I112">
        <v>1000008661</v>
      </c>
      <c r="J112">
        <v>28813663</v>
      </c>
      <c r="K112" t="s">
        <v>203</v>
      </c>
      <c r="L112" t="s">
        <v>87</v>
      </c>
      <c r="M112" t="s">
        <v>88</v>
      </c>
      <c r="N112">
        <v>150.5</v>
      </c>
      <c r="O112">
        <v>14.22</v>
      </c>
      <c r="P112">
        <v>2.2799999999999998</v>
      </c>
      <c r="Q112">
        <v>4.2561999999999998</v>
      </c>
      <c r="R112">
        <v>0.68100000000000005</v>
      </c>
      <c r="S112" t="s">
        <v>406</v>
      </c>
      <c r="T112">
        <v>6</v>
      </c>
      <c r="U112" t="s">
        <v>89</v>
      </c>
    </row>
    <row r="113" spans="1:21" outlineLevel="2" x14ac:dyDescent="0.25">
      <c r="A113" t="s">
        <v>82</v>
      </c>
      <c r="B113" t="s">
        <v>83</v>
      </c>
      <c r="C113">
        <v>30</v>
      </c>
      <c r="D113" t="s">
        <v>84</v>
      </c>
      <c r="E113">
        <v>184</v>
      </c>
      <c r="F113" t="s">
        <v>85</v>
      </c>
      <c r="G113">
        <v>8661</v>
      </c>
      <c r="H113" t="s">
        <v>39</v>
      </c>
      <c r="I113">
        <v>1000008661</v>
      </c>
      <c r="J113">
        <v>28814518</v>
      </c>
      <c r="K113" t="s">
        <v>210</v>
      </c>
      <c r="L113" t="s">
        <v>87</v>
      </c>
      <c r="M113" t="s">
        <v>88</v>
      </c>
      <c r="N113">
        <v>90.5</v>
      </c>
      <c r="O113">
        <v>14.22</v>
      </c>
      <c r="P113">
        <v>2.2799999999999998</v>
      </c>
      <c r="Q113">
        <v>4.2561999999999998</v>
      </c>
      <c r="R113">
        <v>0.68100000000000005</v>
      </c>
      <c r="S113" t="s">
        <v>407</v>
      </c>
      <c r="T113">
        <v>6</v>
      </c>
      <c r="U113" t="s">
        <v>89</v>
      </c>
    </row>
    <row r="114" spans="1:21" outlineLevel="2" x14ac:dyDescent="0.25">
      <c r="A114" t="s">
        <v>82</v>
      </c>
      <c r="B114" t="s">
        <v>83</v>
      </c>
      <c r="C114">
        <v>30</v>
      </c>
      <c r="D114" t="s">
        <v>84</v>
      </c>
      <c r="E114">
        <v>184</v>
      </c>
      <c r="F114" t="s">
        <v>85</v>
      </c>
      <c r="G114">
        <v>8661</v>
      </c>
      <c r="H114" t="s">
        <v>39</v>
      </c>
      <c r="I114">
        <v>1000008661</v>
      </c>
      <c r="J114">
        <v>28817307</v>
      </c>
      <c r="K114" t="s">
        <v>231</v>
      </c>
      <c r="L114" t="s">
        <v>87</v>
      </c>
      <c r="M114" t="s">
        <v>88</v>
      </c>
      <c r="N114">
        <v>150.5</v>
      </c>
      <c r="O114">
        <v>14.22</v>
      </c>
      <c r="P114">
        <v>2.2799999999999998</v>
      </c>
      <c r="Q114">
        <v>4.2561999999999998</v>
      </c>
      <c r="R114">
        <v>0.68100000000000005</v>
      </c>
      <c r="S114" t="s">
        <v>408</v>
      </c>
      <c r="T114">
        <v>6</v>
      </c>
      <c r="U114" t="s">
        <v>89</v>
      </c>
    </row>
    <row r="115" spans="1:21" outlineLevel="2" x14ac:dyDescent="0.25">
      <c r="A115" t="s">
        <v>82</v>
      </c>
      <c r="B115" t="s">
        <v>83</v>
      </c>
      <c r="C115">
        <v>30</v>
      </c>
      <c r="D115" t="s">
        <v>84</v>
      </c>
      <c r="E115">
        <v>184</v>
      </c>
      <c r="F115" t="s">
        <v>85</v>
      </c>
      <c r="G115">
        <v>8661</v>
      </c>
      <c r="H115" t="s">
        <v>39</v>
      </c>
      <c r="I115">
        <v>1000008661</v>
      </c>
      <c r="J115">
        <v>28819899</v>
      </c>
      <c r="K115" t="s">
        <v>264</v>
      </c>
      <c r="L115" t="s">
        <v>87</v>
      </c>
      <c r="M115" t="s">
        <v>88</v>
      </c>
      <c r="N115">
        <v>163.5</v>
      </c>
      <c r="O115">
        <v>14.22</v>
      </c>
      <c r="P115">
        <v>2.2799999999999998</v>
      </c>
      <c r="Q115">
        <v>4.2561999999999998</v>
      </c>
      <c r="R115">
        <v>0.68100000000000005</v>
      </c>
      <c r="S115" t="s">
        <v>409</v>
      </c>
      <c r="T115">
        <v>6</v>
      </c>
      <c r="U115" t="s">
        <v>89</v>
      </c>
    </row>
    <row r="116" spans="1:21" outlineLevel="2" x14ac:dyDescent="0.25">
      <c r="A116" t="s">
        <v>82</v>
      </c>
      <c r="B116" t="s">
        <v>83</v>
      </c>
      <c r="C116">
        <v>30</v>
      </c>
      <c r="D116" t="s">
        <v>84</v>
      </c>
      <c r="E116">
        <v>184</v>
      </c>
      <c r="F116" t="s">
        <v>85</v>
      </c>
      <c r="G116">
        <v>8661</v>
      </c>
      <c r="H116" t="s">
        <v>39</v>
      </c>
      <c r="I116">
        <v>1000008661</v>
      </c>
      <c r="J116">
        <v>28819966</v>
      </c>
      <c r="K116" t="s">
        <v>265</v>
      </c>
      <c r="L116" t="s">
        <v>87</v>
      </c>
      <c r="M116" t="s">
        <v>88</v>
      </c>
      <c r="N116">
        <v>114.5</v>
      </c>
      <c r="O116">
        <v>14.22</v>
      </c>
      <c r="P116">
        <v>2.2799999999999998</v>
      </c>
      <c r="Q116">
        <v>4.2561999999999998</v>
      </c>
      <c r="R116">
        <v>0.68100000000000005</v>
      </c>
      <c r="S116" t="s">
        <v>410</v>
      </c>
      <c r="T116">
        <v>6</v>
      </c>
      <c r="U116" t="s">
        <v>89</v>
      </c>
    </row>
    <row r="117" spans="1:21" outlineLevel="2" x14ac:dyDescent="0.25">
      <c r="A117" t="s">
        <v>82</v>
      </c>
      <c r="B117" t="s">
        <v>83</v>
      </c>
      <c r="C117">
        <v>30</v>
      </c>
      <c r="D117" t="s">
        <v>84</v>
      </c>
      <c r="E117">
        <v>184</v>
      </c>
      <c r="F117" t="s">
        <v>85</v>
      </c>
      <c r="G117">
        <v>8661</v>
      </c>
      <c r="H117" t="s">
        <v>39</v>
      </c>
      <c r="I117">
        <v>1000008661</v>
      </c>
      <c r="J117">
        <v>28821215</v>
      </c>
      <c r="K117" t="s">
        <v>275</v>
      </c>
      <c r="L117" t="s">
        <v>87</v>
      </c>
      <c r="M117" t="s">
        <v>88</v>
      </c>
      <c r="N117">
        <v>149.5</v>
      </c>
      <c r="O117">
        <v>14.22</v>
      </c>
      <c r="P117">
        <v>2.2799999999999998</v>
      </c>
      <c r="Q117">
        <v>4.2561999999999998</v>
      </c>
      <c r="R117">
        <v>0.68100000000000005</v>
      </c>
      <c r="S117" t="s">
        <v>411</v>
      </c>
      <c r="T117">
        <v>6</v>
      </c>
      <c r="U117" t="s">
        <v>89</v>
      </c>
    </row>
    <row r="118" spans="1:21" outlineLevel="2" x14ac:dyDescent="0.25">
      <c r="A118" t="s">
        <v>82</v>
      </c>
      <c r="B118" t="s">
        <v>83</v>
      </c>
      <c r="C118">
        <v>30</v>
      </c>
      <c r="D118" t="s">
        <v>84</v>
      </c>
      <c r="E118">
        <v>184</v>
      </c>
      <c r="F118" t="s">
        <v>85</v>
      </c>
      <c r="G118">
        <v>8661</v>
      </c>
      <c r="H118" t="s">
        <v>39</v>
      </c>
      <c r="I118">
        <v>1000008661</v>
      </c>
      <c r="J118">
        <v>28822923</v>
      </c>
      <c r="K118" t="s">
        <v>297</v>
      </c>
      <c r="L118" t="s">
        <v>87</v>
      </c>
      <c r="M118" t="s">
        <v>88</v>
      </c>
      <c r="N118">
        <v>126.5</v>
      </c>
      <c r="O118">
        <v>14.22</v>
      </c>
      <c r="P118">
        <v>2.2799999999999998</v>
      </c>
      <c r="Q118">
        <v>4.2561999999999998</v>
      </c>
      <c r="R118">
        <v>0.68100000000000005</v>
      </c>
      <c r="S118" t="s">
        <v>412</v>
      </c>
      <c r="T118">
        <v>6</v>
      </c>
      <c r="U118" t="s">
        <v>89</v>
      </c>
    </row>
    <row r="119" spans="1:21" outlineLevel="2" x14ac:dyDescent="0.25">
      <c r="A119" t="s">
        <v>82</v>
      </c>
      <c r="B119" t="s">
        <v>83</v>
      </c>
      <c r="C119">
        <v>30</v>
      </c>
      <c r="D119" t="s">
        <v>84</v>
      </c>
      <c r="E119">
        <v>184</v>
      </c>
      <c r="F119" t="s">
        <v>85</v>
      </c>
      <c r="G119">
        <v>8661</v>
      </c>
      <c r="H119" t="s">
        <v>39</v>
      </c>
      <c r="I119">
        <v>1000008661</v>
      </c>
      <c r="J119">
        <v>28824469</v>
      </c>
      <c r="K119" t="s">
        <v>309</v>
      </c>
      <c r="L119" t="s">
        <v>87</v>
      </c>
      <c r="M119" t="s">
        <v>88</v>
      </c>
      <c r="N119">
        <v>116.5</v>
      </c>
      <c r="O119">
        <v>14.22</v>
      </c>
      <c r="P119">
        <v>2.2799999999999998</v>
      </c>
      <c r="Q119">
        <v>4.2561999999999998</v>
      </c>
      <c r="R119">
        <v>0.68100000000000005</v>
      </c>
      <c r="S119" t="s">
        <v>413</v>
      </c>
      <c r="T119">
        <v>6</v>
      </c>
      <c r="U119" t="s">
        <v>89</v>
      </c>
    </row>
    <row r="120" spans="1:21" outlineLevel="1" x14ac:dyDescent="0.25">
      <c r="H120" s="9" t="s">
        <v>541</v>
      </c>
      <c r="N120">
        <f>SUBTOTAL(9,N105:N119)</f>
        <v>2512.5</v>
      </c>
    </row>
    <row r="121" spans="1:21" outlineLevel="2" x14ac:dyDescent="0.25">
      <c r="A121" t="s">
        <v>82</v>
      </c>
      <c r="B121" t="s">
        <v>83</v>
      </c>
      <c r="C121">
        <v>30</v>
      </c>
      <c r="D121" t="s">
        <v>84</v>
      </c>
      <c r="E121">
        <v>184</v>
      </c>
      <c r="F121" t="s">
        <v>85</v>
      </c>
      <c r="G121">
        <v>8662</v>
      </c>
      <c r="H121" t="s">
        <v>36</v>
      </c>
      <c r="I121">
        <v>1000008662</v>
      </c>
      <c r="J121">
        <v>28807352</v>
      </c>
      <c r="K121" t="s">
        <v>92</v>
      </c>
      <c r="L121" t="s">
        <v>87</v>
      </c>
      <c r="M121" t="s">
        <v>88</v>
      </c>
      <c r="N121">
        <v>130.5</v>
      </c>
      <c r="O121">
        <v>14.22</v>
      </c>
      <c r="P121">
        <v>2.2799999999999998</v>
      </c>
      <c r="Q121">
        <v>4.2561999999999998</v>
      </c>
      <c r="R121">
        <v>0.68100000000000005</v>
      </c>
      <c r="S121" t="s">
        <v>414</v>
      </c>
      <c r="T121">
        <v>6</v>
      </c>
      <c r="U121" t="s">
        <v>89</v>
      </c>
    </row>
    <row r="122" spans="1:21" outlineLevel="2" x14ac:dyDescent="0.25">
      <c r="A122" t="s">
        <v>82</v>
      </c>
      <c r="B122" t="s">
        <v>83</v>
      </c>
      <c r="C122">
        <v>30</v>
      </c>
      <c r="D122" t="s">
        <v>84</v>
      </c>
      <c r="E122">
        <v>184</v>
      </c>
      <c r="F122" t="s">
        <v>85</v>
      </c>
      <c r="G122">
        <v>8662</v>
      </c>
      <c r="H122" t="s">
        <v>36</v>
      </c>
      <c r="I122">
        <v>1000008662</v>
      </c>
      <c r="J122">
        <v>28807531</v>
      </c>
      <c r="K122" t="s">
        <v>96</v>
      </c>
      <c r="L122" t="s">
        <v>87</v>
      </c>
      <c r="M122" t="s">
        <v>88</v>
      </c>
      <c r="N122">
        <v>132.5</v>
      </c>
      <c r="O122">
        <v>14.22</v>
      </c>
      <c r="P122">
        <v>2.2799999999999998</v>
      </c>
      <c r="Q122">
        <v>4.2561999999999998</v>
      </c>
      <c r="R122">
        <v>0.68100000000000005</v>
      </c>
      <c r="S122" t="s">
        <v>415</v>
      </c>
      <c r="T122">
        <v>6</v>
      </c>
      <c r="U122" t="s">
        <v>89</v>
      </c>
    </row>
    <row r="123" spans="1:21" outlineLevel="2" x14ac:dyDescent="0.25">
      <c r="A123" t="s">
        <v>82</v>
      </c>
      <c r="B123" t="s">
        <v>83</v>
      </c>
      <c r="C123">
        <v>30</v>
      </c>
      <c r="D123" t="s">
        <v>84</v>
      </c>
      <c r="E123">
        <v>184</v>
      </c>
      <c r="F123" t="s">
        <v>85</v>
      </c>
      <c r="G123">
        <v>8662</v>
      </c>
      <c r="H123" t="s">
        <v>36</v>
      </c>
      <c r="I123">
        <v>1000008662</v>
      </c>
      <c r="J123">
        <v>28807666</v>
      </c>
      <c r="K123" t="s">
        <v>101</v>
      </c>
      <c r="L123" t="s">
        <v>87</v>
      </c>
      <c r="M123" t="s">
        <v>88</v>
      </c>
      <c r="N123">
        <v>2154.5</v>
      </c>
      <c r="O123">
        <v>14.22</v>
      </c>
      <c r="P123">
        <v>2.2799999999999998</v>
      </c>
      <c r="Q123">
        <v>4.2561999999999998</v>
      </c>
      <c r="R123">
        <v>0.68100000000000005</v>
      </c>
      <c r="S123" t="s">
        <v>416</v>
      </c>
      <c r="T123">
        <v>6</v>
      </c>
      <c r="U123" t="s">
        <v>89</v>
      </c>
    </row>
    <row r="124" spans="1:21" outlineLevel="2" x14ac:dyDescent="0.25">
      <c r="A124" t="s">
        <v>82</v>
      </c>
      <c r="B124" t="s">
        <v>83</v>
      </c>
      <c r="C124">
        <v>30</v>
      </c>
      <c r="D124" t="s">
        <v>84</v>
      </c>
      <c r="E124">
        <v>184</v>
      </c>
      <c r="F124" t="s">
        <v>85</v>
      </c>
      <c r="G124">
        <v>8662</v>
      </c>
      <c r="H124" t="s">
        <v>36</v>
      </c>
      <c r="I124">
        <v>1000008662</v>
      </c>
      <c r="J124">
        <v>28807718</v>
      </c>
      <c r="K124" t="s">
        <v>102</v>
      </c>
      <c r="L124" t="s">
        <v>87</v>
      </c>
      <c r="M124" t="s">
        <v>88</v>
      </c>
      <c r="N124">
        <v>154.5</v>
      </c>
      <c r="O124">
        <v>14.22</v>
      </c>
      <c r="P124">
        <v>2.2799999999999998</v>
      </c>
      <c r="Q124">
        <v>4.2561999999999998</v>
      </c>
      <c r="R124">
        <v>0.68100000000000005</v>
      </c>
      <c r="S124" t="s">
        <v>417</v>
      </c>
      <c r="T124">
        <v>6</v>
      </c>
      <c r="U124" t="s">
        <v>89</v>
      </c>
    </row>
    <row r="125" spans="1:21" outlineLevel="2" x14ac:dyDescent="0.25">
      <c r="A125" t="s">
        <v>82</v>
      </c>
      <c r="B125" t="s">
        <v>83</v>
      </c>
      <c r="C125">
        <v>30</v>
      </c>
      <c r="D125" t="s">
        <v>84</v>
      </c>
      <c r="E125">
        <v>184</v>
      </c>
      <c r="F125" t="s">
        <v>85</v>
      </c>
      <c r="G125">
        <v>8662</v>
      </c>
      <c r="H125" t="s">
        <v>36</v>
      </c>
      <c r="I125">
        <v>1000008662</v>
      </c>
      <c r="J125">
        <v>28807976</v>
      </c>
      <c r="K125" t="s">
        <v>104</v>
      </c>
      <c r="L125" t="s">
        <v>87</v>
      </c>
      <c r="M125" t="s">
        <v>88</v>
      </c>
      <c r="N125">
        <v>111.5</v>
      </c>
      <c r="O125">
        <v>14.22</v>
      </c>
      <c r="P125">
        <v>2.2799999999999998</v>
      </c>
      <c r="Q125">
        <v>4.2561999999999998</v>
      </c>
      <c r="R125">
        <v>0.68100000000000005</v>
      </c>
      <c r="S125" t="s">
        <v>418</v>
      </c>
      <c r="T125">
        <v>6</v>
      </c>
      <c r="U125" t="s">
        <v>89</v>
      </c>
    </row>
    <row r="126" spans="1:21" outlineLevel="2" x14ac:dyDescent="0.25">
      <c r="A126" t="s">
        <v>82</v>
      </c>
      <c r="B126" t="s">
        <v>83</v>
      </c>
      <c r="C126">
        <v>30</v>
      </c>
      <c r="D126" t="s">
        <v>84</v>
      </c>
      <c r="E126">
        <v>184</v>
      </c>
      <c r="F126" t="s">
        <v>85</v>
      </c>
      <c r="G126">
        <v>8662</v>
      </c>
      <c r="H126" t="s">
        <v>36</v>
      </c>
      <c r="I126">
        <v>1000008662</v>
      </c>
      <c r="J126">
        <v>28808242</v>
      </c>
      <c r="K126" t="s">
        <v>111</v>
      </c>
      <c r="L126" t="s">
        <v>87</v>
      </c>
      <c r="M126" t="s">
        <v>88</v>
      </c>
      <c r="N126">
        <v>78.5</v>
      </c>
      <c r="O126">
        <v>14.22</v>
      </c>
      <c r="P126">
        <v>2.2799999999999998</v>
      </c>
      <c r="Q126">
        <v>4.2561999999999998</v>
      </c>
      <c r="R126">
        <v>0.68100000000000005</v>
      </c>
      <c r="S126" t="s">
        <v>419</v>
      </c>
      <c r="T126">
        <v>6</v>
      </c>
      <c r="U126" t="s">
        <v>89</v>
      </c>
    </row>
    <row r="127" spans="1:21" outlineLevel="2" x14ac:dyDescent="0.25">
      <c r="A127" t="s">
        <v>82</v>
      </c>
      <c r="B127" t="s">
        <v>83</v>
      </c>
      <c r="C127">
        <v>30</v>
      </c>
      <c r="D127" t="s">
        <v>84</v>
      </c>
      <c r="E127">
        <v>184</v>
      </c>
      <c r="F127" t="s">
        <v>85</v>
      </c>
      <c r="G127">
        <v>8662</v>
      </c>
      <c r="H127" t="s">
        <v>36</v>
      </c>
      <c r="I127">
        <v>1000008662</v>
      </c>
      <c r="J127">
        <v>28808376</v>
      </c>
      <c r="K127" t="s">
        <v>114</v>
      </c>
      <c r="L127" t="s">
        <v>87</v>
      </c>
      <c r="M127" t="s">
        <v>88</v>
      </c>
      <c r="N127">
        <v>1206.5</v>
      </c>
      <c r="O127">
        <v>14.22</v>
      </c>
      <c r="P127">
        <v>2.2799999999999998</v>
      </c>
      <c r="Q127">
        <v>4.2561999999999998</v>
      </c>
      <c r="R127">
        <v>0.68100000000000005</v>
      </c>
      <c r="S127" t="s">
        <v>420</v>
      </c>
      <c r="T127">
        <v>6</v>
      </c>
      <c r="U127" t="s">
        <v>89</v>
      </c>
    </row>
    <row r="128" spans="1:21" outlineLevel="2" x14ac:dyDescent="0.25">
      <c r="A128" t="s">
        <v>82</v>
      </c>
      <c r="B128" t="s">
        <v>83</v>
      </c>
      <c r="C128">
        <v>30</v>
      </c>
      <c r="D128" t="s">
        <v>84</v>
      </c>
      <c r="E128">
        <v>184</v>
      </c>
      <c r="F128" t="s">
        <v>85</v>
      </c>
      <c r="G128">
        <v>8662</v>
      </c>
      <c r="H128" t="s">
        <v>36</v>
      </c>
      <c r="I128">
        <v>1000008662</v>
      </c>
      <c r="J128">
        <v>28808705</v>
      </c>
      <c r="K128" t="s">
        <v>122</v>
      </c>
      <c r="L128" t="s">
        <v>87</v>
      </c>
      <c r="M128" t="s">
        <v>88</v>
      </c>
      <c r="N128">
        <v>180.5</v>
      </c>
      <c r="O128">
        <v>14.22</v>
      </c>
      <c r="P128">
        <v>2.2799999999999998</v>
      </c>
      <c r="Q128">
        <v>4.2561999999999998</v>
      </c>
      <c r="R128">
        <v>0.68100000000000005</v>
      </c>
      <c r="S128" t="s">
        <v>421</v>
      </c>
      <c r="T128">
        <v>6</v>
      </c>
      <c r="U128" t="s">
        <v>89</v>
      </c>
    </row>
    <row r="129" spans="1:22" outlineLevel="2" x14ac:dyDescent="0.25">
      <c r="A129" t="s">
        <v>82</v>
      </c>
      <c r="B129" t="s">
        <v>83</v>
      </c>
      <c r="C129">
        <v>30</v>
      </c>
      <c r="D129" t="s">
        <v>84</v>
      </c>
      <c r="E129">
        <v>184</v>
      </c>
      <c r="F129" t="s">
        <v>85</v>
      </c>
      <c r="G129">
        <v>8662</v>
      </c>
      <c r="H129" t="s">
        <v>36</v>
      </c>
      <c r="I129">
        <v>1000008662</v>
      </c>
      <c r="J129">
        <v>28808848</v>
      </c>
      <c r="K129" t="s">
        <v>129</v>
      </c>
      <c r="L129" t="s">
        <v>87</v>
      </c>
      <c r="M129" t="s">
        <v>88</v>
      </c>
      <c r="N129">
        <v>127.5</v>
      </c>
      <c r="O129">
        <v>14.22</v>
      </c>
      <c r="P129">
        <v>2.2799999999999998</v>
      </c>
      <c r="Q129">
        <v>4.2561999999999998</v>
      </c>
      <c r="R129">
        <v>0.68100000000000005</v>
      </c>
      <c r="S129" t="s">
        <v>422</v>
      </c>
      <c r="T129">
        <v>6</v>
      </c>
      <c r="U129" t="s">
        <v>89</v>
      </c>
    </row>
    <row r="130" spans="1:22" outlineLevel="2" x14ac:dyDescent="0.25">
      <c r="A130" t="s">
        <v>82</v>
      </c>
      <c r="B130" t="s">
        <v>83</v>
      </c>
      <c r="C130">
        <v>30</v>
      </c>
      <c r="D130" t="s">
        <v>84</v>
      </c>
      <c r="E130">
        <v>184</v>
      </c>
      <c r="F130" t="s">
        <v>85</v>
      </c>
      <c r="G130">
        <v>8662</v>
      </c>
      <c r="H130" t="s">
        <v>36</v>
      </c>
      <c r="I130">
        <v>1000008662</v>
      </c>
      <c r="J130">
        <v>28809642</v>
      </c>
      <c r="K130" t="s">
        <v>140</v>
      </c>
      <c r="L130" t="s">
        <v>87</v>
      </c>
      <c r="M130" t="s">
        <v>88</v>
      </c>
      <c r="N130">
        <v>113.5</v>
      </c>
      <c r="O130">
        <v>14.22</v>
      </c>
      <c r="P130">
        <v>2.2799999999999998</v>
      </c>
      <c r="Q130">
        <v>4.2561999999999998</v>
      </c>
      <c r="R130">
        <v>0.68100000000000005</v>
      </c>
      <c r="S130" t="s">
        <v>423</v>
      </c>
      <c r="T130">
        <v>6</v>
      </c>
      <c r="U130" t="s">
        <v>89</v>
      </c>
    </row>
    <row r="131" spans="1:22" outlineLevel="2" x14ac:dyDescent="0.25">
      <c r="A131" t="s">
        <v>82</v>
      </c>
      <c r="B131" t="s">
        <v>83</v>
      </c>
      <c r="C131">
        <v>30</v>
      </c>
      <c r="D131" t="s">
        <v>84</v>
      </c>
      <c r="E131">
        <v>184</v>
      </c>
      <c r="F131" t="s">
        <v>85</v>
      </c>
      <c r="G131">
        <v>8662</v>
      </c>
      <c r="H131" t="s">
        <v>36</v>
      </c>
      <c r="I131">
        <v>1000008662</v>
      </c>
      <c r="J131">
        <v>28809952</v>
      </c>
      <c r="K131" t="s">
        <v>145</v>
      </c>
      <c r="L131" t="s">
        <v>87</v>
      </c>
      <c r="M131" t="s">
        <v>88</v>
      </c>
      <c r="N131">
        <v>142.5</v>
      </c>
      <c r="O131">
        <v>14.22</v>
      </c>
      <c r="P131">
        <v>2.2799999999999998</v>
      </c>
      <c r="Q131">
        <v>4.2561999999999998</v>
      </c>
      <c r="R131">
        <v>0.68100000000000005</v>
      </c>
      <c r="S131" t="s">
        <v>424</v>
      </c>
      <c r="T131">
        <v>6</v>
      </c>
      <c r="U131" t="s">
        <v>89</v>
      </c>
    </row>
    <row r="132" spans="1:22" outlineLevel="2" x14ac:dyDescent="0.25">
      <c r="A132" t="s">
        <v>82</v>
      </c>
      <c r="B132" t="s">
        <v>83</v>
      </c>
      <c r="C132">
        <v>30</v>
      </c>
      <c r="D132" t="s">
        <v>84</v>
      </c>
      <c r="E132">
        <v>184</v>
      </c>
      <c r="F132" t="s">
        <v>85</v>
      </c>
      <c r="G132">
        <v>8662</v>
      </c>
      <c r="H132" t="s">
        <v>36</v>
      </c>
      <c r="I132">
        <v>1000008662</v>
      </c>
      <c r="J132">
        <v>28810316</v>
      </c>
      <c r="K132" t="s">
        <v>154</v>
      </c>
      <c r="L132" t="s">
        <v>87</v>
      </c>
      <c r="M132" t="s">
        <v>88</v>
      </c>
      <c r="N132">
        <v>109.5</v>
      </c>
      <c r="O132">
        <v>14.22</v>
      </c>
      <c r="P132">
        <v>2.2799999999999998</v>
      </c>
      <c r="Q132">
        <v>4.2561999999999998</v>
      </c>
      <c r="R132">
        <v>0.68100000000000005</v>
      </c>
      <c r="S132" t="s">
        <v>425</v>
      </c>
      <c r="T132">
        <v>6</v>
      </c>
      <c r="U132" t="s">
        <v>89</v>
      </c>
    </row>
    <row r="133" spans="1:22" outlineLevel="2" x14ac:dyDescent="0.25">
      <c r="A133" t="s">
        <v>82</v>
      </c>
      <c r="B133" t="s">
        <v>83</v>
      </c>
      <c r="C133">
        <v>30</v>
      </c>
      <c r="D133" t="s">
        <v>84</v>
      </c>
      <c r="E133">
        <v>184</v>
      </c>
      <c r="F133" t="s">
        <v>85</v>
      </c>
      <c r="G133">
        <v>8662</v>
      </c>
      <c r="H133" t="s">
        <v>36</v>
      </c>
      <c r="I133">
        <v>1000008662</v>
      </c>
      <c r="J133">
        <v>28811089</v>
      </c>
      <c r="K133" t="s">
        <v>165</v>
      </c>
      <c r="L133" t="s">
        <v>87</v>
      </c>
      <c r="M133" t="s">
        <v>88</v>
      </c>
      <c r="N133">
        <v>147.5</v>
      </c>
      <c r="O133">
        <v>14.22</v>
      </c>
      <c r="P133">
        <v>2.2799999999999998</v>
      </c>
      <c r="Q133">
        <v>4.2561999999999998</v>
      </c>
      <c r="R133">
        <v>0.68100000000000005</v>
      </c>
      <c r="S133" t="s">
        <v>426</v>
      </c>
      <c r="T133">
        <v>6</v>
      </c>
      <c r="U133" t="s">
        <v>89</v>
      </c>
    </row>
    <row r="134" spans="1:22" outlineLevel="2" x14ac:dyDescent="0.25">
      <c r="A134" s="8" t="s">
        <v>82</v>
      </c>
      <c r="B134" s="8" t="s">
        <v>83</v>
      </c>
      <c r="C134" s="8">
        <v>30</v>
      </c>
      <c r="D134" s="8" t="s">
        <v>84</v>
      </c>
      <c r="E134" s="8">
        <v>184</v>
      </c>
      <c r="F134" s="8" t="s">
        <v>85</v>
      </c>
      <c r="G134" s="8">
        <v>8662</v>
      </c>
      <c r="H134" s="8" t="s">
        <v>36</v>
      </c>
      <c r="I134" s="8">
        <v>1000008662</v>
      </c>
      <c r="J134" s="8">
        <v>28811526</v>
      </c>
      <c r="K134" s="8" t="s">
        <v>172</v>
      </c>
      <c r="L134" s="8" t="s">
        <v>87</v>
      </c>
      <c r="M134" s="8" t="s">
        <v>88</v>
      </c>
      <c r="N134" s="8">
        <v>494.5</v>
      </c>
      <c r="O134" s="8">
        <v>14.22</v>
      </c>
      <c r="P134" s="8">
        <v>2.2799999999999998</v>
      </c>
      <c r="Q134" s="8">
        <v>4.2561999999999998</v>
      </c>
      <c r="R134" s="8">
        <v>0.68100000000000005</v>
      </c>
      <c r="S134" s="8" t="s">
        <v>528</v>
      </c>
      <c r="T134" s="8">
        <v>6</v>
      </c>
      <c r="U134" s="8" t="s">
        <v>89</v>
      </c>
      <c r="V134" s="8"/>
    </row>
    <row r="135" spans="1:22" outlineLevel="2" x14ac:dyDescent="0.25">
      <c r="A135" t="s">
        <v>82</v>
      </c>
      <c r="B135" t="s">
        <v>83</v>
      </c>
      <c r="C135">
        <v>30</v>
      </c>
      <c r="D135" t="s">
        <v>84</v>
      </c>
      <c r="E135">
        <v>184</v>
      </c>
      <c r="F135" t="s">
        <v>85</v>
      </c>
      <c r="G135">
        <v>8662</v>
      </c>
      <c r="H135" t="s">
        <v>36</v>
      </c>
      <c r="I135">
        <v>1000008662</v>
      </c>
      <c r="J135">
        <v>28811610</v>
      </c>
      <c r="K135" t="s">
        <v>173</v>
      </c>
      <c r="L135" t="s">
        <v>87</v>
      </c>
      <c r="M135" t="s">
        <v>88</v>
      </c>
      <c r="N135">
        <v>488.5</v>
      </c>
      <c r="O135">
        <v>14.22</v>
      </c>
      <c r="P135">
        <v>2.2799999999999998</v>
      </c>
      <c r="Q135">
        <v>4.2561999999999998</v>
      </c>
      <c r="R135">
        <v>0.68100000000000005</v>
      </c>
      <c r="S135" t="s">
        <v>427</v>
      </c>
      <c r="T135">
        <v>6</v>
      </c>
      <c r="U135" t="s">
        <v>89</v>
      </c>
    </row>
    <row r="136" spans="1:22" outlineLevel="2" x14ac:dyDescent="0.25">
      <c r="A136" t="s">
        <v>82</v>
      </c>
      <c r="B136" t="s">
        <v>83</v>
      </c>
      <c r="C136">
        <v>30</v>
      </c>
      <c r="D136" t="s">
        <v>84</v>
      </c>
      <c r="E136">
        <v>184</v>
      </c>
      <c r="F136" t="s">
        <v>85</v>
      </c>
      <c r="G136">
        <v>8662</v>
      </c>
      <c r="H136" t="s">
        <v>36</v>
      </c>
      <c r="I136">
        <v>1000008662</v>
      </c>
      <c r="J136">
        <v>28812774</v>
      </c>
      <c r="K136" t="s">
        <v>190</v>
      </c>
      <c r="L136" t="s">
        <v>87</v>
      </c>
      <c r="M136" t="s">
        <v>88</v>
      </c>
      <c r="N136">
        <v>177.5</v>
      </c>
      <c r="O136">
        <v>14.22</v>
      </c>
      <c r="P136">
        <v>2.2799999999999998</v>
      </c>
      <c r="Q136">
        <v>4.2561999999999998</v>
      </c>
      <c r="R136">
        <v>0.68100000000000005</v>
      </c>
      <c r="S136" t="s">
        <v>428</v>
      </c>
      <c r="T136">
        <v>6</v>
      </c>
      <c r="U136" t="s">
        <v>89</v>
      </c>
    </row>
    <row r="137" spans="1:22" outlineLevel="2" x14ac:dyDescent="0.25">
      <c r="A137" t="s">
        <v>82</v>
      </c>
      <c r="B137" t="s">
        <v>83</v>
      </c>
      <c r="C137">
        <v>30</v>
      </c>
      <c r="D137" t="s">
        <v>84</v>
      </c>
      <c r="E137">
        <v>184</v>
      </c>
      <c r="F137" t="s">
        <v>85</v>
      </c>
      <c r="G137">
        <v>8662</v>
      </c>
      <c r="H137" t="s">
        <v>36</v>
      </c>
      <c r="I137">
        <v>1000008662</v>
      </c>
      <c r="J137">
        <v>28812828</v>
      </c>
      <c r="K137" t="s">
        <v>191</v>
      </c>
      <c r="L137" t="s">
        <v>87</v>
      </c>
      <c r="M137" t="s">
        <v>88</v>
      </c>
      <c r="N137">
        <v>159.5</v>
      </c>
      <c r="O137">
        <v>14.22</v>
      </c>
      <c r="P137">
        <v>2.2799999999999998</v>
      </c>
      <c r="Q137">
        <v>4.2561999999999998</v>
      </c>
      <c r="R137">
        <v>0.68100000000000005</v>
      </c>
      <c r="S137" t="s">
        <v>429</v>
      </c>
      <c r="T137">
        <v>6</v>
      </c>
      <c r="U137" t="s">
        <v>89</v>
      </c>
    </row>
    <row r="138" spans="1:22" outlineLevel="2" x14ac:dyDescent="0.25">
      <c r="A138" t="s">
        <v>82</v>
      </c>
      <c r="B138" t="s">
        <v>83</v>
      </c>
      <c r="C138">
        <v>30</v>
      </c>
      <c r="D138" t="s">
        <v>84</v>
      </c>
      <c r="E138">
        <v>184</v>
      </c>
      <c r="F138" t="s">
        <v>85</v>
      </c>
      <c r="G138">
        <v>8662</v>
      </c>
      <c r="H138" t="s">
        <v>36</v>
      </c>
      <c r="I138">
        <v>1000008662</v>
      </c>
      <c r="J138">
        <v>28813984</v>
      </c>
      <c r="K138" t="s">
        <v>208</v>
      </c>
      <c r="L138" t="s">
        <v>87</v>
      </c>
      <c r="M138" t="s">
        <v>88</v>
      </c>
      <c r="N138">
        <v>328.5</v>
      </c>
      <c r="O138">
        <v>14.22</v>
      </c>
      <c r="P138">
        <v>2.2799999999999998</v>
      </c>
      <c r="Q138">
        <v>4.2561999999999998</v>
      </c>
      <c r="R138">
        <v>0.68100000000000005</v>
      </c>
      <c r="S138" t="s">
        <v>430</v>
      </c>
      <c r="T138">
        <v>6</v>
      </c>
      <c r="U138" t="s">
        <v>89</v>
      </c>
    </row>
    <row r="139" spans="1:22" outlineLevel="2" x14ac:dyDescent="0.25">
      <c r="A139" t="s">
        <v>82</v>
      </c>
      <c r="B139" t="s">
        <v>83</v>
      </c>
      <c r="C139">
        <v>30</v>
      </c>
      <c r="D139" t="s">
        <v>84</v>
      </c>
      <c r="E139">
        <v>184</v>
      </c>
      <c r="F139" t="s">
        <v>85</v>
      </c>
      <c r="G139">
        <v>8662</v>
      </c>
      <c r="H139" t="s">
        <v>36</v>
      </c>
      <c r="I139">
        <v>1000008662</v>
      </c>
      <c r="J139">
        <v>28815174</v>
      </c>
      <c r="K139" t="s">
        <v>219</v>
      </c>
      <c r="L139" t="s">
        <v>87</v>
      </c>
      <c r="M139" t="s">
        <v>88</v>
      </c>
      <c r="N139">
        <v>44.5</v>
      </c>
      <c r="O139">
        <v>14.22</v>
      </c>
      <c r="P139">
        <v>2.2799999999999998</v>
      </c>
      <c r="Q139">
        <v>4.2561999999999998</v>
      </c>
      <c r="R139">
        <v>0.68100000000000005</v>
      </c>
      <c r="S139" t="s">
        <v>431</v>
      </c>
      <c r="T139">
        <v>6</v>
      </c>
      <c r="U139" t="s">
        <v>89</v>
      </c>
    </row>
    <row r="140" spans="1:22" outlineLevel="2" x14ac:dyDescent="0.25">
      <c r="A140" t="s">
        <v>82</v>
      </c>
      <c r="B140" t="s">
        <v>83</v>
      </c>
      <c r="C140">
        <v>30</v>
      </c>
      <c r="D140" t="s">
        <v>84</v>
      </c>
      <c r="E140">
        <v>184</v>
      </c>
      <c r="F140" t="s">
        <v>85</v>
      </c>
      <c r="G140">
        <v>8662</v>
      </c>
      <c r="H140" t="s">
        <v>36</v>
      </c>
      <c r="I140">
        <v>1000008662</v>
      </c>
      <c r="J140">
        <v>28816038</v>
      </c>
      <c r="K140" t="s">
        <v>222</v>
      </c>
      <c r="L140" t="s">
        <v>87</v>
      </c>
      <c r="M140" t="s">
        <v>88</v>
      </c>
      <c r="N140">
        <v>91.5</v>
      </c>
      <c r="O140">
        <v>14.22</v>
      </c>
      <c r="P140">
        <v>2.2799999999999998</v>
      </c>
      <c r="Q140">
        <v>4.2561999999999998</v>
      </c>
      <c r="R140">
        <v>0.68100000000000005</v>
      </c>
      <c r="S140" t="s">
        <v>432</v>
      </c>
      <c r="T140">
        <v>6</v>
      </c>
      <c r="U140" t="s">
        <v>89</v>
      </c>
    </row>
    <row r="141" spans="1:22" outlineLevel="2" x14ac:dyDescent="0.25">
      <c r="A141" t="s">
        <v>82</v>
      </c>
      <c r="B141" t="s">
        <v>83</v>
      </c>
      <c r="C141">
        <v>30</v>
      </c>
      <c r="D141" t="s">
        <v>84</v>
      </c>
      <c r="E141">
        <v>184</v>
      </c>
      <c r="F141" t="s">
        <v>85</v>
      </c>
      <c r="G141">
        <v>8662</v>
      </c>
      <c r="H141" t="s">
        <v>36</v>
      </c>
      <c r="I141">
        <v>1000008662</v>
      </c>
      <c r="J141">
        <v>28816181</v>
      </c>
      <c r="K141" t="s">
        <v>223</v>
      </c>
      <c r="L141" t="s">
        <v>87</v>
      </c>
      <c r="M141" t="s">
        <v>88</v>
      </c>
      <c r="N141">
        <v>143.5</v>
      </c>
      <c r="O141">
        <v>14.22</v>
      </c>
      <c r="P141">
        <v>2.2799999999999998</v>
      </c>
      <c r="Q141">
        <v>4.2561999999999998</v>
      </c>
      <c r="R141">
        <v>0.68100000000000005</v>
      </c>
      <c r="S141" t="s">
        <v>433</v>
      </c>
      <c r="T141">
        <v>6</v>
      </c>
      <c r="U141" t="s">
        <v>89</v>
      </c>
    </row>
    <row r="142" spans="1:22" outlineLevel="2" x14ac:dyDescent="0.25">
      <c r="A142" t="s">
        <v>82</v>
      </c>
      <c r="B142" t="s">
        <v>83</v>
      </c>
      <c r="C142">
        <v>30</v>
      </c>
      <c r="D142" t="s">
        <v>84</v>
      </c>
      <c r="E142">
        <v>184</v>
      </c>
      <c r="F142" t="s">
        <v>85</v>
      </c>
      <c r="G142">
        <v>8662</v>
      </c>
      <c r="H142" t="s">
        <v>36</v>
      </c>
      <c r="I142">
        <v>1000008662</v>
      </c>
      <c r="J142">
        <v>28817074</v>
      </c>
      <c r="K142" t="s">
        <v>228</v>
      </c>
      <c r="L142" t="s">
        <v>87</v>
      </c>
      <c r="M142" t="s">
        <v>88</v>
      </c>
      <c r="N142">
        <v>184.5</v>
      </c>
      <c r="O142">
        <v>14.22</v>
      </c>
      <c r="P142">
        <v>2.2799999999999998</v>
      </c>
      <c r="Q142">
        <v>4.2561999999999998</v>
      </c>
      <c r="R142">
        <v>0.68100000000000005</v>
      </c>
      <c r="S142" t="s">
        <v>434</v>
      </c>
      <c r="T142">
        <v>6</v>
      </c>
      <c r="U142" t="s">
        <v>89</v>
      </c>
    </row>
    <row r="143" spans="1:22" outlineLevel="2" x14ac:dyDescent="0.25">
      <c r="A143" t="s">
        <v>82</v>
      </c>
      <c r="B143" t="s">
        <v>83</v>
      </c>
      <c r="C143">
        <v>30</v>
      </c>
      <c r="D143" t="s">
        <v>84</v>
      </c>
      <c r="E143">
        <v>184</v>
      </c>
      <c r="F143" t="s">
        <v>85</v>
      </c>
      <c r="G143">
        <v>8662</v>
      </c>
      <c r="H143" t="s">
        <v>36</v>
      </c>
      <c r="I143">
        <v>1000008662</v>
      </c>
      <c r="J143">
        <v>28817383</v>
      </c>
      <c r="K143" t="s">
        <v>232</v>
      </c>
      <c r="L143" t="s">
        <v>87</v>
      </c>
      <c r="M143" t="s">
        <v>88</v>
      </c>
      <c r="N143">
        <v>94.5</v>
      </c>
      <c r="O143">
        <v>14.22</v>
      </c>
      <c r="P143">
        <v>2.2799999999999998</v>
      </c>
      <c r="Q143">
        <v>4.2561999999999998</v>
      </c>
      <c r="R143">
        <v>0.68100000000000005</v>
      </c>
      <c r="S143" t="s">
        <v>435</v>
      </c>
      <c r="T143">
        <v>6</v>
      </c>
      <c r="U143" t="s">
        <v>89</v>
      </c>
    </row>
    <row r="144" spans="1:22" outlineLevel="2" x14ac:dyDescent="0.25">
      <c r="A144" t="s">
        <v>82</v>
      </c>
      <c r="B144" t="s">
        <v>83</v>
      </c>
      <c r="C144">
        <v>30</v>
      </c>
      <c r="D144" t="s">
        <v>84</v>
      </c>
      <c r="E144">
        <v>184</v>
      </c>
      <c r="F144" t="s">
        <v>85</v>
      </c>
      <c r="G144">
        <v>8662</v>
      </c>
      <c r="H144" t="s">
        <v>36</v>
      </c>
      <c r="I144">
        <v>1000008662</v>
      </c>
      <c r="J144">
        <v>28817447</v>
      </c>
      <c r="K144" t="s">
        <v>233</v>
      </c>
      <c r="L144" t="s">
        <v>87</v>
      </c>
      <c r="M144" t="s">
        <v>88</v>
      </c>
      <c r="N144">
        <v>137.5</v>
      </c>
      <c r="O144">
        <v>14.22</v>
      </c>
      <c r="P144">
        <v>2.2799999999999998</v>
      </c>
      <c r="Q144">
        <v>4.2561999999999998</v>
      </c>
      <c r="R144">
        <v>0.68100000000000005</v>
      </c>
      <c r="S144" t="s">
        <v>436</v>
      </c>
      <c r="T144">
        <v>6</v>
      </c>
      <c r="U144" t="s">
        <v>89</v>
      </c>
    </row>
    <row r="145" spans="1:22" outlineLevel="2" x14ac:dyDescent="0.25">
      <c r="A145" t="s">
        <v>82</v>
      </c>
      <c r="B145" t="s">
        <v>83</v>
      </c>
      <c r="C145">
        <v>30</v>
      </c>
      <c r="D145" t="s">
        <v>84</v>
      </c>
      <c r="E145">
        <v>184</v>
      </c>
      <c r="F145" t="s">
        <v>85</v>
      </c>
      <c r="G145">
        <v>8662</v>
      </c>
      <c r="H145" t="s">
        <v>36</v>
      </c>
      <c r="I145">
        <v>1000008662</v>
      </c>
      <c r="J145">
        <v>28818331</v>
      </c>
      <c r="K145" t="s">
        <v>242</v>
      </c>
      <c r="L145" t="s">
        <v>87</v>
      </c>
      <c r="M145" t="s">
        <v>88</v>
      </c>
      <c r="N145">
        <v>54.5</v>
      </c>
      <c r="O145">
        <v>14.22</v>
      </c>
      <c r="P145">
        <v>2.2799999999999998</v>
      </c>
      <c r="Q145">
        <v>4.2561999999999998</v>
      </c>
      <c r="R145">
        <v>0.68100000000000005</v>
      </c>
      <c r="S145" t="s">
        <v>437</v>
      </c>
      <c r="T145">
        <v>6</v>
      </c>
      <c r="U145" t="s">
        <v>89</v>
      </c>
    </row>
    <row r="146" spans="1:22" outlineLevel="2" x14ac:dyDescent="0.25">
      <c r="A146" t="s">
        <v>82</v>
      </c>
      <c r="B146" t="s">
        <v>83</v>
      </c>
      <c r="C146">
        <v>30</v>
      </c>
      <c r="D146" t="s">
        <v>84</v>
      </c>
      <c r="E146">
        <v>184</v>
      </c>
      <c r="F146" t="s">
        <v>85</v>
      </c>
      <c r="G146">
        <v>8662</v>
      </c>
      <c r="H146" t="s">
        <v>36</v>
      </c>
      <c r="I146">
        <v>1000008662</v>
      </c>
      <c r="J146">
        <v>28819361</v>
      </c>
      <c r="K146" t="s">
        <v>254</v>
      </c>
      <c r="L146" t="s">
        <v>87</v>
      </c>
      <c r="M146" t="s">
        <v>88</v>
      </c>
      <c r="N146">
        <v>171.5</v>
      </c>
      <c r="O146">
        <v>14.22</v>
      </c>
      <c r="P146">
        <v>2.2799999999999998</v>
      </c>
      <c r="Q146">
        <v>4.2561999999999998</v>
      </c>
      <c r="R146">
        <v>0.68100000000000005</v>
      </c>
      <c r="S146" t="s">
        <v>438</v>
      </c>
      <c r="T146">
        <v>6</v>
      </c>
      <c r="U146" t="s">
        <v>89</v>
      </c>
    </row>
    <row r="147" spans="1:22" outlineLevel="2" x14ac:dyDescent="0.25">
      <c r="A147" t="s">
        <v>82</v>
      </c>
      <c r="B147" t="s">
        <v>83</v>
      </c>
      <c r="C147">
        <v>30</v>
      </c>
      <c r="D147" t="s">
        <v>84</v>
      </c>
      <c r="E147">
        <v>184</v>
      </c>
      <c r="F147" t="s">
        <v>85</v>
      </c>
      <c r="G147">
        <v>8662</v>
      </c>
      <c r="H147" t="s">
        <v>36</v>
      </c>
      <c r="I147">
        <v>1000008662</v>
      </c>
      <c r="J147">
        <v>28821248</v>
      </c>
      <c r="K147" t="s">
        <v>276</v>
      </c>
      <c r="L147" t="s">
        <v>87</v>
      </c>
      <c r="M147" t="s">
        <v>88</v>
      </c>
      <c r="N147">
        <v>638.5</v>
      </c>
      <c r="O147">
        <v>14.22</v>
      </c>
      <c r="P147">
        <v>2.2799999999999998</v>
      </c>
      <c r="Q147">
        <v>4.2561999999999998</v>
      </c>
      <c r="R147">
        <v>0.68100000000000005</v>
      </c>
      <c r="S147" t="s">
        <v>439</v>
      </c>
      <c r="T147">
        <v>6</v>
      </c>
      <c r="U147" t="s">
        <v>89</v>
      </c>
    </row>
    <row r="148" spans="1:22" outlineLevel="2" x14ac:dyDescent="0.25">
      <c r="A148" s="7" t="s">
        <v>82</v>
      </c>
      <c r="B148" s="7" t="s">
        <v>83</v>
      </c>
      <c r="C148" s="7">
        <v>30</v>
      </c>
      <c r="D148" s="7" t="s">
        <v>84</v>
      </c>
      <c r="E148" s="7">
        <v>184</v>
      </c>
      <c r="F148" s="7" t="s">
        <v>85</v>
      </c>
      <c r="G148" s="7">
        <v>8662</v>
      </c>
      <c r="H148" s="7" t="s">
        <v>36</v>
      </c>
      <c r="I148" s="7">
        <v>1000008662</v>
      </c>
      <c r="J148" s="7">
        <v>28822394</v>
      </c>
      <c r="K148" s="7" t="s">
        <v>287</v>
      </c>
      <c r="L148" s="7" t="s">
        <v>87</v>
      </c>
      <c r="M148" s="7" t="s">
        <v>88</v>
      </c>
      <c r="N148" s="7">
        <v>143.5</v>
      </c>
      <c r="O148" s="7">
        <v>14.22</v>
      </c>
      <c r="P148" s="7">
        <v>2.2799999999999998</v>
      </c>
      <c r="Q148" s="7">
        <v>4.2561999999999998</v>
      </c>
      <c r="R148" s="7">
        <v>0.68100000000000005</v>
      </c>
      <c r="S148" s="7" t="s">
        <v>440</v>
      </c>
      <c r="T148" s="7">
        <v>6</v>
      </c>
      <c r="U148" s="7" t="s">
        <v>89</v>
      </c>
      <c r="V148" s="7"/>
    </row>
    <row r="149" spans="1:22" outlineLevel="2" x14ac:dyDescent="0.25">
      <c r="A149" t="s">
        <v>82</v>
      </c>
      <c r="B149" t="s">
        <v>83</v>
      </c>
      <c r="C149">
        <v>30</v>
      </c>
      <c r="D149" t="s">
        <v>84</v>
      </c>
      <c r="E149">
        <v>184</v>
      </c>
      <c r="F149" t="s">
        <v>85</v>
      </c>
      <c r="G149">
        <v>8662</v>
      </c>
      <c r="H149" t="s">
        <v>36</v>
      </c>
      <c r="I149">
        <v>1000008662</v>
      </c>
      <c r="J149">
        <v>28824142</v>
      </c>
      <c r="K149" t="s">
        <v>305</v>
      </c>
      <c r="L149" t="s">
        <v>87</v>
      </c>
      <c r="M149" t="s">
        <v>88</v>
      </c>
      <c r="N149">
        <v>46.5</v>
      </c>
      <c r="O149">
        <v>14.22</v>
      </c>
      <c r="P149">
        <v>2.2799999999999998</v>
      </c>
      <c r="Q149">
        <v>4.2561999999999998</v>
      </c>
      <c r="R149">
        <v>0.68100000000000005</v>
      </c>
      <c r="S149" t="s">
        <v>441</v>
      </c>
      <c r="T149">
        <v>6</v>
      </c>
      <c r="U149" t="s">
        <v>89</v>
      </c>
    </row>
    <row r="150" spans="1:22" outlineLevel="1" x14ac:dyDescent="0.25">
      <c r="H150" s="9" t="s">
        <v>542</v>
      </c>
      <c r="N150">
        <f>SUBTOTAL(9,N121:N149)</f>
        <v>8188.5</v>
      </c>
    </row>
    <row r="151" spans="1:22" outlineLevel="2" x14ac:dyDescent="0.25">
      <c r="A151" t="s">
        <v>82</v>
      </c>
      <c r="B151" t="s">
        <v>83</v>
      </c>
      <c r="C151">
        <v>30</v>
      </c>
      <c r="D151" t="s">
        <v>84</v>
      </c>
      <c r="E151">
        <v>184</v>
      </c>
      <c r="F151" t="s">
        <v>85</v>
      </c>
      <c r="G151">
        <v>8663</v>
      </c>
      <c r="H151" t="s">
        <v>42</v>
      </c>
      <c r="I151">
        <v>1000008663</v>
      </c>
      <c r="J151">
        <v>28808421</v>
      </c>
      <c r="K151" t="s">
        <v>115</v>
      </c>
      <c r="L151" t="s">
        <v>87</v>
      </c>
      <c r="M151" t="s">
        <v>88</v>
      </c>
      <c r="N151">
        <v>109.5</v>
      </c>
      <c r="O151">
        <v>14.22</v>
      </c>
      <c r="P151">
        <v>2.2799999999999998</v>
      </c>
      <c r="Q151">
        <v>4.2561999999999998</v>
      </c>
      <c r="R151">
        <v>0.68100000000000005</v>
      </c>
      <c r="S151" t="s">
        <v>442</v>
      </c>
      <c r="T151">
        <v>6</v>
      </c>
      <c r="U151" t="s">
        <v>89</v>
      </c>
    </row>
    <row r="152" spans="1:22" outlineLevel="2" x14ac:dyDescent="0.25">
      <c r="A152" t="s">
        <v>82</v>
      </c>
      <c r="B152" t="s">
        <v>83</v>
      </c>
      <c r="C152">
        <v>30</v>
      </c>
      <c r="D152" t="s">
        <v>84</v>
      </c>
      <c r="E152">
        <v>184</v>
      </c>
      <c r="F152" t="s">
        <v>85</v>
      </c>
      <c r="G152">
        <v>8663</v>
      </c>
      <c r="H152" t="s">
        <v>42</v>
      </c>
      <c r="I152">
        <v>1000008663</v>
      </c>
      <c r="J152">
        <v>28811628</v>
      </c>
      <c r="K152" t="s">
        <v>174</v>
      </c>
      <c r="L152" t="s">
        <v>87</v>
      </c>
      <c r="M152" t="s">
        <v>88</v>
      </c>
      <c r="N152">
        <v>1187.5</v>
      </c>
      <c r="O152">
        <v>14.22</v>
      </c>
      <c r="P152">
        <v>2.2799999999999998</v>
      </c>
      <c r="Q152">
        <v>4.2561999999999998</v>
      </c>
      <c r="R152">
        <v>0.68100000000000005</v>
      </c>
      <c r="S152" t="s">
        <v>443</v>
      </c>
      <c r="T152">
        <v>6</v>
      </c>
      <c r="U152" t="s">
        <v>89</v>
      </c>
    </row>
    <row r="153" spans="1:22" outlineLevel="2" x14ac:dyDescent="0.25">
      <c r="A153" t="s">
        <v>82</v>
      </c>
      <c r="B153" t="s">
        <v>83</v>
      </c>
      <c r="C153">
        <v>30</v>
      </c>
      <c r="D153" t="s">
        <v>84</v>
      </c>
      <c r="E153">
        <v>184</v>
      </c>
      <c r="F153" t="s">
        <v>85</v>
      </c>
      <c r="G153">
        <v>8663</v>
      </c>
      <c r="H153" t="s">
        <v>42</v>
      </c>
      <c r="I153">
        <v>1000008663</v>
      </c>
      <c r="J153">
        <v>28811694</v>
      </c>
      <c r="K153" t="s">
        <v>176</v>
      </c>
      <c r="L153" t="s">
        <v>87</v>
      </c>
      <c r="M153" t="s">
        <v>88</v>
      </c>
      <c r="N153">
        <v>105.5</v>
      </c>
      <c r="O153">
        <v>14.22</v>
      </c>
      <c r="P153">
        <v>2.2799999999999998</v>
      </c>
      <c r="Q153">
        <v>4.2561999999999998</v>
      </c>
      <c r="R153">
        <v>0.68100000000000005</v>
      </c>
      <c r="S153" t="s">
        <v>444</v>
      </c>
      <c r="T153">
        <v>6</v>
      </c>
      <c r="U153" t="s">
        <v>89</v>
      </c>
    </row>
    <row r="154" spans="1:22" outlineLevel="2" x14ac:dyDescent="0.25">
      <c r="A154" t="s">
        <v>82</v>
      </c>
      <c r="B154" t="s">
        <v>83</v>
      </c>
      <c r="C154">
        <v>30</v>
      </c>
      <c r="D154" t="s">
        <v>84</v>
      </c>
      <c r="E154">
        <v>184</v>
      </c>
      <c r="F154" t="s">
        <v>85</v>
      </c>
      <c r="G154">
        <v>8663</v>
      </c>
      <c r="H154" t="s">
        <v>42</v>
      </c>
      <c r="I154">
        <v>1000008663</v>
      </c>
      <c r="J154">
        <v>28813173</v>
      </c>
      <c r="K154" t="s">
        <v>198</v>
      </c>
      <c r="L154" t="s">
        <v>87</v>
      </c>
      <c r="M154" t="s">
        <v>88</v>
      </c>
      <c r="N154">
        <v>291.5</v>
      </c>
      <c r="O154">
        <v>14.22</v>
      </c>
      <c r="P154">
        <v>2.2799999999999998</v>
      </c>
      <c r="Q154">
        <v>4.2561999999999998</v>
      </c>
      <c r="R154">
        <v>0.68100000000000005</v>
      </c>
      <c r="S154" t="s">
        <v>445</v>
      </c>
      <c r="T154">
        <v>6</v>
      </c>
      <c r="U154" t="s">
        <v>89</v>
      </c>
    </row>
    <row r="155" spans="1:22" outlineLevel="2" x14ac:dyDescent="0.25">
      <c r="A155" t="s">
        <v>82</v>
      </c>
      <c r="B155" t="s">
        <v>83</v>
      </c>
      <c r="C155">
        <v>30</v>
      </c>
      <c r="D155" t="s">
        <v>84</v>
      </c>
      <c r="E155">
        <v>184</v>
      </c>
      <c r="F155" t="s">
        <v>85</v>
      </c>
      <c r="G155">
        <v>8663</v>
      </c>
      <c r="H155" t="s">
        <v>42</v>
      </c>
      <c r="I155">
        <v>1000008663</v>
      </c>
      <c r="J155">
        <v>28814969</v>
      </c>
      <c r="K155" t="s">
        <v>214</v>
      </c>
      <c r="L155" t="s">
        <v>87</v>
      </c>
      <c r="M155" t="s">
        <v>88</v>
      </c>
      <c r="N155">
        <v>174.5</v>
      </c>
      <c r="O155">
        <v>14.22</v>
      </c>
      <c r="P155">
        <v>2.2799999999999998</v>
      </c>
      <c r="Q155">
        <v>4.2561999999999998</v>
      </c>
      <c r="R155">
        <v>0.68100000000000005</v>
      </c>
      <c r="S155" t="s">
        <v>446</v>
      </c>
      <c r="T155">
        <v>6</v>
      </c>
      <c r="U155" t="s">
        <v>89</v>
      </c>
    </row>
    <row r="156" spans="1:22" outlineLevel="2" x14ac:dyDescent="0.25">
      <c r="A156" t="s">
        <v>82</v>
      </c>
      <c r="B156" t="s">
        <v>83</v>
      </c>
      <c r="C156">
        <v>30</v>
      </c>
      <c r="D156" t="s">
        <v>84</v>
      </c>
      <c r="E156">
        <v>184</v>
      </c>
      <c r="F156" t="s">
        <v>85</v>
      </c>
      <c r="G156">
        <v>8663</v>
      </c>
      <c r="H156" t="s">
        <v>42</v>
      </c>
      <c r="I156">
        <v>1000008663</v>
      </c>
      <c r="J156">
        <v>28815742</v>
      </c>
      <c r="K156" t="s">
        <v>221</v>
      </c>
      <c r="L156" t="s">
        <v>87</v>
      </c>
      <c r="M156" t="s">
        <v>88</v>
      </c>
      <c r="N156">
        <v>86.5</v>
      </c>
      <c r="O156">
        <v>14.22</v>
      </c>
      <c r="P156">
        <v>2.2799999999999998</v>
      </c>
      <c r="Q156">
        <v>4.2561999999999998</v>
      </c>
      <c r="R156">
        <v>0.68100000000000005</v>
      </c>
      <c r="S156" t="s">
        <v>447</v>
      </c>
      <c r="T156">
        <v>6</v>
      </c>
      <c r="U156" t="s">
        <v>89</v>
      </c>
    </row>
    <row r="157" spans="1:22" outlineLevel="2" x14ac:dyDescent="0.25">
      <c r="A157" t="s">
        <v>82</v>
      </c>
      <c r="B157" t="s">
        <v>83</v>
      </c>
      <c r="C157">
        <v>30</v>
      </c>
      <c r="D157" t="s">
        <v>84</v>
      </c>
      <c r="E157">
        <v>184</v>
      </c>
      <c r="F157" t="s">
        <v>85</v>
      </c>
      <c r="G157">
        <v>8663</v>
      </c>
      <c r="H157" t="s">
        <v>42</v>
      </c>
      <c r="I157">
        <v>1000008663</v>
      </c>
      <c r="J157">
        <v>28816596</v>
      </c>
      <c r="K157" t="s">
        <v>226</v>
      </c>
      <c r="L157" t="s">
        <v>87</v>
      </c>
      <c r="M157" t="s">
        <v>88</v>
      </c>
      <c r="N157">
        <v>166.5</v>
      </c>
      <c r="O157">
        <v>14.22</v>
      </c>
      <c r="P157">
        <v>2.2799999999999998</v>
      </c>
      <c r="Q157">
        <v>4.2561999999999998</v>
      </c>
      <c r="R157">
        <v>0.68100000000000005</v>
      </c>
      <c r="S157" t="s">
        <v>448</v>
      </c>
      <c r="T157">
        <v>6</v>
      </c>
      <c r="U157" t="s">
        <v>89</v>
      </c>
    </row>
    <row r="158" spans="1:22" outlineLevel="2" x14ac:dyDescent="0.25">
      <c r="A158" t="s">
        <v>82</v>
      </c>
      <c r="B158" t="s">
        <v>83</v>
      </c>
      <c r="C158">
        <v>30</v>
      </c>
      <c r="D158" t="s">
        <v>84</v>
      </c>
      <c r="E158">
        <v>184</v>
      </c>
      <c r="F158" t="s">
        <v>85</v>
      </c>
      <c r="G158">
        <v>8663</v>
      </c>
      <c r="H158" t="s">
        <v>42</v>
      </c>
      <c r="I158">
        <v>1000008663</v>
      </c>
      <c r="J158">
        <v>28818614</v>
      </c>
      <c r="K158" t="s">
        <v>243</v>
      </c>
      <c r="L158" t="s">
        <v>87</v>
      </c>
      <c r="M158" t="s">
        <v>88</v>
      </c>
      <c r="N158">
        <v>88.5</v>
      </c>
      <c r="O158">
        <v>14.22</v>
      </c>
      <c r="P158">
        <v>2.2799999999999998</v>
      </c>
      <c r="Q158">
        <v>4.2561999999999998</v>
      </c>
      <c r="R158">
        <v>0.68100000000000005</v>
      </c>
      <c r="S158" t="s">
        <v>449</v>
      </c>
      <c r="T158">
        <v>6</v>
      </c>
      <c r="U158" t="s">
        <v>89</v>
      </c>
    </row>
    <row r="159" spans="1:22" outlineLevel="2" x14ac:dyDescent="0.25">
      <c r="A159" t="s">
        <v>82</v>
      </c>
      <c r="B159" t="s">
        <v>83</v>
      </c>
      <c r="C159">
        <v>30</v>
      </c>
      <c r="D159" t="s">
        <v>84</v>
      </c>
      <c r="E159">
        <v>184</v>
      </c>
      <c r="F159" t="s">
        <v>85</v>
      </c>
      <c r="G159">
        <v>8663</v>
      </c>
      <c r="H159" t="s">
        <v>42</v>
      </c>
      <c r="I159">
        <v>1000008663</v>
      </c>
      <c r="J159">
        <v>28818898</v>
      </c>
      <c r="K159" t="s">
        <v>247</v>
      </c>
      <c r="L159" t="s">
        <v>87</v>
      </c>
      <c r="M159" t="s">
        <v>88</v>
      </c>
      <c r="N159">
        <v>167.5</v>
      </c>
      <c r="O159">
        <v>14.22</v>
      </c>
      <c r="P159">
        <v>2.2799999999999998</v>
      </c>
      <c r="Q159">
        <v>4.2561999999999998</v>
      </c>
      <c r="R159">
        <v>0.68100000000000005</v>
      </c>
      <c r="S159" t="s">
        <v>450</v>
      </c>
      <c r="T159">
        <v>6</v>
      </c>
      <c r="U159" t="s">
        <v>89</v>
      </c>
    </row>
    <row r="160" spans="1:22" outlineLevel="2" x14ac:dyDescent="0.25">
      <c r="A160" t="s">
        <v>82</v>
      </c>
      <c r="B160" t="s">
        <v>83</v>
      </c>
      <c r="C160">
        <v>30</v>
      </c>
      <c r="D160" t="s">
        <v>84</v>
      </c>
      <c r="E160">
        <v>184</v>
      </c>
      <c r="F160" t="s">
        <v>85</v>
      </c>
      <c r="G160">
        <v>8663</v>
      </c>
      <c r="H160" t="s">
        <v>42</v>
      </c>
      <c r="I160">
        <v>1000008663</v>
      </c>
      <c r="J160">
        <v>28819329</v>
      </c>
      <c r="K160" t="s">
        <v>251</v>
      </c>
      <c r="L160" t="s">
        <v>87</v>
      </c>
      <c r="M160" t="s">
        <v>88</v>
      </c>
      <c r="N160">
        <v>58.5</v>
      </c>
      <c r="O160">
        <v>14.22</v>
      </c>
      <c r="P160">
        <v>2.2799999999999998</v>
      </c>
      <c r="Q160">
        <v>4.2561999999999998</v>
      </c>
      <c r="R160">
        <v>0.68100000000000005</v>
      </c>
      <c r="S160" t="s">
        <v>451</v>
      </c>
      <c r="T160">
        <v>6</v>
      </c>
      <c r="U160" t="s">
        <v>89</v>
      </c>
    </row>
    <row r="161" spans="1:22" outlineLevel="2" x14ac:dyDescent="0.25">
      <c r="A161" t="s">
        <v>82</v>
      </c>
      <c r="B161" t="s">
        <v>83</v>
      </c>
      <c r="C161">
        <v>30</v>
      </c>
      <c r="D161" t="s">
        <v>84</v>
      </c>
      <c r="E161">
        <v>184</v>
      </c>
      <c r="F161" t="s">
        <v>85</v>
      </c>
      <c r="G161">
        <v>8663</v>
      </c>
      <c r="H161" t="s">
        <v>42</v>
      </c>
      <c r="I161">
        <v>1000008663</v>
      </c>
      <c r="J161">
        <v>28819439</v>
      </c>
      <c r="K161" t="s">
        <v>256</v>
      </c>
      <c r="L161" t="s">
        <v>87</v>
      </c>
      <c r="M161" t="s">
        <v>88</v>
      </c>
      <c r="N161">
        <v>103.5</v>
      </c>
      <c r="O161">
        <v>14.22</v>
      </c>
      <c r="P161">
        <v>2.2799999999999998</v>
      </c>
      <c r="Q161">
        <v>4.2561999999999998</v>
      </c>
      <c r="R161">
        <v>0.68100000000000005</v>
      </c>
      <c r="S161" t="s">
        <v>452</v>
      </c>
      <c r="T161">
        <v>6</v>
      </c>
      <c r="U161" t="s">
        <v>89</v>
      </c>
    </row>
    <row r="162" spans="1:22" outlineLevel="2" x14ac:dyDescent="0.25">
      <c r="A162" t="s">
        <v>82</v>
      </c>
      <c r="B162" t="s">
        <v>83</v>
      </c>
      <c r="C162">
        <v>30</v>
      </c>
      <c r="D162" t="s">
        <v>84</v>
      </c>
      <c r="E162">
        <v>184</v>
      </c>
      <c r="F162" t="s">
        <v>85</v>
      </c>
      <c r="G162">
        <v>8663</v>
      </c>
      <c r="H162" t="s">
        <v>42</v>
      </c>
      <c r="I162">
        <v>1000008663</v>
      </c>
      <c r="J162">
        <v>28819702</v>
      </c>
      <c r="K162" t="s">
        <v>261</v>
      </c>
      <c r="L162" t="s">
        <v>87</v>
      </c>
      <c r="M162" t="s">
        <v>88</v>
      </c>
      <c r="N162">
        <v>61.5</v>
      </c>
      <c r="O162">
        <v>14.22</v>
      </c>
      <c r="P162">
        <v>2.2799999999999998</v>
      </c>
      <c r="Q162">
        <v>4.2561999999999998</v>
      </c>
      <c r="R162">
        <v>0.68100000000000005</v>
      </c>
      <c r="S162" t="s">
        <v>453</v>
      </c>
      <c r="T162">
        <v>6</v>
      </c>
      <c r="U162" t="s">
        <v>89</v>
      </c>
    </row>
    <row r="163" spans="1:22" outlineLevel="2" x14ac:dyDescent="0.25">
      <c r="A163" t="s">
        <v>82</v>
      </c>
      <c r="B163" t="s">
        <v>83</v>
      </c>
      <c r="C163">
        <v>30</v>
      </c>
      <c r="D163" t="s">
        <v>84</v>
      </c>
      <c r="E163">
        <v>184</v>
      </c>
      <c r="F163" t="s">
        <v>85</v>
      </c>
      <c r="G163">
        <v>8663</v>
      </c>
      <c r="H163" t="s">
        <v>42</v>
      </c>
      <c r="I163">
        <v>1000008663</v>
      </c>
      <c r="J163">
        <v>28820230</v>
      </c>
      <c r="K163" t="s">
        <v>267</v>
      </c>
      <c r="L163" t="s">
        <v>87</v>
      </c>
      <c r="M163" t="s">
        <v>88</v>
      </c>
      <c r="N163">
        <v>44.5</v>
      </c>
      <c r="O163">
        <v>14.22</v>
      </c>
      <c r="P163">
        <v>2.2799999999999998</v>
      </c>
      <c r="Q163">
        <v>4.2561999999999998</v>
      </c>
      <c r="R163">
        <v>0.68100000000000005</v>
      </c>
      <c r="S163" t="s">
        <v>454</v>
      </c>
      <c r="T163">
        <v>6</v>
      </c>
      <c r="U163" t="s">
        <v>89</v>
      </c>
    </row>
    <row r="164" spans="1:22" outlineLevel="2" x14ac:dyDescent="0.25">
      <c r="A164" s="8" t="s">
        <v>82</v>
      </c>
      <c r="B164" s="8" t="s">
        <v>83</v>
      </c>
      <c r="C164" s="8">
        <v>30</v>
      </c>
      <c r="D164" s="8" t="s">
        <v>84</v>
      </c>
      <c r="E164" s="8">
        <v>184</v>
      </c>
      <c r="F164" s="8" t="s">
        <v>85</v>
      </c>
      <c r="G164" s="8">
        <v>8663</v>
      </c>
      <c r="H164" s="8" t="s">
        <v>42</v>
      </c>
      <c r="I164" s="8">
        <v>1000008663</v>
      </c>
      <c r="J164" s="8">
        <v>28821131</v>
      </c>
      <c r="K164" s="8" t="s">
        <v>274</v>
      </c>
      <c r="L164" s="8" t="s">
        <v>87</v>
      </c>
      <c r="M164" s="8" t="s">
        <v>88</v>
      </c>
      <c r="N164" s="8">
        <v>68.5</v>
      </c>
      <c r="O164" s="8">
        <v>14.22</v>
      </c>
      <c r="P164" s="8">
        <v>2.2799999999999998</v>
      </c>
      <c r="Q164" s="8">
        <v>4.2561999999999998</v>
      </c>
      <c r="R164" s="8">
        <v>0.68100000000000005</v>
      </c>
      <c r="S164" s="8" t="s">
        <v>529</v>
      </c>
      <c r="T164" s="8">
        <v>6</v>
      </c>
      <c r="U164" s="8" t="s">
        <v>89</v>
      </c>
      <c r="V164" s="8"/>
    </row>
    <row r="165" spans="1:22" outlineLevel="2" x14ac:dyDescent="0.25">
      <c r="A165" t="s">
        <v>82</v>
      </c>
      <c r="B165" t="s">
        <v>83</v>
      </c>
      <c r="C165">
        <v>30</v>
      </c>
      <c r="D165" t="s">
        <v>84</v>
      </c>
      <c r="E165">
        <v>184</v>
      </c>
      <c r="F165" t="s">
        <v>85</v>
      </c>
      <c r="G165">
        <v>8663</v>
      </c>
      <c r="H165" t="s">
        <v>42</v>
      </c>
      <c r="I165">
        <v>1000008663</v>
      </c>
      <c r="J165">
        <v>28822798</v>
      </c>
      <c r="K165" t="s">
        <v>292</v>
      </c>
      <c r="L165" t="s">
        <v>87</v>
      </c>
      <c r="M165" t="s">
        <v>88</v>
      </c>
      <c r="N165">
        <v>91.5</v>
      </c>
      <c r="O165">
        <v>14.22</v>
      </c>
      <c r="P165">
        <v>2.2799999999999998</v>
      </c>
      <c r="Q165">
        <v>4.2561999999999998</v>
      </c>
      <c r="R165">
        <v>0.68100000000000005</v>
      </c>
      <c r="S165" t="s">
        <v>455</v>
      </c>
      <c r="T165">
        <v>6</v>
      </c>
      <c r="U165" t="s">
        <v>89</v>
      </c>
    </row>
    <row r="166" spans="1:22" outlineLevel="2" x14ac:dyDescent="0.25">
      <c r="A166" t="s">
        <v>82</v>
      </c>
      <c r="B166" t="s">
        <v>83</v>
      </c>
      <c r="C166">
        <v>30</v>
      </c>
      <c r="D166" t="s">
        <v>84</v>
      </c>
      <c r="E166">
        <v>184</v>
      </c>
      <c r="F166" t="s">
        <v>85</v>
      </c>
      <c r="G166">
        <v>8663</v>
      </c>
      <c r="H166" t="s">
        <v>42</v>
      </c>
      <c r="I166">
        <v>1000008663</v>
      </c>
      <c r="J166">
        <v>28822865</v>
      </c>
      <c r="K166" t="s">
        <v>295</v>
      </c>
      <c r="L166" t="s">
        <v>87</v>
      </c>
      <c r="M166" t="s">
        <v>88</v>
      </c>
      <c r="N166">
        <v>77.5</v>
      </c>
      <c r="O166">
        <v>14.22</v>
      </c>
      <c r="P166">
        <v>2.2799999999999998</v>
      </c>
      <c r="Q166">
        <v>4.2561999999999998</v>
      </c>
      <c r="R166">
        <v>0.68100000000000005</v>
      </c>
      <c r="S166" t="s">
        <v>456</v>
      </c>
      <c r="T166">
        <v>6</v>
      </c>
      <c r="U166" t="s">
        <v>89</v>
      </c>
    </row>
    <row r="167" spans="1:22" outlineLevel="1" x14ac:dyDescent="0.25">
      <c r="H167" s="9" t="s">
        <v>543</v>
      </c>
      <c r="N167">
        <f>SUBTOTAL(9,N151:N166)</f>
        <v>2883</v>
      </c>
    </row>
    <row r="168" spans="1:22" outlineLevel="2" x14ac:dyDescent="0.25">
      <c r="A168" t="s">
        <v>82</v>
      </c>
      <c r="B168" t="s">
        <v>83</v>
      </c>
      <c r="C168">
        <v>30</v>
      </c>
      <c r="D168" t="s">
        <v>84</v>
      </c>
      <c r="E168">
        <v>184</v>
      </c>
      <c r="F168" t="s">
        <v>85</v>
      </c>
      <c r="G168">
        <v>8664</v>
      </c>
      <c r="H168" t="s">
        <v>27</v>
      </c>
      <c r="I168">
        <v>1000008664</v>
      </c>
      <c r="J168">
        <v>28807565</v>
      </c>
      <c r="K168" t="s">
        <v>97</v>
      </c>
      <c r="L168" t="s">
        <v>87</v>
      </c>
      <c r="M168" t="s">
        <v>88</v>
      </c>
      <c r="N168">
        <v>89.5</v>
      </c>
      <c r="O168">
        <v>14.22</v>
      </c>
      <c r="P168">
        <v>2.2799999999999998</v>
      </c>
      <c r="Q168">
        <v>4.2561999999999998</v>
      </c>
      <c r="R168">
        <v>0.68100000000000005</v>
      </c>
      <c r="S168" t="s">
        <v>457</v>
      </c>
      <c r="T168">
        <v>6</v>
      </c>
      <c r="U168" t="s">
        <v>89</v>
      </c>
    </row>
    <row r="169" spans="1:22" outlineLevel="2" x14ac:dyDescent="0.25">
      <c r="A169" t="s">
        <v>82</v>
      </c>
      <c r="B169" t="s">
        <v>83</v>
      </c>
      <c r="C169">
        <v>30</v>
      </c>
      <c r="D169" t="s">
        <v>84</v>
      </c>
      <c r="E169">
        <v>184</v>
      </c>
      <c r="F169" t="s">
        <v>85</v>
      </c>
      <c r="G169">
        <v>8664</v>
      </c>
      <c r="H169" t="s">
        <v>27</v>
      </c>
      <c r="I169">
        <v>1000008664</v>
      </c>
      <c r="J169">
        <v>28808800</v>
      </c>
      <c r="K169" t="s">
        <v>126</v>
      </c>
      <c r="L169" t="s">
        <v>87</v>
      </c>
      <c r="M169" t="s">
        <v>88</v>
      </c>
      <c r="N169">
        <v>148.5</v>
      </c>
      <c r="O169">
        <v>14.22</v>
      </c>
      <c r="P169">
        <v>2.2799999999999998</v>
      </c>
      <c r="Q169">
        <v>4.2561999999999998</v>
      </c>
      <c r="R169">
        <v>0.68100000000000005</v>
      </c>
      <c r="S169" t="s">
        <v>458</v>
      </c>
      <c r="T169">
        <v>6</v>
      </c>
      <c r="U169" t="s">
        <v>89</v>
      </c>
    </row>
    <row r="170" spans="1:22" outlineLevel="2" x14ac:dyDescent="0.25">
      <c r="A170" t="s">
        <v>82</v>
      </c>
      <c r="B170" t="s">
        <v>83</v>
      </c>
      <c r="C170">
        <v>30</v>
      </c>
      <c r="D170" t="s">
        <v>84</v>
      </c>
      <c r="E170">
        <v>184</v>
      </c>
      <c r="F170" t="s">
        <v>85</v>
      </c>
      <c r="G170">
        <v>8664</v>
      </c>
      <c r="H170" t="s">
        <v>27</v>
      </c>
      <c r="I170">
        <v>1000008664</v>
      </c>
      <c r="J170">
        <v>28809999</v>
      </c>
      <c r="K170" t="s">
        <v>148</v>
      </c>
      <c r="L170" t="s">
        <v>87</v>
      </c>
      <c r="M170" t="s">
        <v>88</v>
      </c>
      <c r="N170">
        <v>53.5</v>
      </c>
      <c r="O170">
        <v>14.22</v>
      </c>
      <c r="P170">
        <v>2.2799999999999998</v>
      </c>
      <c r="Q170">
        <v>4.2561999999999998</v>
      </c>
      <c r="R170">
        <v>0.68100000000000005</v>
      </c>
      <c r="S170" t="s">
        <v>459</v>
      </c>
      <c r="T170">
        <v>6</v>
      </c>
      <c r="U170" t="s">
        <v>89</v>
      </c>
    </row>
    <row r="171" spans="1:22" outlineLevel="2" x14ac:dyDescent="0.25">
      <c r="A171" t="s">
        <v>82</v>
      </c>
      <c r="B171" t="s">
        <v>83</v>
      </c>
      <c r="C171">
        <v>30</v>
      </c>
      <c r="D171" t="s">
        <v>84</v>
      </c>
      <c r="E171">
        <v>184</v>
      </c>
      <c r="F171" t="s">
        <v>85</v>
      </c>
      <c r="G171">
        <v>8664</v>
      </c>
      <c r="H171" t="s">
        <v>27</v>
      </c>
      <c r="I171">
        <v>1000008664</v>
      </c>
      <c r="J171">
        <v>28810438</v>
      </c>
      <c r="K171" t="s">
        <v>156</v>
      </c>
      <c r="L171" t="s">
        <v>87</v>
      </c>
      <c r="M171" t="s">
        <v>88</v>
      </c>
      <c r="N171">
        <v>96.5</v>
      </c>
      <c r="O171">
        <v>14.22</v>
      </c>
      <c r="P171">
        <v>2.2799999999999998</v>
      </c>
      <c r="Q171">
        <v>4.2561999999999998</v>
      </c>
      <c r="R171">
        <v>0.68100000000000005</v>
      </c>
      <c r="S171" t="s">
        <v>460</v>
      </c>
      <c r="T171">
        <v>6</v>
      </c>
      <c r="U171" t="s">
        <v>89</v>
      </c>
    </row>
    <row r="172" spans="1:22" outlineLevel="2" x14ac:dyDescent="0.25">
      <c r="A172" t="s">
        <v>82</v>
      </c>
      <c r="B172" t="s">
        <v>83</v>
      </c>
      <c r="C172">
        <v>30</v>
      </c>
      <c r="D172" t="s">
        <v>84</v>
      </c>
      <c r="E172">
        <v>184</v>
      </c>
      <c r="F172" t="s">
        <v>85</v>
      </c>
      <c r="G172">
        <v>8664</v>
      </c>
      <c r="H172" t="s">
        <v>27</v>
      </c>
      <c r="I172">
        <v>1000008664</v>
      </c>
      <c r="J172">
        <v>28812340</v>
      </c>
      <c r="K172" t="s">
        <v>180</v>
      </c>
      <c r="L172" t="s">
        <v>87</v>
      </c>
      <c r="M172" t="s">
        <v>88</v>
      </c>
      <c r="N172">
        <v>622.5</v>
      </c>
      <c r="O172">
        <v>14.22</v>
      </c>
      <c r="P172">
        <v>2.2799999999999998</v>
      </c>
      <c r="Q172">
        <v>4.2561999999999998</v>
      </c>
      <c r="R172">
        <v>0.68100000000000005</v>
      </c>
      <c r="S172" t="s">
        <v>461</v>
      </c>
      <c r="T172">
        <v>6</v>
      </c>
      <c r="U172" t="s">
        <v>89</v>
      </c>
    </row>
    <row r="173" spans="1:22" outlineLevel="2" x14ac:dyDescent="0.25">
      <c r="A173" t="s">
        <v>82</v>
      </c>
      <c r="B173" t="s">
        <v>83</v>
      </c>
      <c r="C173">
        <v>30</v>
      </c>
      <c r="D173" t="s">
        <v>84</v>
      </c>
      <c r="E173">
        <v>184</v>
      </c>
      <c r="F173" t="s">
        <v>85</v>
      </c>
      <c r="G173">
        <v>8664</v>
      </c>
      <c r="H173" t="s">
        <v>27</v>
      </c>
      <c r="I173">
        <v>1000008664</v>
      </c>
      <c r="J173">
        <v>28812439</v>
      </c>
      <c r="K173" t="s">
        <v>182</v>
      </c>
      <c r="L173" t="s">
        <v>87</v>
      </c>
      <c r="M173" t="s">
        <v>88</v>
      </c>
      <c r="N173">
        <v>129.5</v>
      </c>
      <c r="O173">
        <v>14.22</v>
      </c>
      <c r="P173">
        <v>2.2799999999999998</v>
      </c>
      <c r="Q173">
        <v>4.2561999999999998</v>
      </c>
      <c r="R173">
        <v>0.68100000000000005</v>
      </c>
      <c r="S173" t="s">
        <v>462</v>
      </c>
      <c r="T173">
        <v>6</v>
      </c>
      <c r="U173" t="s">
        <v>89</v>
      </c>
    </row>
    <row r="174" spans="1:22" outlineLevel="2" x14ac:dyDescent="0.25">
      <c r="A174" t="s">
        <v>82</v>
      </c>
      <c r="B174" t="s">
        <v>83</v>
      </c>
      <c r="C174">
        <v>30</v>
      </c>
      <c r="D174" t="s">
        <v>84</v>
      </c>
      <c r="E174">
        <v>184</v>
      </c>
      <c r="F174" t="s">
        <v>85</v>
      </c>
      <c r="G174">
        <v>8664</v>
      </c>
      <c r="H174" t="s">
        <v>27</v>
      </c>
      <c r="I174">
        <v>1000008664</v>
      </c>
      <c r="J174">
        <v>28812526</v>
      </c>
      <c r="K174" t="s">
        <v>184</v>
      </c>
      <c r="L174" t="s">
        <v>87</v>
      </c>
      <c r="M174" t="s">
        <v>88</v>
      </c>
      <c r="N174">
        <v>645.5</v>
      </c>
      <c r="O174">
        <v>14.22</v>
      </c>
      <c r="P174">
        <v>2.2799999999999998</v>
      </c>
      <c r="Q174">
        <v>4.2561999999999998</v>
      </c>
      <c r="R174">
        <v>0.68100000000000005</v>
      </c>
      <c r="S174" t="s">
        <v>463</v>
      </c>
      <c r="T174">
        <v>6</v>
      </c>
      <c r="U174" t="s">
        <v>89</v>
      </c>
    </row>
    <row r="175" spans="1:22" outlineLevel="2" x14ac:dyDescent="0.25">
      <c r="A175" t="s">
        <v>82</v>
      </c>
      <c r="B175" t="s">
        <v>83</v>
      </c>
      <c r="C175">
        <v>30</v>
      </c>
      <c r="D175" t="s">
        <v>84</v>
      </c>
      <c r="E175">
        <v>184</v>
      </c>
      <c r="F175" t="s">
        <v>85</v>
      </c>
      <c r="G175">
        <v>8664</v>
      </c>
      <c r="H175" t="s">
        <v>27</v>
      </c>
      <c r="I175">
        <v>1000008664</v>
      </c>
      <c r="J175">
        <v>28812607</v>
      </c>
      <c r="K175" t="s">
        <v>185</v>
      </c>
      <c r="L175" t="s">
        <v>87</v>
      </c>
      <c r="M175" t="s">
        <v>88</v>
      </c>
      <c r="N175">
        <v>355.5</v>
      </c>
      <c r="O175">
        <v>14.22</v>
      </c>
      <c r="P175">
        <v>2.2799999999999998</v>
      </c>
      <c r="Q175">
        <v>4.2561999999999998</v>
      </c>
      <c r="R175">
        <v>0.68100000000000005</v>
      </c>
      <c r="S175" t="s">
        <v>464</v>
      </c>
      <c r="T175">
        <v>6</v>
      </c>
      <c r="U175" t="s">
        <v>89</v>
      </c>
    </row>
    <row r="176" spans="1:22" outlineLevel="2" x14ac:dyDescent="0.25">
      <c r="A176" t="s">
        <v>82</v>
      </c>
      <c r="B176" t="s">
        <v>83</v>
      </c>
      <c r="C176">
        <v>30</v>
      </c>
      <c r="D176" t="s">
        <v>84</v>
      </c>
      <c r="E176">
        <v>184</v>
      </c>
      <c r="F176" t="s">
        <v>85</v>
      </c>
      <c r="G176">
        <v>8664</v>
      </c>
      <c r="H176" t="s">
        <v>27</v>
      </c>
      <c r="I176">
        <v>1000008664</v>
      </c>
      <c r="J176">
        <v>28812706</v>
      </c>
      <c r="K176" t="s">
        <v>189</v>
      </c>
      <c r="L176" t="s">
        <v>87</v>
      </c>
      <c r="M176" t="s">
        <v>88</v>
      </c>
      <c r="N176">
        <v>125.5</v>
      </c>
      <c r="O176">
        <v>14.22</v>
      </c>
      <c r="P176">
        <v>2.2799999999999998</v>
      </c>
      <c r="Q176">
        <v>4.2561999999999998</v>
      </c>
      <c r="R176">
        <v>0.68100000000000005</v>
      </c>
      <c r="S176" t="s">
        <v>465</v>
      </c>
      <c r="T176">
        <v>6</v>
      </c>
      <c r="U176" t="s">
        <v>89</v>
      </c>
    </row>
    <row r="177" spans="1:21" outlineLevel="2" x14ac:dyDescent="0.25">
      <c r="A177" t="s">
        <v>82</v>
      </c>
      <c r="B177" t="s">
        <v>83</v>
      </c>
      <c r="C177">
        <v>30</v>
      </c>
      <c r="D177" t="s">
        <v>84</v>
      </c>
      <c r="E177">
        <v>184</v>
      </c>
      <c r="F177" t="s">
        <v>85</v>
      </c>
      <c r="G177">
        <v>8664</v>
      </c>
      <c r="H177" t="s">
        <v>27</v>
      </c>
      <c r="I177">
        <v>1000008664</v>
      </c>
      <c r="J177">
        <v>28812862</v>
      </c>
      <c r="K177" t="s">
        <v>192</v>
      </c>
      <c r="L177" t="s">
        <v>87</v>
      </c>
      <c r="M177" t="s">
        <v>88</v>
      </c>
      <c r="N177">
        <v>484.5</v>
      </c>
      <c r="O177">
        <v>14.22</v>
      </c>
      <c r="P177">
        <v>2.2799999999999998</v>
      </c>
      <c r="Q177">
        <v>4.2561999999999998</v>
      </c>
      <c r="R177">
        <v>0.68100000000000005</v>
      </c>
      <c r="S177" t="s">
        <v>466</v>
      </c>
      <c r="T177">
        <v>6</v>
      </c>
      <c r="U177" t="s">
        <v>89</v>
      </c>
    </row>
    <row r="178" spans="1:21" outlineLevel="2" x14ac:dyDescent="0.25">
      <c r="A178" t="s">
        <v>82</v>
      </c>
      <c r="B178" t="s">
        <v>83</v>
      </c>
      <c r="C178">
        <v>30</v>
      </c>
      <c r="D178" t="s">
        <v>84</v>
      </c>
      <c r="E178">
        <v>184</v>
      </c>
      <c r="F178" t="s">
        <v>85</v>
      </c>
      <c r="G178">
        <v>8664</v>
      </c>
      <c r="H178" t="s">
        <v>27</v>
      </c>
      <c r="I178">
        <v>1000008664</v>
      </c>
      <c r="J178">
        <v>28812985</v>
      </c>
      <c r="K178" t="s">
        <v>193</v>
      </c>
      <c r="L178" t="s">
        <v>87</v>
      </c>
      <c r="M178" t="s">
        <v>88</v>
      </c>
      <c r="N178">
        <v>62.5</v>
      </c>
      <c r="O178">
        <v>14.22</v>
      </c>
      <c r="P178">
        <v>2.2799999999999998</v>
      </c>
      <c r="Q178">
        <v>4.2561999999999998</v>
      </c>
      <c r="R178">
        <v>0.68100000000000005</v>
      </c>
      <c r="S178" t="s">
        <v>467</v>
      </c>
      <c r="T178">
        <v>6</v>
      </c>
      <c r="U178" t="s">
        <v>89</v>
      </c>
    </row>
    <row r="179" spans="1:21" outlineLevel="2" x14ac:dyDescent="0.25">
      <c r="A179" t="s">
        <v>82</v>
      </c>
      <c r="B179" t="s">
        <v>83</v>
      </c>
      <c r="C179">
        <v>30</v>
      </c>
      <c r="D179" t="s">
        <v>84</v>
      </c>
      <c r="E179">
        <v>184</v>
      </c>
      <c r="F179" t="s">
        <v>85</v>
      </c>
      <c r="G179">
        <v>8664</v>
      </c>
      <c r="H179" t="s">
        <v>27</v>
      </c>
      <c r="I179">
        <v>1000008664</v>
      </c>
      <c r="J179">
        <v>28815027</v>
      </c>
      <c r="K179" t="s">
        <v>216</v>
      </c>
      <c r="L179" t="s">
        <v>87</v>
      </c>
      <c r="M179" t="s">
        <v>88</v>
      </c>
      <c r="N179">
        <v>158.5</v>
      </c>
      <c r="O179">
        <v>14.22</v>
      </c>
      <c r="P179">
        <v>2.2799999999999998</v>
      </c>
      <c r="Q179">
        <v>4.2561999999999998</v>
      </c>
      <c r="R179">
        <v>0.68100000000000005</v>
      </c>
      <c r="S179" t="s">
        <v>468</v>
      </c>
      <c r="T179">
        <v>6</v>
      </c>
      <c r="U179" t="s">
        <v>89</v>
      </c>
    </row>
    <row r="180" spans="1:21" outlineLevel="2" x14ac:dyDescent="0.25">
      <c r="A180" t="s">
        <v>82</v>
      </c>
      <c r="B180" t="s">
        <v>83</v>
      </c>
      <c r="C180">
        <v>30</v>
      </c>
      <c r="D180" t="s">
        <v>84</v>
      </c>
      <c r="E180">
        <v>184</v>
      </c>
      <c r="F180" t="s">
        <v>85</v>
      </c>
      <c r="G180">
        <v>8664</v>
      </c>
      <c r="H180" t="s">
        <v>27</v>
      </c>
      <c r="I180">
        <v>1000008664</v>
      </c>
      <c r="J180">
        <v>28815104</v>
      </c>
      <c r="K180" t="s">
        <v>218</v>
      </c>
      <c r="L180" t="s">
        <v>87</v>
      </c>
      <c r="M180" t="s">
        <v>88</v>
      </c>
      <c r="N180">
        <v>374.5</v>
      </c>
      <c r="O180">
        <v>14.22</v>
      </c>
      <c r="P180">
        <v>2.2799999999999998</v>
      </c>
      <c r="Q180">
        <v>4.2561999999999998</v>
      </c>
      <c r="R180">
        <v>0.68100000000000005</v>
      </c>
      <c r="S180" t="s">
        <v>469</v>
      </c>
      <c r="T180">
        <v>6</v>
      </c>
      <c r="U180" t="s">
        <v>89</v>
      </c>
    </row>
    <row r="181" spans="1:21" outlineLevel="2" x14ac:dyDescent="0.25">
      <c r="A181" t="s">
        <v>82</v>
      </c>
      <c r="B181" t="s">
        <v>83</v>
      </c>
      <c r="C181">
        <v>30</v>
      </c>
      <c r="D181" t="s">
        <v>84</v>
      </c>
      <c r="E181">
        <v>184</v>
      </c>
      <c r="F181" t="s">
        <v>85</v>
      </c>
      <c r="G181">
        <v>8664</v>
      </c>
      <c r="H181" t="s">
        <v>27</v>
      </c>
      <c r="I181">
        <v>1000008664</v>
      </c>
      <c r="J181">
        <v>28815498</v>
      </c>
      <c r="K181" t="s">
        <v>220</v>
      </c>
      <c r="L181" t="s">
        <v>87</v>
      </c>
      <c r="M181" t="s">
        <v>88</v>
      </c>
      <c r="N181">
        <v>62.5</v>
      </c>
      <c r="O181">
        <v>14.22</v>
      </c>
      <c r="P181">
        <v>2.2799999999999998</v>
      </c>
      <c r="Q181">
        <v>4.2561999999999998</v>
      </c>
      <c r="R181">
        <v>0.68100000000000005</v>
      </c>
      <c r="S181" t="s">
        <v>470</v>
      </c>
      <c r="T181">
        <v>6</v>
      </c>
      <c r="U181" t="s">
        <v>89</v>
      </c>
    </row>
    <row r="182" spans="1:21" outlineLevel="2" x14ac:dyDescent="0.25">
      <c r="A182" t="s">
        <v>82</v>
      </c>
      <c r="B182" t="s">
        <v>83</v>
      </c>
      <c r="C182">
        <v>30</v>
      </c>
      <c r="D182" t="s">
        <v>84</v>
      </c>
      <c r="E182">
        <v>184</v>
      </c>
      <c r="F182" t="s">
        <v>85</v>
      </c>
      <c r="G182">
        <v>8664</v>
      </c>
      <c r="H182" t="s">
        <v>27</v>
      </c>
      <c r="I182">
        <v>1000008664</v>
      </c>
      <c r="J182">
        <v>28817237</v>
      </c>
      <c r="K182" t="s">
        <v>229</v>
      </c>
      <c r="L182" t="s">
        <v>87</v>
      </c>
      <c r="M182" t="s">
        <v>88</v>
      </c>
      <c r="N182">
        <v>44.5</v>
      </c>
      <c r="O182">
        <v>14.22</v>
      </c>
      <c r="P182">
        <v>2.2799999999999998</v>
      </c>
      <c r="Q182">
        <v>4.2561999999999998</v>
      </c>
      <c r="R182">
        <v>0.68100000000000005</v>
      </c>
      <c r="S182" t="s">
        <v>471</v>
      </c>
      <c r="T182">
        <v>6</v>
      </c>
      <c r="U182" t="s">
        <v>89</v>
      </c>
    </row>
    <row r="183" spans="1:21" outlineLevel="2" x14ac:dyDescent="0.25">
      <c r="A183" t="s">
        <v>82</v>
      </c>
      <c r="B183" t="s">
        <v>83</v>
      </c>
      <c r="C183">
        <v>30</v>
      </c>
      <c r="D183" t="s">
        <v>84</v>
      </c>
      <c r="E183">
        <v>184</v>
      </c>
      <c r="F183" t="s">
        <v>85</v>
      </c>
      <c r="G183">
        <v>8664</v>
      </c>
      <c r="H183" t="s">
        <v>27</v>
      </c>
      <c r="I183">
        <v>1000008664</v>
      </c>
      <c r="J183">
        <v>28817643</v>
      </c>
      <c r="K183" t="s">
        <v>234</v>
      </c>
      <c r="L183" t="s">
        <v>87</v>
      </c>
      <c r="M183" t="s">
        <v>88</v>
      </c>
      <c r="N183">
        <v>1017.5</v>
      </c>
      <c r="O183">
        <v>14.22</v>
      </c>
      <c r="P183">
        <v>2.2799999999999998</v>
      </c>
      <c r="Q183">
        <v>4.2561999999999998</v>
      </c>
      <c r="R183">
        <v>0.68100000000000005</v>
      </c>
      <c r="S183" t="s">
        <v>472</v>
      </c>
      <c r="T183">
        <v>6</v>
      </c>
      <c r="U183" t="s">
        <v>89</v>
      </c>
    </row>
    <row r="184" spans="1:21" outlineLevel="2" x14ac:dyDescent="0.25">
      <c r="A184" t="s">
        <v>82</v>
      </c>
      <c r="B184" t="s">
        <v>83</v>
      </c>
      <c r="C184">
        <v>30</v>
      </c>
      <c r="D184" t="s">
        <v>84</v>
      </c>
      <c r="E184">
        <v>184</v>
      </c>
      <c r="F184" t="s">
        <v>85</v>
      </c>
      <c r="G184">
        <v>8664</v>
      </c>
      <c r="H184" t="s">
        <v>27</v>
      </c>
      <c r="I184">
        <v>1000008664</v>
      </c>
      <c r="J184">
        <v>28817732</v>
      </c>
      <c r="K184" t="s">
        <v>237</v>
      </c>
      <c r="L184" t="s">
        <v>87</v>
      </c>
      <c r="M184" t="s">
        <v>88</v>
      </c>
      <c r="N184">
        <v>314.5</v>
      </c>
      <c r="O184">
        <v>14.22</v>
      </c>
      <c r="P184">
        <v>2.2799999999999998</v>
      </c>
      <c r="Q184">
        <v>4.2561999999999998</v>
      </c>
      <c r="R184">
        <v>0.68100000000000005</v>
      </c>
      <c r="S184" t="s">
        <v>473</v>
      </c>
      <c r="T184">
        <v>6</v>
      </c>
      <c r="U184" t="s">
        <v>89</v>
      </c>
    </row>
    <row r="185" spans="1:21" outlineLevel="2" x14ac:dyDescent="0.25">
      <c r="A185" t="s">
        <v>82</v>
      </c>
      <c r="B185" t="s">
        <v>83</v>
      </c>
      <c r="C185">
        <v>30</v>
      </c>
      <c r="D185" t="s">
        <v>84</v>
      </c>
      <c r="E185">
        <v>184</v>
      </c>
      <c r="F185" t="s">
        <v>85</v>
      </c>
      <c r="G185">
        <v>8664</v>
      </c>
      <c r="H185" t="s">
        <v>27</v>
      </c>
      <c r="I185">
        <v>1000008664</v>
      </c>
      <c r="J185">
        <v>28818858</v>
      </c>
      <c r="K185" t="s">
        <v>246</v>
      </c>
      <c r="L185" t="s">
        <v>87</v>
      </c>
      <c r="M185" t="s">
        <v>88</v>
      </c>
      <c r="N185">
        <v>68.5</v>
      </c>
      <c r="O185">
        <v>14.22</v>
      </c>
      <c r="P185">
        <v>2.2799999999999998</v>
      </c>
      <c r="Q185">
        <v>4.2561999999999998</v>
      </c>
      <c r="R185">
        <v>0.68100000000000005</v>
      </c>
      <c r="S185" t="s">
        <v>474</v>
      </c>
      <c r="T185">
        <v>6</v>
      </c>
      <c r="U185" t="s">
        <v>89</v>
      </c>
    </row>
    <row r="186" spans="1:21" outlineLevel="2" x14ac:dyDescent="0.25">
      <c r="A186" t="s">
        <v>82</v>
      </c>
      <c r="B186" t="s">
        <v>83</v>
      </c>
      <c r="C186">
        <v>30</v>
      </c>
      <c r="D186" t="s">
        <v>84</v>
      </c>
      <c r="E186">
        <v>184</v>
      </c>
      <c r="F186" t="s">
        <v>85</v>
      </c>
      <c r="G186">
        <v>8664</v>
      </c>
      <c r="H186" t="s">
        <v>27</v>
      </c>
      <c r="I186">
        <v>1000008664</v>
      </c>
      <c r="J186">
        <v>28819367</v>
      </c>
      <c r="K186" t="s">
        <v>255</v>
      </c>
      <c r="L186" t="s">
        <v>87</v>
      </c>
      <c r="M186" t="s">
        <v>88</v>
      </c>
      <c r="N186">
        <v>44.5</v>
      </c>
      <c r="O186">
        <v>14.22</v>
      </c>
      <c r="P186">
        <v>2.2799999999999998</v>
      </c>
      <c r="Q186">
        <v>4.2561999999999998</v>
      </c>
      <c r="R186">
        <v>0.68100000000000005</v>
      </c>
      <c r="S186" t="s">
        <v>475</v>
      </c>
      <c r="T186">
        <v>6</v>
      </c>
      <c r="U186" t="s">
        <v>89</v>
      </c>
    </row>
    <row r="187" spans="1:21" outlineLevel="2" x14ac:dyDescent="0.25">
      <c r="A187" t="s">
        <v>82</v>
      </c>
      <c r="B187" t="s">
        <v>83</v>
      </c>
      <c r="C187">
        <v>30</v>
      </c>
      <c r="D187" t="s">
        <v>84</v>
      </c>
      <c r="E187">
        <v>184</v>
      </c>
      <c r="F187" t="s">
        <v>85</v>
      </c>
      <c r="G187">
        <v>8664</v>
      </c>
      <c r="H187" t="s">
        <v>27</v>
      </c>
      <c r="I187">
        <v>1000008664</v>
      </c>
      <c r="J187">
        <v>28819624</v>
      </c>
      <c r="K187" t="s">
        <v>260</v>
      </c>
      <c r="L187" t="s">
        <v>87</v>
      </c>
      <c r="M187" t="s">
        <v>88</v>
      </c>
      <c r="N187">
        <v>183.5</v>
      </c>
      <c r="O187">
        <v>14.22</v>
      </c>
      <c r="P187">
        <v>2.2799999999999998</v>
      </c>
      <c r="Q187">
        <v>4.2561999999999998</v>
      </c>
      <c r="R187">
        <v>0.68100000000000005</v>
      </c>
      <c r="S187" t="s">
        <v>476</v>
      </c>
      <c r="T187">
        <v>6</v>
      </c>
      <c r="U187" t="s">
        <v>89</v>
      </c>
    </row>
    <row r="188" spans="1:21" outlineLevel="2" x14ac:dyDescent="0.25">
      <c r="A188" t="s">
        <v>82</v>
      </c>
      <c r="B188" t="s">
        <v>83</v>
      </c>
      <c r="C188">
        <v>30</v>
      </c>
      <c r="D188" t="s">
        <v>84</v>
      </c>
      <c r="E188">
        <v>184</v>
      </c>
      <c r="F188" t="s">
        <v>85</v>
      </c>
      <c r="G188">
        <v>8664</v>
      </c>
      <c r="H188" t="s">
        <v>27</v>
      </c>
      <c r="I188">
        <v>1000008664</v>
      </c>
      <c r="J188">
        <v>28820751</v>
      </c>
      <c r="K188" t="s">
        <v>269</v>
      </c>
      <c r="L188" t="s">
        <v>87</v>
      </c>
      <c r="M188" t="s">
        <v>88</v>
      </c>
      <c r="N188">
        <v>78.5</v>
      </c>
      <c r="O188">
        <v>14.22</v>
      </c>
      <c r="P188">
        <v>2.2799999999999998</v>
      </c>
      <c r="Q188">
        <v>4.2561999999999998</v>
      </c>
      <c r="R188">
        <v>0.68100000000000005</v>
      </c>
      <c r="S188" t="s">
        <v>477</v>
      </c>
      <c r="T188">
        <v>6</v>
      </c>
      <c r="U188" t="s">
        <v>89</v>
      </c>
    </row>
    <row r="189" spans="1:21" outlineLevel="2" x14ac:dyDescent="0.25">
      <c r="A189" t="s">
        <v>82</v>
      </c>
      <c r="B189" t="s">
        <v>83</v>
      </c>
      <c r="C189">
        <v>30</v>
      </c>
      <c r="D189" t="s">
        <v>84</v>
      </c>
      <c r="E189">
        <v>184</v>
      </c>
      <c r="F189" t="s">
        <v>85</v>
      </c>
      <c r="G189">
        <v>8664</v>
      </c>
      <c r="H189" t="s">
        <v>27</v>
      </c>
      <c r="I189">
        <v>1000008664</v>
      </c>
      <c r="J189">
        <v>28821682</v>
      </c>
      <c r="K189" t="s">
        <v>279</v>
      </c>
      <c r="L189" t="s">
        <v>87</v>
      </c>
      <c r="M189" t="s">
        <v>88</v>
      </c>
      <c r="N189">
        <v>245.5</v>
      </c>
      <c r="O189">
        <v>14.22</v>
      </c>
      <c r="P189">
        <v>2.2799999999999998</v>
      </c>
      <c r="Q189">
        <v>4.2561999999999998</v>
      </c>
      <c r="R189">
        <v>0.68100000000000005</v>
      </c>
      <c r="S189" t="s">
        <v>478</v>
      </c>
      <c r="T189">
        <v>6</v>
      </c>
      <c r="U189" t="s">
        <v>89</v>
      </c>
    </row>
    <row r="190" spans="1:21" outlineLevel="2" x14ac:dyDescent="0.25">
      <c r="A190" t="s">
        <v>82</v>
      </c>
      <c r="B190" t="s">
        <v>83</v>
      </c>
      <c r="C190">
        <v>30</v>
      </c>
      <c r="D190" t="s">
        <v>84</v>
      </c>
      <c r="E190">
        <v>184</v>
      </c>
      <c r="F190" t="s">
        <v>85</v>
      </c>
      <c r="G190">
        <v>8664</v>
      </c>
      <c r="H190" t="s">
        <v>27</v>
      </c>
      <c r="I190">
        <v>1000008664</v>
      </c>
      <c r="J190">
        <v>28821879</v>
      </c>
      <c r="K190" t="s">
        <v>280</v>
      </c>
      <c r="L190" t="s">
        <v>87</v>
      </c>
      <c r="M190" t="s">
        <v>88</v>
      </c>
      <c r="N190">
        <v>44.5</v>
      </c>
      <c r="O190">
        <v>14.22</v>
      </c>
      <c r="P190">
        <v>2.2799999999999998</v>
      </c>
      <c r="Q190">
        <v>4.2561999999999998</v>
      </c>
      <c r="R190">
        <v>0.68100000000000005</v>
      </c>
      <c r="S190" t="s">
        <v>479</v>
      </c>
      <c r="T190">
        <v>6</v>
      </c>
      <c r="U190" t="s">
        <v>89</v>
      </c>
    </row>
    <row r="191" spans="1:21" outlineLevel="2" x14ac:dyDescent="0.25">
      <c r="A191" t="s">
        <v>82</v>
      </c>
      <c r="B191" t="s">
        <v>83</v>
      </c>
      <c r="C191">
        <v>30</v>
      </c>
      <c r="D191" t="s">
        <v>84</v>
      </c>
      <c r="E191">
        <v>184</v>
      </c>
      <c r="F191" t="s">
        <v>85</v>
      </c>
      <c r="G191">
        <v>8664</v>
      </c>
      <c r="H191" t="s">
        <v>27</v>
      </c>
      <c r="I191">
        <v>1000008664</v>
      </c>
      <c r="J191">
        <v>28822331</v>
      </c>
      <c r="K191" t="s">
        <v>285</v>
      </c>
      <c r="L191" t="s">
        <v>87</v>
      </c>
      <c r="M191" t="s">
        <v>88</v>
      </c>
      <c r="N191">
        <v>378.5</v>
      </c>
      <c r="O191">
        <v>14.22</v>
      </c>
      <c r="P191">
        <v>2.2799999999999998</v>
      </c>
      <c r="Q191">
        <v>4.2561999999999998</v>
      </c>
      <c r="R191">
        <v>0.68100000000000005</v>
      </c>
      <c r="S191" t="s">
        <v>480</v>
      </c>
      <c r="T191">
        <v>6</v>
      </c>
      <c r="U191" t="s">
        <v>89</v>
      </c>
    </row>
    <row r="192" spans="1:21" outlineLevel="2" x14ac:dyDescent="0.25">
      <c r="A192" t="s">
        <v>82</v>
      </c>
      <c r="B192" t="s">
        <v>83</v>
      </c>
      <c r="C192">
        <v>30</v>
      </c>
      <c r="D192" t="s">
        <v>84</v>
      </c>
      <c r="E192">
        <v>184</v>
      </c>
      <c r="F192" t="s">
        <v>85</v>
      </c>
      <c r="G192">
        <v>8664</v>
      </c>
      <c r="H192" t="s">
        <v>27</v>
      </c>
      <c r="I192">
        <v>1000008664</v>
      </c>
      <c r="J192">
        <v>28822800</v>
      </c>
      <c r="K192" t="s">
        <v>293</v>
      </c>
      <c r="L192" t="s">
        <v>87</v>
      </c>
      <c r="M192" t="s">
        <v>88</v>
      </c>
      <c r="N192">
        <v>107.5</v>
      </c>
      <c r="O192">
        <v>14.22</v>
      </c>
      <c r="P192">
        <v>2.2799999999999998</v>
      </c>
      <c r="Q192">
        <v>4.2561999999999998</v>
      </c>
      <c r="R192">
        <v>0.68100000000000005</v>
      </c>
      <c r="S192" t="s">
        <v>481</v>
      </c>
      <c r="T192">
        <v>6</v>
      </c>
      <c r="U192" t="s">
        <v>89</v>
      </c>
    </row>
    <row r="193" spans="1:22" outlineLevel="2" x14ac:dyDescent="0.25">
      <c r="A193" t="s">
        <v>82</v>
      </c>
      <c r="B193" t="s">
        <v>83</v>
      </c>
      <c r="C193">
        <v>30</v>
      </c>
      <c r="D193" t="s">
        <v>84</v>
      </c>
      <c r="E193">
        <v>184</v>
      </c>
      <c r="F193" t="s">
        <v>85</v>
      </c>
      <c r="G193">
        <v>8664</v>
      </c>
      <c r="H193" t="s">
        <v>27</v>
      </c>
      <c r="I193">
        <v>1000008664</v>
      </c>
      <c r="J193">
        <v>28822880</v>
      </c>
      <c r="K193" t="s">
        <v>296</v>
      </c>
      <c r="L193" t="s">
        <v>87</v>
      </c>
      <c r="M193" t="s">
        <v>88</v>
      </c>
      <c r="N193">
        <v>44.5</v>
      </c>
      <c r="O193">
        <v>14.22</v>
      </c>
      <c r="P193">
        <v>2.2799999999999998</v>
      </c>
      <c r="Q193">
        <v>4.2561999999999998</v>
      </c>
      <c r="R193">
        <v>0.68100000000000005</v>
      </c>
      <c r="S193" t="s">
        <v>482</v>
      </c>
      <c r="T193">
        <v>6</v>
      </c>
      <c r="U193" t="s">
        <v>89</v>
      </c>
    </row>
    <row r="194" spans="1:22" outlineLevel="2" x14ac:dyDescent="0.25">
      <c r="A194" t="s">
        <v>82</v>
      </c>
      <c r="B194" t="s">
        <v>83</v>
      </c>
      <c r="C194">
        <v>30</v>
      </c>
      <c r="D194" t="s">
        <v>84</v>
      </c>
      <c r="E194">
        <v>184</v>
      </c>
      <c r="F194" t="s">
        <v>85</v>
      </c>
      <c r="G194">
        <v>8664</v>
      </c>
      <c r="H194" t="s">
        <v>27</v>
      </c>
      <c r="I194">
        <v>1000008664</v>
      </c>
      <c r="J194">
        <v>28823608</v>
      </c>
      <c r="K194" t="s">
        <v>299</v>
      </c>
      <c r="L194" t="s">
        <v>87</v>
      </c>
      <c r="M194" t="s">
        <v>88</v>
      </c>
      <c r="N194">
        <v>44.5</v>
      </c>
      <c r="O194">
        <v>14.22</v>
      </c>
      <c r="P194">
        <v>2.2799999999999998</v>
      </c>
      <c r="Q194">
        <v>4.2561999999999998</v>
      </c>
      <c r="R194">
        <v>0.68100000000000005</v>
      </c>
      <c r="S194" t="s">
        <v>483</v>
      </c>
      <c r="T194">
        <v>6</v>
      </c>
      <c r="U194" t="s">
        <v>89</v>
      </c>
    </row>
    <row r="195" spans="1:22" outlineLevel="2" x14ac:dyDescent="0.25">
      <c r="A195" t="s">
        <v>82</v>
      </c>
      <c r="B195" t="s">
        <v>83</v>
      </c>
      <c r="C195">
        <v>30</v>
      </c>
      <c r="D195" t="s">
        <v>84</v>
      </c>
      <c r="E195">
        <v>184</v>
      </c>
      <c r="F195" t="s">
        <v>85</v>
      </c>
      <c r="G195">
        <v>8664</v>
      </c>
      <c r="H195" t="s">
        <v>27</v>
      </c>
      <c r="I195">
        <v>1000008664</v>
      </c>
      <c r="J195">
        <v>28823706</v>
      </c>
      <c r="K195" t="s">
        <v>301</v>
      </c>
      <c r="L195" t="s">
        <v>87</v>
      </c>
      <c r="M195" t="s">
        <v>88</v>
      </c>
      <c r="N195">
        <v>43.5</v>
      </c>
      <c r="O195">
        <v>14.22</v>
      </c>
      <c r="P195">
        <v>2.2799999999999998</v>
      </c>
      <c r="Q195">
        <v>4.2561999999999998</v>
      </c>
      <c r="R195">
        <v>0.68100000000000005</v>
      </c>
      <c r="S195" t="s">
        <v>484</v>
      </c>
      <c r="T195">
        <v>6</v>
      </c>
      <c r="U195" t="s">
        <v>89</v>
      </c>
    </row>
    <row r="196" spans="1:22" outlineLevel="2" x14ac:dyDescent="0.25">
      <c r="A196" t="s">
        <v>82</v>
      </c>
      <c r="B196" t="s">
        <v>83</v>
      </c>
      <c r="C196">
        <v>30</v>
      </c>
      <c r="D196" t="s">
        <v>84</v>
      </c>
      <c r="E196">
        <v>184</v>
      </c>
      <c r="F196" t="s">
        <v>85</v>
      </c>
      <c r="G196">
        <v>8664</v>
      </c>
      <c r="H196" t="s">
        <v>27</v>
      </c>
      <c r="I196">
        <v>1000008664</v>
      </c>
      <c r="J196">
        <v>28823746</v>
      </c>
      <c r="K196" t="s">
        <v>302</v>
      </c>
      <c r="L196" t="s">
        <v>87</v>
      </c>
      <c r="M196" t="s">
        <v>88</v>
      </c>
      <c r="N196">
        <v>44.5</v>
      </c>
      <c r="O196">
        <v>14.22</v>
      </c>
      <c r="P196">
        <v>2.2799999999999998</v>
      </c>
      <c r="Q196">
        <v>4.2561999999999998</v>
      </c>
      <c r="R196">
        <v>0.68100000000000005</v>
      </c>
      <c r="S196" t="s">
        <v>485</v>
      </c>
      <c r="T196">
        <v>6</v>
      </c>
      <c r="U196" t="s">
        <v>89</v>
      </c>
    </row>
    <row r="197" spans="1:22" outlineLevel="1" x14ac:dyDescent="0.25">
      <c r="H197" s="9" t="s">
        <v>544</v>
      </c>
      <c r="N197">
        <f>SUBTOTAL(9,N168:N196)</f>
        <v>6113.5</v>
      </c>
    </row>
    <row r="198" spans="1:22" outlineLevel="2" x14ac:dyDescent="0.25">
      <c r="A198" t="s">
        <v>82</v>
      </c>
      <c r="B198" t="s">
        <v>83</v>
      </c>
      <c r="C198">
        <v>30</v>
      </c>
      <c r="D198" t="s">
        <v>84</v>
      </c>
      <c r="E198">
        <v>184</v>
      </c>
      <c r="F198" t="s">
        <v>85</v>
      </c>
      <c r="G198">
        <v>8669</v>
      </c>
      <c r="H198" t="s">
        <v>48</v>
      </c>
      <c r="I198">
        <v>1000008669</v>
      </c>
      <c r="J198">
        <v>28821884</v>
      </c>
      <c r="K198" t="s">
        <v>281</v>
      </c>
      <c r="L198" t="s">
        <v>87</v>
      </c>
      <c r="M198" t="s">
        <v>88</v>
      </c>
      <c r="N198">
        <v>44.5</v>
      </c>
      <c r="O198">
        <v>14.22</v>
      </c>
      <c r="P198">
        <v>2.2799999999999998</v>
      </c>
      <c r="Q198">
        <v>4.2561999999999998</v>
      </c>
      <c r="R198">
        <v>0.68100000000000005</v>
      </c>
      <c r="S198" t="s">
        <v>486</v>
      </c>
      <c r="T198">
        <v>6</v>
      </c>
      <c r="U198" t="s">
        <v>89</v>
      </c>
    </row>
    <row r="199" spans="1:22" outlineLevel="1" x14ac:dyDescent="0.25">
      <c r="H199" s="9" t="s">
        <v>545</v>
      </c>
      <c r="N199">
        <f>SUBTOTAL(9,N198:N198)</f>
        <v>44.5</v>
      </c>
    </row>
    <row r="200" spans="1:22" outlineLevel="2" x14ac:dyDescent="0.25">
      <c r="A200" t="s">
        <v>82</v>
      </c>
      <c r="B200" t="s">
        <v>83</v>
      </c>
      <c r="C200">
        <v>30</v>
      </c>
      <c r="D200" t="s">
        <v>84</v>
      </c>
      <c r="E200">
        <v>184</v>
      </c>
      <c r="F200" t="s">
        <v>85</v>
      </c>
      <c r="G200">
        <v>8671</v>
      </c>
      <c r="H200" t="s">
        <v>50</v>
      </c>
      <c r="I200">
        <v>1000008671</v>
      </c>
      <c r="J200">
        <v>28809965</v>
      </c>
      <c r="K200" t="s">
        <v>146</v>
      </c>
      <c r="L200" t="s">
        <v>87</v>
      </c>
      <c r="M200" t="s">
        <v>88</v>
      </c>
      <c r="N200">
        <v>83.5</v>
      </c>
      <c r="O200">
        <v>14.22</v>
      </c>
      <c r="P200">
        <v>2.2799999999999998</v>
      </c>
      <c r="Q200">
        <v>4.2561999999999998</v>
      </c>
      <c r="R200">
        <v>0.68100000000000005</v>
      </c>
      <c r="S200" t="s">
        <v>487</v>
      </c>
      <c r="T200">
        <v>6</v>
      </c>
      <c r="U200" t="s">
        <v>89</v>
      </c>
    </row>
    <row r="201" spans="1:22" outlineLevel="2" x14ac:dyDescent="0.25">
      <c r="A201" t="s">
        <v>82</v>
      </c>
      <c r="B201" t="s">
        <v>83</v>
      </c>
      <c r="C201">
        <v>30</v>
      </c>
      <c r="D201" t="s">
        <v>84</v>
      </c>
      <c r="E201">
        <v>184</v>
      </c>
      <c r="F201" t="s">
        <v>85</v>
      </c>
      <c r="G201">
        <v>8671</v>
      </c>
      <c r="H201" t="s">
        <v>50</v>
      </c>
      <c r="I201">
        <v>1000008671</v>
      </c>
      <c r="J201">
        <v>28810797</v>
      </c>
      <c r="K201" t="s">
        <v>162</v>
      </c>
      <c r="L201" t="s">
        <v>87</v>
      </c>
      <c r="M201" t="s">
        <v>88</v>
      </c>
      <c r="N201">
        <v>123.5</v>
      </c>
      <c r="O201">
        <v>14.22</v>
      </c>
      <c r="P201">
        <v>2.2799999999999998</v>
      </c>
      <c r="Q201">
        <v>4.2561999999999998</v>
      </c>
      <c r="R201">
        <v>0.68100000000000005</v>
      </c>
      <c r="S201" t="s">
        <v>488</v>
      </c>
      <c r="T201">
        <v>6</v>
      </c>
      <c r="U201" t="s">
        <v>89</v>
      </c>
    </row>
    <row r="202" spans="1:22" outlineLevel="1" x14ac:dyDescent="0.25">
      <c r="H202" s="9" t="s">
        <v>546</v>
      </c>
      <c r="N202">
        <f>SUBTOTAL(9,N200:N201)</f>
        <v>207</v>
      </c>
    </row>
    <row r="203" spans="1:22" outlineLevel="2" x14ac:dyDescent="0.25">
      <c r="A203" t="s">
        <v>82</v>
      </c>
      <c r="B203" t="s">
        <v>83</v>
      </c>
      <c r="C203">
        <v>30</v>
      </c>
      <c r="D203" t="s">
        <v>84</v>
      </c>
      <c r="E203">
        <v>184</v>
      </c>
      <c r="F203" t="s">
        <v>85</v>
      </c>
      <c r="G203">
        <v>8673</v>
      </c>
      <c r="H203" t="s">
        <v>51</v>
      </c>
      <c r="I203">
        <v>1000008673</v>
      </c>
      <c r="J203">
        <v>28807741</v>
      </c>
      <c r="K203" t="s">
        <v>103</v>
      </c>
      <c r="L203" t="s">
        <v>87</v>
      </c>
      <c r="M203" t="s">
        <v>88</v>
      </c>
      <c r="N203">
        <v>268.5</v>
      </c>
      <c r="O203">
        <v>14.22</v>
      </c>
      <c r="P203">
        <v>2.2799999999999998</v>
      </c>
      <c r="Q203">
        <v>4.2561999999999998</v>
      </c>
      <c r="R203">
        <v>0.68100000000000005</v>
      </c>
      <c r="S203" t="s">
        <v>489</v>
      </c>
      <c r="T203">
        <v>6</v>
      </c>
      <c r="U203" t="s">
        <v>89</v>
      </c>
    </row>
    <row r="204" spans="1:22" outlineLevel="2" x14ac:dyDescent="0.25">
      <c r="A204" s="8" t="s">
        <v>82</v>
      </c>
      <c r="B204" s="8" t="s">
        <v>83</v>
      </c>
      <c r="C204" s="8">
        <v>30</v>
      </c>
      <c r="D204" s="8" t="s">
        <v>84</v>
      </c>
      <c r="E204" s="8">
        <v>184</v>
      </c>
      <c r="F204" s="8" t="s">
        <v>85</v>
      </c>
      <c r="G204" s="8">
        <v>8673</v>
      </c>
      <c r="H204" s="8" t="s">
        <v>51</v>
      </c>
      <c r="I204" s="8">
        <v>1000008673</v>
      </c>
      <c r="J204" s="8">
        <v>28808067</v>
      </c>
      <c r="K204" s="8" t="s">
        <v>106</v>
      </c>
      <c r="L204" s="8" t="s">
        <v>87</v>
      </c>
      <c r="M204" s="8" t="s">
        <v>88</v>
      </c>
      <c r="N204" s="8">
        <v>171.5</v>
      </c>
      <c r="O204" s="8">
        <v>14.22</v>
      </c>
      <c r="P204" s="8">
        <v>2.2799999999999998</v>
      </c>
      <c r="Q204" s="8">
        <v>4.2561999999999998</v>
      </c>
      <c r="R204" s="8">
        <v>0.68100000000000005</v>
      </c>
      <c r="S204" s="8" t="s">
        <v>530</v>
      </c>
      <c r="T204" s="8">
        <v>6</v>
      </c>
      <c r="U204" s="8" t="s">
        <v>89</v>
      </c>
      <c r="V204" s="8"/>
    </row>
    <row r="205" spans="1:22" outlineLevel="2" x14ac:dyDescent="0.25">
      <c r="A205" t="s">
        <v>82</v>
      </c>
      <c r="B205" t="s">
        <v>83</v>
      </c>
      <c r="C205">
        <v>30</v>
      </c>
      <c r="D205" t="s">
        <v>84</v>
      </c>
      <c r="E205">
        <v>184</v>
      </c>
      <c r="F205" t="s">
        <v>85</v>
      </c>
      <c r="G205">
        <v>8673</v>
      </c>
      <c r="H205" t="s">
        <v>51</v>
      </c>
      <c r="I205">
        <v>1000008673</v>
      </c>
      <c r="J205">
        <v>28810502</v>
      </c>
      <c r="K205" t="s">
        <v>159</v>
      </c>
      <c r="L205" t="s">
        <v>87</v>
      </c>
      <c r="M205" t="s">
        <v>88</v>
      </c>
      <c r="N205">
        <v>80.5</v>
      </c>
      <c r="O205">
        <v>14.22</v>
      </c>
      <c r="P205">
        <v>2.2799999999999998</v>
      </c>
      <c r="Q205">
        <v>4.2561999999999998</v>
      </c>
      <c r="R205">
        <v>0.68100000000000005</v>
      </c>
      <c r="S205" t="s">
        <v>490</v>
      </c>
      <c r="T205">
        <v>6</v>
      </c>
      <c r="U205" t="s">
        <v>89</v>
      </c>
    </row>
    <row r="206" spans="1:22" outlineLevel="2" x14ac:dyDescent="0.25">
      <c r="A206" t="s">
        <v>82</v>
      </c>
      <c r="B206" t="s">
        <v>83</v>
      </c>
      <c r="C206">
        <v>30</v>
      </c>
      <c r="D206" t="s">
        <v>84</v>
      </c>
      <c r="E206">
        <v>184</v>
      </c>
      <c r="F206" t="s">
        <v>85</v>
      </c>
      <c r="G206">
        <v>8673</v>
      </c>
      <c r="H206" t="s">
        <v>51</v>
      </c>
      <c r="I206">
        <v>1000008673</v>
      </c>
      <c r="J206">
        <v>28812041</v>
      </c>
      <c r="K206" t="s">
        <v>178</v>
      </c>
      <c r="L206" t="s">
        <v>87</v>
      </c>
      <c r="M206" t="s">
        <v>88</v>
      </c>
      <c r="N206">
        <v>79.5</v>
      </c>
      <c r="O206">
        <v>14.22</v>
      </c>
      <c r="P206">
        <v>2.2799999999999998</v>
      </c>
      <c r="Q206">
        <v>4.2561999999999998</v>
      </c>
      <c r="R206">
        <v>0.68100000000000005</v>
      </c>
      <c r="S206" t="s">
        <v>491</v>
      </c>
      <c r="T206">
        <v>6</v>
      </c>
      <c r="U206" t="s">
        <v>89</v>
      </c>
    </row>
    <row r="207" spans="1:22" outlineLevel="2" x14ac:dyDescent="0.25">
      <c r="A207" t="s">
        <v>82</v>
      </c>
      <c r="B207" t="s">
        <v>83</v>
      </c>
      <c r="C207">
        <v>30</v>
      </c>
      <c r="D207" t="s">
        <v>84</v>
      </c>
      <c r="E207">
        <v>184</v>
      </c>
      <c r="F207" t="s">
        <v>85</v>
      </c>
      <c r="G207">
        <v>8673</v>
      </c>
      <c r="H207" t="s">
        <v>51</v>
      </c>
      <c r="I207">
        <v>1000008673</v>
      </c>
      <c r="J207">
        <v>28814929</v>
      </c>
      <c r="K207" t="s">
        <v>213</v>
      </c>
      <c r="L207" t="s">
        <v>87</v>
      </c>
      <c r="M207" t="s">
        <v>88</v>
      </c>
      <c r="N207">
        <v>68.5</v>
      </c>
      <c r="O207">
        <v>14.22</v>
      </c>
      <c r="P207">
        <v>2.2799999999999998</v>
      </c>
      <c r="Q207">
        <v>4.2561999999999998</v>
      </c>
      <c r="R207">
        <v>0.68100000000000005</v>
      </c>
      <c r="S207" t="s">
        <v>492</v>
      </c>
      <c r="T207">
        <v>6</v>
      </c>
      <c r="U207" t="s">
        <v>89</v>
      </c>
    </row>
    <row r="208" spans="1:22" outlineLevel="2" x14ac:dyDescent="0.25">
      <c r="A208" t="s">
        <v>82</v>
      </c>
      <c r="B208" t="s">
        <v>83</v>
      </c>
      <c r="C208">
        <v>30</v>
      </c>
      <c r="D208" t="s">
        <v>84</v>
      </c>
      <c r="E208">
        <v>184</v>
      </c>
      <c r="F208" t="s">
        <v>85</v>
      </c>
      <c r="G208">
        <v>8673</v>
      </c>
      <c r="H208" t="s">
        <v>51</v>
      </c>
      <c r="I208">
        <v>1000008673</v>
      </c>
      <c r="J208">
        <v>28816391</v>
      </c>
      <c r="K208" t="s">
        <v>225</v>
      </c>
      <c r="L208" t="s">
        <v>87</v>
      </c>
      <c r="M208" t="s">
        <v>88</v>
      </c>
      <c r="N208">
        <v>483.5</v>
      </c>
      <c r="O208">
        <v>14.22</v>
      </c>
      <c r="P208">
        <v>2.2799999999999998</v>
      </c>
      <c r="Q208">
        <v>4.2561999999999998</v>
      </c>
      <c r="R208">
        <v>0.68100000000000005</v>
      </c>
      <c r="S208" t="s">
        <v>493</v>
      </c>
      <c r="T208">
        <v>6</v>
      </c>
      <c r="U208" t="s">
        <v>89</v>
      </c>
    </row>
    <row r="209" spans="1:22" outlineLevel="2" x14ac:dyDescent="0.25">
      <c r="A209" t="s">
        <v>82</v>
      </c>
      <c r="B209" t="s">
        <v>83</v>
      </c>
      <c r="C209">
        <v>30</v>
      </c>
      <c r="D209" t="s">
        <v>84</v>
      </c>
      <c r="E209">
        <v>184</v>
      </c>
      <c r="F209" t="s">
        <v>85</v>
      </c>
      <c r="G209">
        <v>8673</v>
      </c>
      <c r="H209" t="s">
        <v>51</v>
      </c>
      <c r="I209">
        <v>1000008673</v>
      </c>
      <c r="J209">
        <v>28817688</v>
      </c>
      <c r="K209" t="s">
        <v>235</v>
      </c>
      <c r="L209" t="s">
        <v>87</v>
      </c>
      <c r="M209" t="s">
        <v>88</v>
      </c>
      <c r="N209">
        <v>44.5</v>
      </c>
      <c r="O209">
        <v>14.22</v>
      </c>
      <c r="P209">
        <v>2.2799999999999998</v>
      </c>
      <c r="Q209">
        <v>4.2561999999999998</v>
      </c>
      <c r="R209">
        <v>0.68100000000000005</v>
      </c>
      <c r="S209" t="s">
        <v>494</v>
      </c>
      <c r="T209">
        <v>6</v>
      </c>
      <c r="U209" t="s">
        <v>89</v>
      </c>
    </row>
    <row r="210" spans="1:22" outlineLevel="1" x14ac:dyDescent="0.25">
      <c r="H210" s="9" t="s">
        <v>547</v>
      </c>
      <c r="N210">
        <f>SUBTOTAL(9,N203:N209)</f>
        <v>1196.5</v>
      </c>
    </row>
    <row r="211" spans="1:22" outlineLevel="2" x14ac:dyDescent="0.25">
      <c r="A211" t="s">
        <v>82</v>
      </c>
      <c r="B211" t="s">
        <v>83</v>
      </c>
      <c r="C211">
        <v>30</v>
      </c>
      <c r="D211" t="s">
        <v>84</v>
      </c>
      <c r="E211">
        <v>184</v>
      </c>
      <c r="F211" t="s">
        <v>85</v>
      </c>
      <c r="G211">
        <v>8676</v>
      </c>
      <c r="H211" t="s">
        <v>54</v>
      </c>
      <c r="I211">
        <v>1000008676</v>
      </c>
      <c r="J211">
        <v>28809997</v>
      </c>
      <c r="K211" t="s">
        <v>147</v>
      </c>
      <c r="L211" t="s">
        <v>87</v>
      </c>
      <c r="M211" t="s">
        <v>88</v>
      </c>
      <c r="N211">
        <v>557.5</v>
      </c>
      <c r="O211">
        <v>14.22</v>
      </c>
      <c r="P211">
        <v>2.2799999999999998</v>
      </c>
      <c r="Q211">
        <v>4.2561999999999998</v>
      </c>
      <c r="R211">
        <v>0.68100000000000005</v>
      </c>
      <c r="S211" t="s">
        <v>495</v>
      </c>
      <c r="T211">
        <v>6</v>
      </c>
      <c r="U211" t="s">
        <v>89</v>
      </c>
    </row>
    <row r="212" spans="1:22" outlineLevel="2" x14ac:dyDescent="0.25">
      <c r="A212" t="s">
        <v>82</v>
      </c>
      <c r="B212" t="s">
        <v>83</v>
      </c>
      <c r="C212">
        <v>30</v>
      </c>
      <c r="D212" t="s">
        <v>84</v>
      </c>
      <c r="E212">
        <v>184</v>
      </c>
      <c r="F212" t="s">
        <v>85</v>
      </c>
      <c r="G212">
        <v>8676</v>
      </c>
      <c r="H212" t="s">
        <v>54</v>
      </c>
      <c r="I212">
        <v>1000008676</v>
      </c>
      <c r="J212">
        <v>28810059</v>
      </c>
      <c r="K212" t="s">
        <v>150</v>
      </c>
      <c r="L212" t="s">
        <v>87</v>
      </c>
      <c r="M212" t="s">
        <v>88</v>
      </c>
      <c r="N212">
        <v>186.5</v>
      </c>
      <c r="O212">
        <v>14.22</v>
      </c>
      <c r="P212">
        <v>2.2799999999999998</v>
      </c>
      <c r="Q212">
        <v>4.2561999999999998</v>
      </c>
      <c r="R212">
        <v>0.68100000000000005</v>
      </c>
      <c r="S212" t="s">
        <v>496</v>
      </c>
      <c r="T212">
        <v>6</v>
      </c>
      <c r="U212" t="s">
        <v>89</v>
      </c>
    </row>
    <row r="213" spans="1:22" outlineLevel="2" x14ac:dyDescent="0.25">
      <c r="A213" t="s">
        <v>82</v>
      </c>
      <c r="B213" t="s">
        <v>83</v>
      </c>
      <c r="C213">
        <v>30</v>
      </c>
      <c r="D213" t="s">
        <v>84</v>
      </c>
      <c r="E213">
        <v>184</v>
      </c>
      <c r="F213" t="s">
        <v>85</v>
      </c>
      <c r="G213">
        <v>8676</v>
      </c>
      <c r="H213" t="s">
        <v>54</v>
      </c>
      <c r="I213">
        <v>1000008676</v>
      </c>
      <c r="J213">
        <v>28810174</v>
      </c>
      <c r="K213" t="s">
        <v>152</v>
      </c>
      <c r="L213" t="s">
        <v>87</v>
      </c>
      <c r="M213" t="s">
        <v>88</v>
      </c>
      <c r="N213">
        <v>187.5</v>
      </c>
      <c r="O213">
        <v>14.22</v>
      </c>
      <c r="P213">
        <v>2.2799999999999998</v>
      </c>
      <c r="Q213">
        <v>4.2561999999999998</v>
      </c>
      <c r="R213">
        <v>0.68100000000000005</v>
      </c>
      <c r="S213" t="s">
        <v>497</v>
      </c>
      <c r="T213">
        <v>6</v>
      </c>
      <c r="U213" t="s">
        <v>89</v>
      </c>
    </row>
    <row r="214" spans="1:22" outlineLevel="2" x14ac:dyDescent="0.25">
      <c r="A214" t="s">
        <v>82</v>
      </c>
      <c r="B214" t="s">
        <v>83</v>
      </c>
      <c r="C214">
        <v>30</v>
      </c>
      <c r="D214" t="s">
        <v>84</v>
      </c>
      <c r="E214">
        <v>184</v>
      </c>
      <c r="F214" t="s">
        <v>85</v>
      </c>
      <c r="G214">
        <v>8676</v>
      </c>
      <c r="H214" t="s">
        <v>54</v>
      </c>
      <c r="I214">
        <v>1000008676</v>
      </c>
      <c r="J214">
        <v>28811245</v>
      </c>
      <c r="K214" t="s">
        <v>168</v>
      </c>
      <c r="L214" t="s">
        <v>87</v>
      </c>
      <c r="M214" t="s">
        <v>88</v>
      </c>
      <c r="N214">
        <v>134.5</v>
      </c>
      <c r="O214">
        <v>14.22</v>
      </c>
      <c r="P214">
        <v>2.2799999999999998</v>
      </c>
      <c r="Q214">
        <v>4.2561999999999998</v>
      </c>
      <c r="R214">
        <v>0.68100000000000005</v>
      </c>
      <c r="S214" t="s">
        <v>498</v>
      </c>
      <c r="T214">
        <v>6</v>
      </c>
      <c r="U214" t="s">
        <v>89</v>
      </c>
    </row>
    <row r="215" spans="1:22" outlineLevel="2" x14ac:dyDescent="0.25">
      <c r="A215" t="s">
        <v>82</v>
      </c>
      <c r="B215" t="s">
        <v>83</v>
      </c>
      <c r="C215">
        <v>30</v>
      </c>
      <c r="D215" t="s">
        <v>84</v>
      </c>
      <c r="E215">
        <v>184</v>
      </c>
      <c r="F215" t="s">
        <v>85</v>
      </c>
      <c r="G215">
        <v>8676</v>
      </c>
      <c r="H215" t="s">
        <v>54</v>
      </c>
      <c r="I215">
        <v>1000008676</v>
      </c>
      <c r="J215">
        <v>28811435</v>
      </c>
      <c r="K215" t="s">
        <v>170</v>
      </c>
      <c r="L215" t="s">
        <v>87</v>
      </c>
      <c r="M215" t="s">
        <v>88</v>
      </c>
      <c r="N215">
        <v>62.5</v>
      </c>
      <c r="O215">
        <v>14.22</v>
      </c>
      <c r="P215">
        <v>2.2799999999999998</v>
      </c>
      <c r="Q215">
        <v>4.2561999999999998</v>
      </c>
      <c r="R215">
        <v>0.68100000000000005</v>
      </c>
      <c r="S215" t="s">
        <v>499</v>
      </c>
      <c r="T215">
        <v>6</v>
      </c>
      <c r="U215" t="s">
        <v>89</v>
      </c>
    </row>
    <row r="216" spans="1:22" outlineLevel="2" x14ac:dyDescent="0.25">
      <c r="A216" t="s">
        <v>82</v>
      </c>
      <c r="B216" t="s">
        <v>83</v>
      </c>
      <c r="C216">
        <v>30</v>
      </c>
      <c r="D216" t="s">
        <v>84</v>
      </c>
      <c r="E216">
        <v>184</v>
      </c>
      <c r="F216" t="s">
        <v>85</v>
      </c>
      <c r="G216">
        <v>8676</v>
      </c>
      <c r="H216" t="s">
        <v>54</v>
      </c>
      <c r="I216">
        <v>1000008676</v>
      </c>
      <c r="J216">
        <v>28817712</v>
      </c>
      <c r="K216" t="s">
        <v>236</v>
      </c>
      <c r="L216" t="s">
        <v>87</v>
      </c>
      <c r="M216" t="s">
        <v>88</v>
      </c>
      <c r="N216">
        <v>161.5</v>
      </c>
      <c r="O216">
        <v>14.22</v>
      </c>
      <c r="P216">
        <v>2.2799999999999998</v>
      </c>
      <c r="Q216">
        <v>4.2561999999999998</v>
      </c>
      <c r="R216">
        <v>0.68100000000000005</v>
      </c>
      <c r="S216" t="s">
        <v>500</v>
      </c>
      <c r="T216">
        <v>6</v>
      </c>
      <c r="U216" t="s">
        <v>89</v>
      </c>
    </row>
    <row r="217" spans="1:22" outlineLevel="2" x14ac:dyDescent="0.25">
      <c r="A217" t="s">
        <v>82</v>
      </c>
      <c r="B217" t="s">
        <v>83</v>
      </c>
      <c r="C217">
        <v>30</v>
      </c>
      <c r="D217" t="s">
        <v>84</v>
      </c>
      <c r="E217">
        <v>184</v>
      </c>
      <c r="F217" t="s">
        <v>85</v>
      </c>
      <c r="G217">
        <v>8676</v>
      </c>
      <c r="H217" t="s">
        <v>54</v>
      </c>
      <c r="I217">
        <v>1000008676</v>
      </c>
      <c r="J217">
        <v>28821108</v>
      </c>
      <c r="K217" t="s">
        <v>272</v>
      </c>
      <c r="L217" t="s">
        <v>87</v>
      </c>
      <c r="M217" t="s">
        <v>88</v>
      </c>
      <c r="N217">
        <v>81.5</v>
      </c>
      <c r="O217">
        <v>14.22</v>
      </c>
      <c r="P217">
        <v>2.2799999999999998</v>
      </c>
      <c r="Q217">
        <v>4.2561999999999998</v>
      </c>
      <c r="R217">
        <v>0.68100000000000005</v>
      </c>
      <c r="S217" t="s">
        <v>501</v>
      </c>
      <c r="T217">
        <v>6</v>
      </c>
      <c r="U217" t="s">
        <v>89</v>
      </c>
    </row>
    <row r="218" spans="1:22" outlineLevel="2" x14ac:dyDescent="0.25">
      <c r="A218" t="s">
        <v>82</v>
      </c>
      <c r="B218" t="s">
        <v>83</v>
      </c>
      <c r="C218">
        <v>30</v>
      </c>
      <c r="D218" t="s">
        <v>84</v>
      </c>
      <c r="E218">
        <v>184</v>
      </c>
      <c r="F218" t="s">
        <v>85</v>
      </c>
      <c r="G218">
        <v>8676</v>
      </c>
      <c r="H218" t="s">
        <v>54</v>
      </c>
      <c r="I218">
        <v>1000008676</v>
      </c>
      <c r="J218">
        <v>28821122</v>
      </c>
      <c r="K218" t="s">
        <v>273</v>
      </c>
      <c r="L218" t="s">
        <v>87</v>
      </c>
      <c r="M218" t="s">
        <v>88</v>
      </c>
      <c r="N218">
        <v>44.5</v>
      </c>
      <c r="O218">
        <v>14.22</v>
      </c>
      <c r="P218">
        <v>2.2799999999999998</v>
      </c>
      <c r="Q218">
        <v>4.2561999999999998</v>
      </c>
      <c r="R218">
        <v>0.68100000000000005</v>
      </c>
      <c r="S218" t="s">
        <v>502</v>
      </c>
      <c r="T218">
        <v>6</v>
      </c>
      <c r="U218" t="s">
        <v>89</v>
      </c>
    </row>
    <row r="219" spans="1:22" outlineLevel="2" x14ac:dyDescent="0.25">
      <c r="A219" t="s">
        <v>82</v>
      </c>
      <c r="B219" t="s">
        <v>83</v>
      </c>
      <c r="C219">
        <v>30</v>
      </c>
      <c r="D219" t="s">
        <v>84</v>
      </c>
      <c r="E219">
        <v>184</v>
      </c>
      <c r="F219" t="s">
        <v>85</v>
      </c>
      <c r="G219">
        <v>8676</v>
      </c>
      <c r="H219" t="s">
        <v>54</v>
      </c>
      <c r="I219">
        <v>1000008676</v>
      </c>
      <c r="J219">
        <v>28822606</v>
      </c>
      <c r="K219" t="s">
        <v>289</v>
      </c>
      <c r="L219" t="s">
        <v>87</v>
      </c>
      <c r="M219" t="s">
        <v>88</v>
      </c>
      <c r="N219">
        <v>82.5</v>
      </c>
      <c r="O219">
        <v>14.22</v>
      </c>
      <c r="P219">
        <v>2.2799999999999998</v>
      </c>
      <c r="Q219">
        <v>4.2561999999999998</v>
      </c>
      <c r="R219">
        <v>0.68100000000000005</v>
      </c>
      <c r="S219" t="s">
        <v>503</v>
      </c>
      <c r="T219">
        <v>6</v>
      </c>
      <c r="U219" t="s">
        <v>89</v>
      </c>
    </row>
    <row r="220" spans="1:22" outlineLevel="2" x14ac:dyDescent="0.25">
      <c r="A220" t="s">
        <v>82</v>
      </c>
      <c r="B220" t="s">
        <v>83</v>
      </c>
      <c r="C220">
        <v>30</v>
      </c>
      <c r="D220" t="s">
        <v>84</v>
      </c>
      <c r="E220">
        <v>184</v>
      </c>
      <c r="F220" t="s">
        <v>85</v>
      </c>
      <c r="G220">
        <v>8676</v>
      </c>
      <c r="H220" t="s">
        <v>54</v>
      </c>
      <c r="I220">
        <v>1000008676</v>
      </c>
      <c r="J220">
        <v>28822650</v>
      </c>
      <c r="K220" t="s">
        <v>290</v>
      </c>
      <c r="L220" t="s">
        <v>87</v>
      </c>
      <c r="M220" t="s">
        <v>88</v>
      </c>
      <c r="N220">
        <v>81.5</v>
      </c>
      <c r="O220">
        <v>14.22</v>
      </c>
      <c r="P220">
        <v>2.2799999999999998</v>
      </c>
      <c r="Q220">
        <v>4.2561999999999998</v>
      </c>
      <c r="R220">
        <v>0.68100000000000005</v>
      </c>
      <c r="S220" t="s">
        <v>504</v>
      </c>
      <c r="T220">
        <v>6</v>
      </c>
      <c r="U220" t="s">
        <v>89</v>
      </c>
    </row>
    <row r="221" spans="1:22" outlineLevel="1" x14ac:dyDescent="0.25">
      <c r="H221" s="9" t="s">
        <v>548</v>
      </c>
      <c r="N221">
        <f>SUBTOTAL(9,N211:N220)</f>
        <v>1580</v>
      </c>
    </row>
    <row r="222" spans="1:22" outlineLevel="2" x14ac:dyDescent="0.25">
      <c r="A222" s="7" t="s">
        <v>82</v>
      </c>
      <c r="B222" s="7" t="s">
        <v>83</v>
      </c>
      <c r="C222" s="7">
        <v>30</v>
      </c>
      <c r="D222" s="7" t="s">
        <v>84</v>
      </c>
      <c r="E222" s="7">
        <v>184</v>
      </c>
      <c r="F222" s="7" t="s">
        <v>85</v>
      </c>
      <c r="G222" s="7">
        <v>9566</v>
      </c>
      <c r="H222" s="7" t="s">
        <v>55</v>
      </c>
      <c r="I222" s="7">
        <v>1000009566</v>
      </c>
      <c r="J222" s="7">
        <v>28808032</v>
      </c>
      <c r="K222" s="7" t="s">
        <v>105</v>
      </c>
      <c r="L222" s="7" t="s">
        <v>87</v>
      </c>
      <c r="M222" s="7" t="s">
        <v>88</v>
      </c>
      <c r="N222" s="7">
        <v>264.5</v>
      </c>
      <c r="O222" s="7">
        <v>14.22</v>
      </c>
      <c r="P222" s="7">
        <v>2.2799999999999998</v>
      </c>
      <c r="Q222" s="7">
        <v>4.2561999999999998</v>
      </c>
      <c r="R222" s="7">
        <v>0.68100000000000005</v>
      </c>
      <c r="S222" s="7" t="s">
        <v>505</v>
      </c>
      <c r="T222" s="7">
        <v>6</v>
      </c>
      <c r="U222" s="7" t="s">
        <v>89</v>
      </c>
      <c r="V222" s="7"/>
    </row>
    <row r="223" spans="1:22" outlineLevel="2" x14ac:dyDescent="0.25">
      <c r="A223" s="7" t="s">
        <v>82</v>
      </c>
      <c r="B223" s="7" t="s">
        <v>83</v>
      </c>
      <c r="C223" s="7">
        <v>30</v>
      </c>
      <c r="D223" s="7" t="s">
        <v>84</v>
      </c>
      <c r="E223" s="7">
        <v>184</v>
      </c>
      <c r="F223" s="7" t="s">
        <v>85</v>
      </c>
      <c r="G223" s="7">
        <v>9566</v>
      </c>
      <c r="H223" s="7" t="s">
        <v>55</v>
      </c>
      <c r="I223" s="7">
        <v>1000009566</v>
      </c>
      <c r="J223" s="7">
        <v>28810486</v>
      </c>
      <c r="K223" s="7" t="s">
        <v>158</v>
      </c>
      <c r="L223" s="7" t="s">
        <v>87</v>
      </c>
      <c r="M223" s="7" t="s">
        <v>88</v>
      </c>
      <c r="N223" s="7">
        <v>146.5</v>
      </c>
      <c r="O223" s="7">
        <v>14.22</v>
      </c>
      <c r="P223" s="7">
        <v>2.2799999999999998</v>
      </c>
      <c r="Q223" s="7">
        <v>4.2561999999999998</v>
      </c>
      <c r="R223" s="7">
        <v>0.68100000000000005</v>
      </c>
      <c r="S223" s="7" t="s">
        <v>506</v>
      </c>
      <c r="T223" s="7">
        <v>6</v>
      </c>
      <c r="U223" s="7" t="s">
        <v>89</v>
      </c>
      <c r="V223" s="7"/>
    </row>
    <row r="224" spans="1:22" outlineLevel="2" x14ac:dyDescent="0.25">
      <c r="A224" s="7" t="s">
        <v>82</v>
      </c>
      <c r="B224" s="7" t="s">
        <v>83</v>
      </c>
      <c r="C224" s="7">
        <v>30</v>
      </c>
      <c r="D224" s="7" t="s">
        <v>84</v>
      </c>
      <c r="E224" s="7">
        <v>184</v>
      </c>
      <c r="F224" s="7" t="s">
        <v>85</v>
      </c>
      <c r="G224" s="7">
        <v>9566</v>
      </c>
      <c r="H224" s="7" t="s">
        <v>55</v>
      </c>
      <c r="I224" s="7">
        <v>1000009566</v>
      </c>
      <c r="J224" s="7">
        <v>28813019</v>
      </c>
      <c r="K224" s="7" t="s">
        <v>195</v>
      </c>
      <c r="L224" s="7" t="s">
        <v>87</v>
      </c>
      <c r="M224" s="7" t="s">
        <v>88</v>
      </c>
      <c r="N224" s="7">
        <v>116.5</v>
      </c>
      <c r="O224" s="7">
        <v>14.22</v>
      </c>
      <c r="P224" s="7">
        <v>2.2799999999999998</v>
      </c>
      <c r="Q224" s="7">
        <v>4.2561999999999998</v>
      </c>
      <c r="R224" s="7">
        <v>0.68100000000000005</v>
      </c>
      <c r="S224" s="7" t="s">
        <v>507</v>
      </c>
      <c r="T224" s="7">
        <v>6</v>
      </c>
      <c r="U224" s="7" t="s">
        <v>89</v>
      </c>
      <c r="V224" s="7"/>
    </row>
    <row r="225" spans="1:22" outlineLevel="2" x14ac:dyDescent="0.25">
      <c r="A225" s="7" t="s">
        <v>82</v>
      </c>
      <c r="B225" s="7" t="s">
        <v>83</v>
      </c>
      <c r="C225" s="7">
        <v>30</v>
      </c>
      <c r="D225" s="7" t="s">
        <v>84</v>
      </c>
      <c r="E225" s="7">
        <v>184</v>
      </c>
      <c r="F225" s="7" t="s">
        <v>85</v>
      </c>
      <c r="G225" s="7">
        <v>9566</v>
      </c>
      <c r="H225" s="7" t="s">
        <v>55</v>
      </c>
      <c r="I225" s="7">
        <v>1000009566</v>
      </c>
      <c r="J225" s="7">
        <v>28813081</v>
      </c>
      <c r="K225" s="7" t="s">
        <v>196</v>
      </c>
      <c r="L225" s="7" t="s">
        <v>87</v>
      </c>
      <c r="M225" s="7" t="s">
        <v>88</v>
      </c>
      <c r="N225" s="7">
        <v>134.5</v>
      </c>
      <c r="O225" s="7">
        <v>14.22</v>
      </c>
      <c r="P225" s="7">
        <v>2.2799999999999998</v>
      </c>
      <c r="Q225" s="7">
        <v>4.2561999999999998</v>
      </c>
      <c r="R225" s="7">
        <v>0.68100000000000005</v>
      </c>
      <c r="S225" s="7" t="s">
        <v>508</v>
      </c>
      <c r="T225" s="7">
        <v>6</v>
      </c>
      <c r="U225" s="7" t="s">
        <v>89</v>
      </c>
      <c r="V225" s="7"/>
    </row>
    <row r="226" spans="1:22" outlineLevel="2" x14ac:dyDescent="0.25">
      <c r="A226" s="7" t="s">
        <v>82</v>
      </c>
      <c r="B226" s="7" t="s">
        <v>83</v>
      </c>
      <c r="C226" s="7">
        <v>30</v>
      </c>
      <c r="D226" s="7" t="s">
        <v>84</v>
      </c>
      <c r="E226" s="7">
        <v>184</v>
      </c>
      <c r="F226" s="7" t="s">
        <v>85</v>
      </c>
      <c r="G226" s="7">
        <v>9566</v>
      </c>
      <c r="H226" s="7" t="s">
        <v>55</v>
      </c>
      <c r="I226" s="7">
        <v>1000009566</v>
      </c>
      <c r="J226" s="7">
        <v>28813200</v>
      </c>
      <c r="K226" s="7" t="s">
        <v>199</v>
      </c>
      <c r="L226" s="7" t="s">
        <v>87</v>
      </c>
      <c r="M226" s="7" t="s">
        <v>88</v>
      </c>
      <c r="N226" s="7">
        <v>95.5</v>
      </c>
      <c r="O226" s="7">
        <v>14.22</v>
      </c>
      <c r="P226" s="7">
        <v>2.2799999999999998</v>
      </c>
      <c r="Q226" s="7">
        <v>4.2561999999999998</v>
      </c>
      <c r="R226" s="7">
        <v>0.68100000000000005</v>
      </c>
      <c r="S226" s="7" t="s">
        <v>509</v>
      </c>
      <c r="T226" s="7">
        <v>6</v>
      </c>
      <c r="U226" s="7" t="s">
        <v>89</v>
      </c>
      <c r="V226" s="7"/>
    </row>
    <row r="227" spans="1:22" outlineLevel="2" x14ac:dyDescent="0.25">
      <c r="A227" s="7" t="s">
        <v>82</v>
      </c>
      <c r="B227" s="7" t="s">
        <v>83</v>
      </c>
      <c r="C227" s="7">
        <v>30</v>
      </c>
      <c r="D227" s="7" t="s">
        <v>84</v>
      </c>
      <c r="E227" s="7">
        <v>184</v>
      </c>
      <c r="F227" s="7" t="s">
        <v>85</v>
      </c>
      <c r="G227" s="7">
        <v>9566</v>
      </c>
      <c r="H227" s="7" t="s">
        <v>55</v>
      </c>
      <c r="I227" s="7">
        <v>1000009566</v>
      </c>
      <c r="J227" s="7">
        <v>28813493</v>
      </c>
      <c r="K227" s="7" t="s">
        <v>202</v>
      </c>
      <c r="L227" s="7" t="s">
        <v>87</v>
      </c>
      <c r="M227" s="7" t="s">
        <v>88</v>
      </c>
      <c r="N227" s="7">
        <v>1315.5</v>
      </c>
      <c r="O227" s="7">
        <v>14.22</v>
      </c>
      <c r="P227" s="7">
        <v>2.2799999999999998</v>
      </c>
      <c r="Q227" s="7">
        <v>4.2561999999999998</v>
      </c>
      <c r="R227" s="7">
        <v>0.68100000000000005</v>
      </c>
      <c r="S227" s="7" t="s">
        <v>510</v>
      </c>
      <c r="T227" s="7">
        <v>6</v>
      </c>
      <c r="U227" s="7" t="s">
        <v>89</v>
      </c>
      <c r="V227" s="7"/>
    </row>
    <row r="228" spans="1:22" outlineLevel="2" x14ac:dyDescent="0.25">
      <c r="A228" s="7" t="s">
        <v>82</v>
      </c>
      <c r="B228" s="7" t="s">
        <v>83</v>
      </c>
      <c r="C228" s="7">
        <v>30</v>
      </c>
      <c r="D228" s="7" t="s">
        <v>84</v>
      </c>
      <c r="E228" s="7">
        <v>184</v>
      </c>
      <c r="F228" s="7" t="s">
        <v>85</v>
      </c>
      <c r="G228" s="7">
        <v>9566</v>
      </c>
      <c r="H228" s="7" t="s">
        <v>55</v>
      </c>
      <c r="I228" s="7">
        <v>1000009566</v>
      </c>
      <c r="J228" s="7">
        <v>28820849</v>
      </c>
      <c r="K228" s="7" t="s">
        <v>271</v>
      </c>
      <c r="L228" s="7" t="s">
        <v>87</v>
      </c>
      <c r="M228" s="7" t="s">
        <v>88</v>
      </c>
      <c r="N228" s="7">
        <v>142.5</v>
      </c>
      <c r="O228" s="7">
        <v>14.22</v>
      </c>
      <c r="P228" s="7">
        <v>2.2799999999999998</v>
      </c>
      <c r="Q228" s="7">
        <v>4.2561999999999998</v>
      </c>
      <c r="R228" s="7">
        <v>0.68100000000000005</v>
      </c>
      <c r="S228" s="7" t="s">
        <v>511</v>
      </c>
      <c r="T228" s="7">
        <v>6</v>
      </c>
      <c r="U228" s="7" t="s">
        <v>89</v>
      </c>
      <c r="V228" s="7"/>
    </row>
    <row r="229" spans="1:22" outlineLevel="2" x14ac:dyDescent="0.25">
      <c r="A229" s="7" t="s">
        <v>82</v>
      </c>
      <c r="B229" s="7" t="s">
        <v>83</v>
      </c>
      <c r="C229" s="7">
        <v>30</v>
      </c>
      <c r="D229" s="7" t="s">
        <v>84</v>
      </c>
      <c r="E229" s="7">
        <v>184</v>
      </c>
      <c r="F229" s="7" t="s">
        <v>85</v>
      </c>
      <c r="G229" s="7">
        <v>9566</v>
      </c>
      <c r="H229" s="7" t="s">
        <v>55</v>
      </c>
      <c r="I229" s="7">
        <v>1000009566</v>
      </c>
      <c r="J229" s="7">
        <v>28821560</v>
      </c>
      <c r="K229" s="7" t="s">
        <v>278</v>
      </c>
      <c r="L229" s="7" t="s">
        <v>87</v>
      </c>
      <c r="M229" s="7" t="s">
        <v>88</v>
      </c>
      <c r="N229" s="7">
        <v>153.5</v>
      </c>
      <c r="O229" s="7">
        <v>14.22</v>
      </c>
      <c r="P229" s="7">
        <v>2.2799999999999998</v>
      </c>
      <c r="Q229" s="7">
        <v>4.2561999999999998</v>
      </c>
      <c r="R229" s="7">
        <v>0.68100000000000005</v>
      </c>
      <c r="S229" s="7" t="s">
        <v>512</v>
      </c>
      <c r="T229" s="7">
        <v>6</v>
      </c>
      <c r="U229" s="7" t="s">
        <v>89</v>
      </c>
      <c r="V229" s="7"/>
    </row>
    <row r="230" spans="1:22" outlineLevel="2" x14ac:dyDescent="0.25">
      <c r="A230" s="7" t="s">
        <v>82</v>
      </c>
      <c r="B230" s="7" t="s">
        <v>83</v>
      </c>
      <c r="C230" s="7">
        <v>30</v>
      </c>
      <c r="D230" s="7" t="s">
        <v>84</v>
      </c>
      <c r="E230" s="7">
        <v>184</v>
      </c>
      <c r="F230" s="7" t="s">
        <v>85</v>
      </c>
      <c r="G230" s="7">
        <v>9566</v>
      </c>
      <c r="H230" s="7" t="s">
        <v>55</v>
      </c>
      <c r="I230" s="7">
        <v>1000009566</v>
      </c>
      <c r="J230" s="7">
        <v>28822314</v>
      </c>
      <c r="K230" s="7" t="s">
        <v>284</v>
      </c>
      <c r="L230" s="7" t="s">
        <v>87</v>
      </c>
      <c r="M230" s="7" t="s">
        <v>88</v>
      </c>
      <c r="N230" s="7">
        <v>46.5</v>
      </c>
      <c r="O230" s="7">
        <v>14.22</v>
      </c>
      <c r="P230" s="7">
        <v>2.2799999999999998</v>
      </c>
      <c r="Q230" s="7">
        <v>4.2561999999999998</v>
      </c>
      <c r="R230" s="7">
        <v>0.68100000000000005</v>
      </c>
      <c r="S230" s="7" t="s">
        <v>513</v>
      </c>
      <c r="T230" s="7">
        <v>6</v>
      </c>
      <c r="U230" s="7" t="s">
        <v>89</v>
      </c>
      <c r="V230" s="7"/>
    </row>
    <row r="231" spans="1:22" outlineLevel="2" x14ac:dyDescent="0.25">
      <c r="A231" s="7" t="s">
        <v>82</v>
      </c>
      <c r="B231" s="7" t="s">
        <v>83</v>
      </c>
      <c r="C231" s="7">
        <v>30</v>
      </c>
      <c r="D231" s="7" t="s">
        <v>84</v>
      </c>
      <c r="E231" s="7">
        <v>184</v>
      </c>
      <c r="F231" s="7" t="s">
        <v>85</v>
      </c>
      <c r="G231" s="7">
        <v>9566</v>
      </c>
      <c r="H231" s="7" t="s">
        <v>55</v>
      </c>
      <c r="I231" s="7">
        <v>1000009566</v>
      </c>
      <c r="J231" s="7">
        <v>28822358</v>
      </c>
      <c r="K231" s="7" t="s">
        <v>286</v>
      </c>
      <c r="L231" s="7" t="s">
        <v>87</v>
      </c>
      <c r="M231" s="7" t="s">
        <v>88</v>
      </c>
      <c r="N231" s="7">
        <v>100.5</v>
      </c>
      <c r="O231" s="7">
        <v>14.22</v>
      </c>
      <c r="P231" s="7">
        <v>2.2799999999999998</v>
      </c>
      <c r="Q231" s="7">
        <v>4.2561999999999998</v>
      </c>
      <c r="R231" s="7">
        <v>0.68100000000000005</v>
      </c>
      <c r="S231" s="7" t="s">
        <v>514</v>
      </c>
      <c r="T231" s="7">
        <v>6</v>
      </c>
      <c r="U231" s="7" t="s">
        <v>89</v>
      </c>
      <c r="V231" s="7"/>
    </row>
    <row r="232" spans="1:22" outlineLevel="2" x14ac:dyDescent="0.25">
      <c r="A232" s="7" t="s">
        <v>82</v>
      </c>
      <c r="B232" s="7" t="s">
        <v>83</v>
      </c>
      <c r="C232" s="7">
        <v>30</v>
      </c>
      <c r="D232" s="7" t="s">
        <v>84</v>
      </c>
      <c r="E232" s="7">
        <v>184</v>
      </c>
      <c r="F232" s="7" t="s">
        <v>85</v>
      </c>
      <c r="G232" s="7">
        <v>9566</v>
      </c>
      <c r="H232" s="7" t="s">
        <v>55</v>
      </c>
      <c r="I232" s="7">
        <v>1000009566</v>
      </c>
      <c r="J232" s="7">
        <v>28823564</v>
      </c>
      <c r="K232" s="7" t="s">
        <v>298</v>
      </c>
      <c r="L232" s="7" t="s">
        <v>87</v>
      </c>
      <c r="M232" s="7" t="s">
        <v>88</v>
      </c>
      <c r="N232" s="7">
        <v>68.5</v>
      </c>
      <c r="O232" s="7">
        <v>14.22</v>
      </c>
      <c r="P232" s="7">
        <v>2.2799999999999998</v>
      </c>
      <c r="Q232" s="7">
        <v>4.2561999999999998</v>
      </c>
      <c r="R232" s="7">
        <v>0.68100000000000005</v>
      </c>
      <c r="S232" s="7" t="s">
        <v>515</v>
      </c>
      <c r="T232" s="7">
        <v>6</v>
      </c>
      <c r="U232" s="7" t="s">
        <v>89</v>
      </c>
      <c r="V232" s="7"/>
    </row>
    <row r="233" spans="1:22" outlineLevel="2" x14ac:dyDescent="0.25">
      <c r="A233" s="7" t="s">
        <v>82</v>
      </c>
      <c r="B233" s="7" t="s">
        <v>83</v>
      </c>
      <c r="C233" s="7">
        <v>30</v>
      </c>
      <c r="D233" s="7" t="s">
        <v>84</v>
      </c>
      <c r="E233" s="7">
        <v>184</v>
      </c>
      <c r="F233" s="7" t="s">
        <v>85</v>
      </c>
      <c r="G233" s="7">
        <v>9566</v>
      </c>
      <c r="H233" s="7" t="s">
        <v>55</v>
      </c>
      <c r="I233" s="7">
        <v>1000009566</v>
      </c>
      <c r="J233" s="7">
        <v>28824179</v>
      </c>
      <c r="K233" s="7" t="s">
        <v>307</v>
      </c>
      <c r="L233" s="7" t="s">
        <v>87</v>
      </c>
      <c r="M233" s="7" t="s">
        <v>88</v>
      </c>
      <c r="N233" s="7">
        <v>84.5</v>
      </c>
      <c r="O233" s="7">
        <v>14.22</v>
      </c>
      <c r="P233" s="7">
        <v>2.2799999999999998</v>
      </c>
      <c r="Q233" s="7">
        <v>4.2561999999999998</v>
      </c>
      <c r="R233" s="7">
        <v>0.68100000000000005</v>
      </c>
      <c r="S233" s="7" t="s">
        <v>516</v>
      </c>
      <c r="T233" s="7">
        <v>6</v>
      </c>
      <c r="U233" s="7" t="s">
        <v>89</v>
      </c>
      <c r="V233" s="7"/>
    </row>
    <row r="234" spans="1:22" outlineLevel="1" x14ac:dyDescent="0.25">
      <c r="A234" s="7"/>
      <c r="B234" s="7"/>
      <c r="C234" s="7"/>
      <c r="D234" s="7"/>
      <c r="E234" s="7"/>
      <c r="F234" s="7"/>
      <c r="G234" s="7"/>
      <c r="H234" s="11" t="s">
        <v>549</v>
      </c>
      <c r="I234" s="7"/>
      <c r="J234" s="7"/>
      <c r="K234" s="7"/>
      <c r="L234" s="7"/>
      <c r="M234" s="7"/>
      <c r="N234" s="7">
        <f>SUBTOTAL(9,N222:N233)</f>
        <v>2669</v>
      </c>
      <c r="O234" s="7"/>
      <c r="P234" s="7"/>
      <c r="Q234" s="7"/>
      <c r="R234" s="7"/>
      <c r="S234" s="7"/>
      <c r="T234" s="7"/>
      <c r="U234" s="7"/>
      <c r="V234" s="7"/>
    </row>
    <row r="235" spans="1:22" outlineLevel="2" x14ac:dyDescent="0.25">
      <c r="A235" t="s">
        <v>82</v>
      </c>
      <c r="B235" t="s">
        <v>83</v>
      </c>
      <c r="C235">
        <v>30</v>
      </c>
      <c r="D235" t="s">
        <v>84</v>
      </c>
      <c r="E235">
        <v>184</v>
      </c>
      <c r="F235" t="s">
        <v>85</v>
      </c>
      <c r="G235">
        <v>8679</v>
      </c>
      <c r="H235" t="s">
        <v>60</v>
      </c>
      <c r="I235">
        <v>1000008679</v>
      </c>
      <c r="J235">
        <v>28807645</v>
      </c>
      <c r="K235" t="s">
        <v>100</v>
      </c>
      <c r="L235" t="s">
        <v>87</v>
      </c>
      <c r="M235" t="s">
        <v>88</v>
      </c>
      <c r="N235">
        <v>1227.5</v>
      </c>
      <c r="O235">
        <v>14.22</v>
      </c>
      <c r="P235">
        <v>2.2799999999999998</v>
      </c>
      <c r="Q235">
        <v>4.2561999999999998</v>
      </c>
      <c r="R235">
        <v>0.68100000000000005</v>
      </c>
      <c r="S235" t="s">
        <v>517</v>
      </c>
      <c r="T235">
        <v>6</v>
      </c>
      <c r="U235" t="s">
        <v>89</v>
      </c>
    </row>
    <row r="236" spans="1:22" outlineLevel="2" x14ac:dyDescent="0.25">
      <c r="A236" t="s">
        <v>82</v>
      </c>
      <c r="B236" t="s">
        <v>83</v>
      </c>
      <c r="C236">
        <v>30</v>
      </c>
      <c r="D236" t="s">
        <v>84</v>
      </c>
      <c r="E236">
        <v>184</v>
      </c>
      <c r="F236" t="s">
        <v>85</v>
      </c>
      <c r="G236">
        <v>8679</v>
      </c>
      <c r="H236" t="s">
        <v>60</v>
      </c>
      <c r="I236">
        <v>1000008679</v>
      </c>
      <c r="J236">
        <v>28808447</v>
      </c>
      <c r="K236" t="s">
        <v>117</v>
      </c>
      <c r="L236" t="s">
        <v>87</v>
      </c>
      <c r="M236" t="s">
        <v>88</v>
      </c>
      <c r="N236">
        <v>133.5</v>
      </c>
      <c r="O236">
        <v>14.22</v>
      </c>
      <c r="P236">
        <v>2.2799999999999998</v>
      </c>
      <c r="Q236">
        <v>4.2561999999999998</v>
      </c>
      <c r="R236">
        <v>0.68100000000000005</v>
      </c>
      <c r="S236" t="s">
        <v>518</v>
      </c>
      <c r="T236">
        <v>6</v>
      </c>
      <c r="U236" t="s">
        <v>89</v>
      </c>
    </row>
    <row r="237" spans="1:22" outlineLevel="2" x14ac:dyDescent="0.25">
      <c r="A237" t="s">
        <v>82</v>
      </c>
      <c r="B237" t="s">
        <v>83</v>
      </c>
      <c r="C237">
        <v>30</v>
      </c>
      <c r="D237" t="s">
        <v>84</v>
      </c>
      <c r="E237">
        <v>184</v>
      </c>
      <c r="F237" t="s">
        <v>85</v>
      </c>
      <c r="G237">
        <v>8679</v>
      </c>
      <c r="H237" t="s">
        <v>60</v>
      </c>
      <c r="I237">
        <v>1000008679</v>
      </c>
      <c r="J237">
        <v>28812703</v>
      </c>
      <c r="K237" t="s">
        <v>188</v>
      </c>
      <c r="L237" t="s">
        <v>87</v>
      </c>
      <c r="M237" t="s">
        <v>88</v>
      </c>
      <c r="N237">
        <v>183.5</v>
      </c>
      <c r="O237">
        <v>14.22</v>
      </c>
      <c r="P237">
        <v>2.2799999999999998</v>
      </c>
      <c r="Q237">
        <v>4.2561999999999998</v>
      </c>
      <c r="R237">
        <v>0.68100000000000005</v>
      </c>
      <c r="S237" t="s">
        <v>519</v>
      </c>
      <c r="T237">
        <v>6</v>
      </c>
      <c r="U237" t="s">
        <v>89</v>
      </c>
    </row>
    <row r="238" spans="1:22" outlineLevel="2" x14ac:dyDescent="0.25">
      <c r="A238" t="s">
        <v>82</v>
      </c>
      <c r="B238" t="s">
        <v>83</v>
      </c>
      <c r="C238">
        <v>30</v>
      </c>
      <c r="D238" t="s">
        <v>84</v>
      </c>
      <c r="E238">
        <v>184</v>
      </c>
      <c r="F238" t="s">
        <v>85</v>
      </c>
      <c r="G238">
        <v>8679</v>
      </c>
      <c r="H238" t="s">
        <v>60</v>
      </c>
      <c r="I238">
        <v>1000008679</v>
      </c>
      <c r="J238">
        <v>28813882</v>
      </c>
      <c r="K238" t="s">
        <v>206</v>
      </c>
      <c r="L238" t="s">
        <v>87</v>
      </c>
      <c r="M238" t="s">
        <v>88</v>
      </c>
      <c r="N238">
        <v>152.5</v>
      </c>
      <c r="O238">
        <v>14.22</v>
      </c>
      <c r="P238">
        <v>2.2799999999999998</v>
      </c>
      <c r="Q238">
        <v>4.2561999999999998</v>
      </c>
      <c r="R238">
        <v>0.68100000000000005</v>
      </c>
      <c r="S238" t="s">
        <v>520</v>
      </c>
      <c r="T238">
        <v>6</v>
      </c>
      <c r="U238" t="s">
        <v>89</v>
      </c>
    </row>
    <row r="239" spans="1:22" outlineLevel="1" x14ac:dyDescent="0.25">
      <c r="H239" s="9" t="s">
        <v>550</v>
      </c>
      <c r="N239">
        <f>SUBTOTAL(9,N235:N238)</f>
        <v>1697</v>
      </c>
    </row>
    <row r="240" spans="1:22" outlineLevel="2" x14ac:dyDescent="0.25">
      <c r="A240" t="s">
        <v>82</v>
      </c>
      <c r="B240" t="s">
        <v>83</v>
      </c>
      <c r="C240">
        <v>30</v>
      </c>
      <c r="D240" t="s">
        <v>84</v>
      </c>
      <c r="E240">
        <v>184</v>
      </c>
      <c r="F240" t="s">
        <v>85</v>
      </c>
      <c r="G240">
        <v>8683</v>
      </c>
      <c r="H240" t="s">
        <v>66</v>
      </c>
      <c r="I240">
        <v>1000008683</v>
      </c>
      <c r="J240">
        <v>28823657</v>
      </c>
      <c r="K240" t="s">
        <v>300</v>
      </c>
      <c r="L240" t="s">
        <v>87</v>
      </c>
      <c r="M240" t="s">
        <v>88</v>
      </c>
      <c r="N240">
        <v>70.5</v>
      </c>
      <c r="O240">
        <v>14.22</v>
      </c>
      <c r="P240">
        <v>2.2799999999999998</v>
      </c>
      <c r="Q240">
        <v>4.2561999999999998</v>
      </c>
      <c r="R240">
        <v>0.68100000000000005</v>
      </c>
      <c r="S240" t="s">
        <v>521</v>
      </c>
      <c r="T240">
        <v>6</v>
      </c>
      <c r="U240" t="s">
        <v>89</v>
      </c>
    </row>
    <row r="241" spans="1:21" outlineLevel="1" x14ac:dyDescent="0.25">
      <c r="H241" s="9" t="s">
        <v>551</v>
      </c>
      <c r="N241">
        <f>SUBTOTAL(9,N240:N240)</f>
        <v>70.5</v>
      </c>
    </row>
    <row r="242" spans="1:21" outlineLevel="2" x14ac:dyDescent="0.25">
      <c r="A242" t="s">
        <v>82</v>
      </c>
      <c r="B242" t="s">
        <v>83</v>
      </c>
      <c r="C242">
        <v>30</v>
      </c>
      <c r="D242" t="s">
        <v>84</v>
      </c>
      <c r="E242">
        <v>184</v>
      </c>
      <c r="F242" t="s">
        <v>85</v>
      </c>
      <c r="G242">
        <v>9216</v>
      </c>
      <c r="H242" t="s">
        <v>43</v>
      </c>
      <c r="I242">
        <v>1000009216</v>
      </c>
      <c r="J242">
        <v>28812996</v>
      </c>
      <c r="K242" t="s">
        <v>194</v>
      </c>
      <c r="L242" t="s">
        <v>87</v>
      </c>
      <c r="M242" t="s">
        <v>88</v>
      </c>
      <c r="N242">
        <v>103.5</v>
      </c>
      <c r="O242">
        <v>14.22</v>
      </c>
      <c r="P242">
        <v>2.2799999999999998</v>
      </c>
      <c r="Q242">
        <v>4.2561999999999998</v>
      </c>
      <c r="R242">
        <v>0.68100000000000005</v>
      </c>
      <c r="S242" t="s">
        <v>522</v>
      </c>
      <c r="T242">
        <v>6</v>
      </c>
      <c r="U242" t="s">
        <v>89</v>
      </c>
    </row>
    <row r="243" spans="1:21" outlineLevel="2" x14ac:dyDescent="0.25">
      <c r="A243" t="s">
        <v>82</v>
      </c>
      <c r="B243" t="s">
        <v>83</v>
      </c>
      <c r="C243">
        <v>30</v>
      </c>
      <c r="D243" t="s">
        <v>84</v>
      </c>
      <c r="E243">
        <v>184</v>
      </c>
      <c r="F243" t="s">
        <v>85</v>
      </c>
      <c r="G243">
        <v>9216</v>
      </c>
      <c r="H243" t="s">
        <v>43</v>
      </c>
      <c r="I243">
        <v>1000009216</v>
      </c>
      <c r="J243">
        <v>28818698</v>
      </c>
      <c r="K243" t="s">
        <v>244</v>
      </c>
      <c r="L243" t="s">
        <v>87</v>
      </c>
      <c r="M243" t="s">
        <v>88</v>
      </c>
      <c r="N243">
        <v>125.5</v>
      </c>
      <c r="O243">
        <v>14.22</v>
      </c>
      <c r="P243">
        <v>2.2799999999999998</v>
      </c>
      <c r="Q243">
        <v>4.2561999999999998</v>
      </c>
      <c r="R243">
        <v>0.68100000000000005</v>
      </c>
      <c r="S243" t="s">
        <v>523</v>
      </c>
      <c r="T243">
        <v>6</v>
      </c>
      <c r="U243" t="s">
        <v>89</v>
      </c>
    </row>
    <row r="244" spans="1:21" outlineLevel="2" x14ac:dyDescent="0.25">
      <c r="A244" t="s">
        <v>82</v>
      </c>
      <c r="B244" t="s">
        <v>83</v>
      </c>
      <c r="C244">
        <v>30</v>
      </c>
      <c r="D244" t="s">
        <v>84</v>
      </c>
      <c r="E244">
        <v>184</v>
      </c>
      <c r="F244" t="s">
        <v>85</v>
      </c>
      <c r="G244">
        <v>9216</v>
      </c>
      <c r="H244" t="s">
        <v>43</v>
      </c>
      <c r="I244">
        <v>1000009216</v>
      </c>
      <c r="J244">
        <v>28819333</v>
      </c>
      <c r="K244" t="s">
        <v>252</v>
      </c>
      <c r="L244" t="s">
        <v>87</v>
      </c>
      <c r="M244" t="s">
        <v>88</v>
      </c>
      <c r="N244">
        <v>44.5</v>
      </c>
      <c r="O244">
        <v>14.22</v>
      </c>
      <c r="P244">
        <v>2.2799999999999998</v>
      </c>
      <c r="Q244">
        <v>4.2561999999999998</v>
      </c>
      <c r="R244">
        <v>0.68100000000000005</v>
      </c>
      <c r="S244" t="s">
        <v>524</v>
      </c>
      <c r="T244">
        <v>6</v>
      </c>
      <c r="U244" t="s">
        <v>89</v>
      </c>
    </row>
    <row r="245" spans="1:21" outlineLevel="2" x14ac:dyDescent="0.25">
      <c r="A245" t="s">
        <v>82</v>
      </c>
      <c r="B245" t="s">
        <v>83</v>
      </c>
      <c r="C245">
        <v>30</v>
      </c>
      <c r="D245" t="s">
        <v>84</v>
      </c>
      <c r="E245">
        <v>184</v>
      </c>
      <c r="F245" t="s">
        <v>85</v>
      </c>
      <c r="G245">
        <v>9216</v>
      </c>
      <c r="H245" t="s">
        <v>43</v>
      </c>
      <c r="I245">
        <v>1000009216</v>
      </c>
      <c r="J245">
        <v>28819347</v>
      </c>
      <c r="K245" t="s">
        <v>253</v>
      </c>
      <c r="L245" t="s">
        <v>87</v>
      </c>
      <c r="M245" t="s">
        <v>88</v>
      </c>
      <c r="N245">
        <v>94.5</v>
      </c>
      <c r="O245">
        <v>14.22</v>
      </c>
      <c r="P245">
        <v>2.2799999999999998</v>
      </c>
      <c r="Q245">
        <v>4.2561999999999998</v>
      </c>
      <c r="R245">
        <v>0.68100000000000005</v>
      </c>
      <c r="S245" t="s">
        <v>525</v>
      </c>
      <c r="T245">
        <v>6</v>
      </c>
      <c r="U245" t="s">
        <v>89</v>
      </c>
    </row>
    <row r="246" spans="1:21" outlineLevel="1" x14ac:dyDescent="0.25">
      <c r="H246" s="9" t="s">
        <v>552</v>
      </c>
      <c r="N246">
        <f>SUBTOTAL(9,N242:N245)</f>
        <v>368</v>
      </c>
    </row>
    <row r="247" spans="1:21" x14ac:dyDescent="0.25">
      <c r="H247" s="9" t="s">
        <v>553</v>
      </c>
      <c r="N247">
        <f>SUBTOTAL(9,N4:N245)</f>
        <v>43254.5</v>
      </c>
      <c r="Q247">
        <f>COUNT(O3:O246)</f>
        <v>221</v>
      </c>
      <c r="R247">
        <f>Q247*4.94</f>
        <v>1091.74</v>
      </c>
      <c r="S247" s="12">
        <f>N247-R247</f>
        <v>42162.76</v>
      </c>
    </row>
  </sheetData>
  <sortState xmlns:xlrd2="http://schemas.microsoft.com/office/spreadsheetml/2017/richdata2" ref="A4:V245">
    <sortCondition ref="H4:H245"/>
    <sortCondition ref="K4:K2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Sucursales</vt:lpstr>
      <vt:lpstr>Inicio</vt:lpstr>
      <vt:lpstr>08 AGOSTO_Dif_Cobros</vt:lpstr>
      <vt:lpstr>08 AGOSTO_Dif_Conceptos</vt:lpstr>
      <vt:lpstr>no empatados_10.08.2022</vt:lpstr>
      <vt:lpstr>empatados_10.08.2022</vt:lpstr>
      <vt:lpstr>10.08.2022</vt:lpstr>
      <vt:lpstr>COMISIONES_10.08.2022</vt:lpstr>
      <vt:lpstr>SERVICIOS_10.08.2022</vt:lpstr>
      <vt:lpstr>03.06.2022</vt:lpstr>
      <vt:lpstr>02.06.2022</vt:lpstr>
      <vt:lpstr>01.06.2022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AUX_SISTEMAS</dc:creator>
  <cp:lastModifiedBy>Oscar Hernandez</cp:lastModifiedBy>
  <cp:lastPrinted>2022-06-03T12:38:23Z</cp:lastPrinted>
  <dcterms:created xsi:type="dcterms:W3CDTF">2022-04-23T15:31:25Z</dcterms:created>
  <dcterms:modified xsi:type="dcterms:W3CDTF">2022-08-10T19:34:58Z</dcterms:modified>
</cp:coreProperties>
</file>